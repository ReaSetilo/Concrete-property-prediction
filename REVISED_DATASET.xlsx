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3155A789-F010-4DE0-9955-0E1981216B98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POFA 1" sheetId="1" r:id="rId1"/>
    <sheet name="RHA 1" sheetId="2" r:id="rId2"/>
    <sheet name="SCBA 1" sheetId="3" r:id="rId3"/>
    <sheet name=" GSA 1" sheetId="4" r:id="rId4"/>
    <sheet name="WSA 1" sheetId="5" r:id="rId5"/>
    <sheet name="BLA 1" sheetId="6" r:id="rId6"/>
    <sheet name="CCA 1" sheetId="9" r:id="rId7"/>
    <sheet name="FORMULAE" sheetId="7" r:id="rId8"/>
    <sheet name="REFERENCES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9" l="1"/>
  <c r="C17" i="9"/>
  <c r="C18" i="9"/>
  <c r="C19" i="9"/>
  <c r="C439" i="6"/>
  <c r="C440" i="6"/>
  <c r="C441" i="6"/>
  <c r="C442" i="6"/>
  <c r="C443" i="6"/>
  <c r="C444" i="6"/>
  <c r="C445" i="6"/>
  <c r="C446" i="6"/>
  <c r="C447" i="6"/>
  <c r="C448" i="6"/>
  <c r="C449" i="6"/>
  <c r="C450" i="6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662" i="2"/>
  <c r="M2" i="9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N105" i="9"/>
  <c r="N106" i="9"/>
  <c r="N107" i="9"/>
  <c r="N108" i="9"/>
  <c r="N109" i="9"/>
  <c r="N110" i="9"/>
  <c r="N111" i="9"/>
  <c r="N112" i="9"/>
  <c r="N113" i="9"/>
  <c r="N114" i="9"/>
  <c r="N115" i="9"/>
  <c r="N116" i="9"/>
  <c r="N117" i="9"/>
  <c r="N118" i="9"/>
  <c r="N119" i="9"/>
  <c r="N120" i="9"/>
  <c r="N121" i="9"/>
  <c r="N122" i="9"/>
  <c r="N123" i="9"/>
  <c r="N124" i="9"/>
  <c r="N125" i="9"/>
  <c r="N126" i="9"/>
  <c r="N127" i="9"/>
  <c r="N128" i="9"/>
  <c r="N129" i="9"/>
  <c r="N130" i="9"/>
  <c r="N131" i="9"/>
  <c r="N132" i="9"/>
  <c r="N133" i="9"/>
  <c r="N134" i="9"/>
  <c r="N135" i="9"/>
  <c r="N136" i="9"/>
  <c r="N137" i="9"/>
  <c r="N138" i="9"/>
  <c r="N139" i="9"/>
  <c r="N140" i="9"/>
  <c r="N141" i="9"/>
  <c r="N142" i="9"/>
  <c r="N143" i="9"/>
  <c r="N144" i="9"/>
  <c r="N145" i="9"/>
  <c r="N146" i="9"/>
  <c r="N147" i="9"/>
  <c r="N148" i="9"/>
  <c r="N149" i="9"/>
  <c r="N150" i="9"/>
  <c r="N151" i="9"/>
  <c r="N152" i="9"/>
  <c r="N153" i="9"/>
  <c r="N154" i="9"/>
  <c r="N155" i="9"/>
  <c r="N156" i="9"/>
  <c r="N157" i="9"/>
  <c r="N158" i="9"/>
  <c r="N159" i="9"/>
  <c r="N160" i="9"/>
  <c r="N161" i="9"/>
  <c r="N162" i="9"/>
  <c r="N163" i="9"/>
  <c r="N164" i="9"/>
  <c r="N165" i="9"/>
  <c r="N166" i="9"/>
  <c r="N167" i="9"/>
  <c r="N168" i="9"/>
  <c r="N169" i="9"/>
  <c r="N170" i="9"/>
  <c r="N171" i="9"/>
  <c r="N172" i="9"/>
  <c r="N173" i="9"/>
  <c r="N174" i="9"/>
  <c r="N175" i="9"/>
  <c r="N176" i="9"/>
  <c r="N177" i="9"/>
  <c r="N178" i="9"/>
  <c r="N179" i="9"/>
  <c r="N180" i="9"/>
  <c r="N181" i="9"/>
  <c r="N182" i="9"/>
  <c r="N183" i="9"/>
  <c r="N184" i="9"/>
  <c r="N185" i="9"/>
  <c r="N186" i="9"/>
  <c r="N187" i="9"/>
  <c r="N188" i="9"/>
  <c r="N189" i="9"/>
  <c r="N190" i="9"/>
  <c r="N191" i="9"/>
  <c r="N192" i="9"/>
  <c r="N193" i="9"/>
  <c r="N194" i="9"/>
  <c r="N195" i="9"/>
  <c r="N196" i="9"/>
  <c r="N197" i="9"/>
  <c r="N198" i="9"/>
  <c r="N199" i="9"/>
  <c r="N200" i="9"/>
  <c r="N2" i="9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2" i="6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O481" i="5"/>
  <c r="O482" i="5"/>
  <c r="O483" i="5"/>
  <c r="O484" i="5"/>
  <c r="O485" i="5"/>
  <c r="O486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499" i="5"/>
  <c r="O500" i="5"/>
  <c r="O501" i="5"/>
  <c r="O502" i="5"/>
  <c r="O503" i="5"/>
  <c r="O504" i="5"/>
  <c r="O505" i="5"/>
  <c r="O506" i="5"/>
  <c r="O507" i="5"/>
  <c r="O508" i="5"/>
  <c r="O2" i="5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2" i="4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2" i="3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2" i="1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2" i="2"/>
  <c r="N495" i="5"/>
  <c r="N496" i="5"/>
  <c r="N497" i="5"/>
  <c r="N498" i="5"/>
  <c r="N499" i="5"/>
  <c r="N500" i="5"/>
  <c r="N501" i="5"/>
  <c r="N502" i="5"/>
  <c r="N503" i="5"/>
  <c r="N504" i="5"/>
  <c r="N505" i="5"/>
  <c r="N506" i="5"/>
  <c r="N507" i="5"/>
  <c r="N508" i="5"/>
  <c r="N494" i="5"/>
  <c r="N478" i="5"/>
  <c r="N479" i="5"/>
  <c r="N480" i="5"/>
  <c r="N481" i="5"/>
  <c r="N482" i="5"/>
  <c r="N483" i="5"/>
  <c r="N484" i="5"/>
  <c r="N485" i="5"/>
  <c r="N486" i="5"/>
  <c r="N487" i="5"/>
  <c r="N488" i="5"/>
  <c r="N489" i="5"/>
  <c r="N490" i="5"/>
  <c r="N491" i="5"/>
  <c r="N492" i="5"/>
  <c r="N493" i="5"/>
  <c r="N477" i="5"/>
  <c r="O933" i="2"/>
  <c r="O934" i="2"/>
  <c r="O935" i="2"/>
  <c r="O936" i="2"/>
  <c r="O937" i="2"/>
  <c r="O938" i="2"/>
  <c r="O939" i="2"/>
  <c r="O940" i="2"/>
  <c r="O941" i="2"/>
  <c r="O93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02" i="2"/>
  <c r="M174" i="9"/>
  <c r="M175" i="9"/>
  <c r="M176" i="9"/>
  <c r="M177" i="9"/>
  <c r="M178" i="9"/>
  <c r="M179" i="9"/>
  <c r="M180" i="9"/>
  <c r="M181" i="9"/>
  <c r="M182" i="9"/>
  <c r="M183" i="9"/>
  <c r="M184" i="9"/>
  <c r="M185" i="9"/>
  <c r="M186" i="9"/>
  <c r="M187" i="9"/>
  <c r="M188" i="9"/>
  <c r="M189" i="9"/>
  <c r="M190" i="9"/>
  <c r="M191" i="9"/>
  <c r="M192" i="9"/>
  <c r="M193" i="9"/>
  <c r="M194" i="9"/>
  <c r="M195" i="9"/>
  <c r="M196" i="9"/>
  <c r="M197" i="9"/>
  <c r="M198" i="9"/>
  <c r="M199" i="9"/>
  <c r="M200" i="9"/>
  <c r="M173" i="9"/>
  <c r="M159" i="9"/>
  <c r="M160" i="9"/>
  <c r="M161" i="9"/>
  <c r="M162" i="9"/>
  <c r="M163" i="9"/>
  <c r="M164" i="9"/>
  <c r="M165" i="9"/>
  <c r="M166" i="9"/>
  <c r="M167" i="9"/>
  <c r="M168" i="9"/>
  <c r="M169" i="9"/>
  <c r="M170" i="9"/>
  <c r="M171" i="9"/>
  <c r="M172" i="9"/>
  <c r="M147" i="9"/>
  <c r="M148" i="9"/>
  <c r="M149" i="9"/>
  <c r="M150" i="9"/>
  <c r="M151" i="9"/>
  <c r="M152" i="9"/>
  <c r="M153" i="9"/>
  <c r="M154" i="9"/>
  <c r="M155" i="9"/>
  <c r="M156" i="9"/>
  <c r="M157" i="9"/>
  <c r="M158" i="9"/>
  <c r="M133" i="9"/>
  <c r="M134" i="9"/>
  <c r="M135" i="9"/>
  <c r="M136" i="9"/>
  <c r="M137" i="9"/>
  <c r="M138" i="9"/>
  <c r="M139" i="9"/>
  <c r="M140" i="9"/>
  <c r="M141" i="9"/>
  <c r="M142" i="9"/>
  <c r="M143" i="9"/>
  <c r="M144" i="9"/>
  <c r="M145" i="9"/>
  <c r="M146" i="9"/>
  <c r="M106" i="9"/>
  <c r="M107" i="9"/>
  <c r="M108" i="9"/>
  <c r="M109" i="9"/>
  <c r="M110" i="9"/>
  <c r="M111" i="9"/>
  <c r="M112" i="9"/>
  <c r="M113" i="9"/>
  <c r="M114" i="9"/>
  <c r="M115" i="9"/>
  <c r="M116" i="9"/>
  <c r="M117" i="9"/>
  <c r="M118" i="9"/>
  <c r="M119" i="9"/>
  <c r="M120" i="9"/>
  <c r="M121" i="9"/>
  <c r="M122" i="9"/>
  <c r="M123" i="9"/>
  <c r="M124" i="9"/>
  <c r="M125" i="9"/>
  <c r="M126" i="9"/>
  <c r="M127" i="9"/>
  <c r="M128" i="9"/>
  <c r="M129" i="9"/>
  <c r="M130" i="9"/>
  <c r="M131" i="9"/>
  <c r="M132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L2" i="6"/>
  <c r="L3" i="6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L472" i="6"/>
  <c r="L473" i="6"/>
  <c r="L474" i="6"/>
  <c r="L475" i="6"/>
  <c r="L476" i="6"/>
  <c r="L477" i="6"/>
  <c r="L478" i="6"/>
  <c r="L479" i="6"/>
  <c r="L480" i="6"/>
  <c r="L481" i="6"/>
  <c r="L482" i="6"/>
  <c r="L483" i="6"/>
  <c r="L484" i="6"/>
  <c r="L485" i="6"/>
  <c r="L486" i="6"/>
  <c r="L487" i="6"/>
  <c r="L488" i="6"/>
  <c r="L489" i="6"/>
  <c r="L490" i="6"/>
  <c r="L471" i="6"/>
  <c r="L452" i="6"/>
  <c r="L453" i="6"/>
  <c r="L454" i="6"/>
  <c r="L455" i="6"/>
  <c r="L456" i="6"/>
  <c r="L457" i="6"/>
  <c r="L458" i="6"/>
  <c r="L459" i="6"/>
  <c r="L460" i="6"/>
  <c r="L461" i="6"/>
  <c r="L462" i="6"/>
  <c r="L463" i="6"/>
  <c r="L464" i="6"/>
  <c r="L465" i="6"/>
  <c r="L466" i="6"/>
  <c r="L467" i="6"/>
  <c r="L468" i="6"/>
  <c r="L469" i="6"/>
  <c r="L470" i="6"/>
  <c r="L451" i="6"/>
  <c r="L439" i="6"/>
  <c r="L440" i="6"/>
  <c r="L441" i="6"/>
  <c r="L442" i="6"/>
  <c r="L443" i="6"/>
  <c r="L444" i="6"/>
  <c r="L445" i="6"/>
  <c r="L446" i="6"/>
  <c r="L447" i="6"/>
  <c r="L448" i="6"/>
  <c r="L449" i="6"/>
  <c r="L450" i="6"/>
  <c r="N466" i="5"/>
  <c r="N467" i="5"/>
  <c r="N468" i="5"/>
  <c r="N469" i="5"/>
  <c r="N470" i="5"/>
  <c r="N471" i="5"/>
  <c r="N472" i="5"/>
  <c r="N473" i="5"/>
  <c r="N474" i="5"/>
  <c r="N475" i="5"/>
  <c r="N476" i="5"/>
  <c r="N465" i="5"/>
  <c r="N449" i="5"/>
  <c r="N450" i="5"/>
  <c r="N451" i="5"/>
  <c r="N452" i="5"/>
  <c r="N453" i="5"/>
  <c r="N454" i="5"/>
  <c r="N455" i="5"/>
  <c r="N456" i="5"/>
  <c r="N457" i="5"/>
  <c r="N458" i="5"/>
  <c r="N459" i="5"/>
  <c r="N460" i="5"/>
  <c r="N461" i="5"/>
  <c r="N462" i="5"/>
  <c r="N463" i="5"/>
  <c r="N464" i="5"/>
  <c r="N435" i="5"/>
  <c r="N436" i="5"/>
  <c r="N437" i="5"/>
  <c r="N438" i="5"/>
  <c r="N439" i="5"/>
  <c r="N440" i="5"/>
  <c r="N441" i="5"/>
  <c r="N442" i="5"/>
  <c r="N443" i="5"/>
  <c r="N444" i="5"/>
  <c r="N445" i="5"/>
  <c r="N446" i="5"/>
  <c r="N447" i="5"/>
  <c r="N448" i="5"/>
  <c r="N434" i="5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19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04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50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22" i="3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882" i="2"/>
  <c r="O875" i="2"/>
  <c r="O876" i="2"/>
  <c r="O877" i="2"/>
  <c r="O878" i="2"/>
  <c r="O879" i="2"/>
  <c r="O880" i="2"/>
  <c r="O881" i="2"/>
  <c r="O87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5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759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60" i="2"/>
  <c r="O716" i="2"/>
  <c r="O715" i="2"/>
  <c r="O714" i="2"/>
  <c r="O713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682" i="2"/>
  <c r="O681" i="2"/>
  <c r="O680" i="2"/>
  <c r="O679" i="2"/>
  <c r="O678" i="2"/>
  <c r="O677" i="2"/>
  <c r="O676" i="2"/>
  <c r="O675" i="2"/>
  <c r="O674" i="2"/>
  <c r="O673" i="2"/>
  <c r="O672" i="2"/>
  <c r="O671" i="2"/>
  <c r="O670" i="2"/>
  <c r="O669" i="2"/>
  <c r="O668" i="2"/>
  <c r="O667" i="2"/>
  <c r="O666" i="2"/>
  <c r="O665" i="2"/>
  <c r="O664" i="2"/>
  <c r="O663" i="2"/>
  <c r="O662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494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10" i="1"/>
  <c r="M705" i="1"/>
  <c r="M706" i="1"/>
  <c r="M707" i="1"/>
  <c r="M708" i="1"/>
  <c r="M709" i="1"/>
  <c r="M697" i="1"/>
  <c r="M698" i="1"/>
  <c r="M699" i="1"/>
  <c r="M700" i="1"/>
  <c r="M701" i="1"/>
  <c r="M702" i="1"/>
  <c r="M703" i="1"/>
  <c r="M704" i="1"/>
  <c r="M687" i="1"/>
  <c r="M688" i="1"/>
  <c r="M689" i="1"/>
  <c r="M690" i="1"/>
  <c r="M691" i="1"/>
  <c r="M692" i="1"/>
  <c r="M693" i="1"/>
  <c r="M694" i="1"/>
  <c r="M695" i="1"/>
  <c r="M696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05" i="1"/>
  <c r="I601" i="1"/>
  <c r="I602" i="1"/>
  <c r="M602" i="1" s="1"/>
  <c r="I603" i="1"/>
  <c r="M603" i="1" s="1"/>
  <c r="I604" i="1"/>
  <c r="I605" i="1"/>
  <c r="I600" i="1"/>
  <c r="I570" i="1"/>
  <c r="M570" i="1" s="1"/>
  <c r="I571" i="1"/>
  <c r="M571" i="1" s="1"/>
  <c r="I572" i="1"/>
  <c r="I573" i="1"/>
  <c r="I574" i="1"/>
  <c r="I575" i="1"/>
  <c r="M575" i="1" s="1"/>
  <c r="I576" i="1"/>
  <c r="I577" i="1"/>
  <c r="I578" i="1"/>
  <c r="M578" i="1" s="1"/>
  <c r="I579" i="1"/>
  <c r="M579" i="1" s="1"/>
  <c r="I580" i="1"/>
  <c r="I581" i="1"/>
  <c r="I582" i="1"/>
  <c r="I583" i="1"/>
  <c r="M583" i="1" s="1"/>
  <c r="I584" i="1"/>
  <c r="I585" i="1"/>
  <c r="I586" i="1"/>
  <c r="M586" i="1" s="1"/>
  <c r="I587" i="1"/>
  <c r="M587" i="1" s="1"/>
  <c r="I588" i="1"/>
  <c r="I589" i="1"/>
  <c r="M589" i="1" s="1"/>
  <c r="I590" i="1"/>
  <c r="I591" i="1"/>
  <c r="M591" i="1" s="1"/>
  <c r="I592" i="1"/>
  <c r="I593" i="1"/>
  <c r="I594" i="1"/>
  <c r="M594" i="1" s="1"/>
  <c r="I595" i="1"/>
  <c r="M595" i="1" s="1"/>
  <c r="I596" i="1"/>
  <c r="I597" i="1"/>
  <c r="I598" i="1"/>
  <c r="I599" i="1"/>
  <c r="M599" i="1" s="1"/>
  <c r="I565" i="1"/>
  <c r="M565" i="1" s="1"/>
  <c r="I566" i="1"/>
  <c r="I567" i="1"/>
  <c r="M567" i="1" s="1"/>
  <c r="I568" i="1"/>
  <c r="I569" i="1"/>
  <c r="I564" i="1"/>
  <c r="E548" i="1"/>
  <c r="M548" i="1" s="1"/>
  <c r="E544" i="1"/>
  <c r="M544" i="1" s="1"/>
  <c r="E545" i="1"/>
  <c r="M545" i="1" s="1"/>
  <c r="E546" i="1"/>
  <c r="M546" i="1" s="1"/>
  <c r="E547" i="1"/>
  <c r="M547" i="1" s="1"/>
  <c r="E549" i="1"/>
  <c r="M549" i="1" s="1"/>
  <c r="E550" i="1"/>
  <c r="M550" i="1" s="1"/>
  <c r="E551" i="1"/>
  <c r="M551" i="1" s="1"/>
  <c r="E552" i="1"/>
  <c r="M552" i="1" s="1"/>
  <c r="E553" i="1"/>
  <c r="M553" i="1" s="1"/>
  <c r="E554" i="1"/>
  <c r="M554" i="1" s="1"/>
  <c r="E555" i="1"/>
  <c r="M555" i="1" s="1"/>
  <c r="E556" i="1"/>
  <c r="M556" i="1" s="1"/>
  <c r="E557" i="1"/>
  <c r="M557" i="1" s="1"/>
  <c r="E558" i="1"/>
  <c r="M558" i="1" s="1"/>
  <c r="E559" i="1"/>
  <c r="M559" i="1" s="1"/>
  <c r="E560" i="1"/>
  <c r="M560" i="1" s="1"/>
  <c r="E561" i="1"/>
  <c r="M561" i="1" s="1"/>
  <c r="E562" i="1"/>
  <c r="M562" i="1" s="1"/>
  <c r="E563" i="1"/>
  <c r="M563" i="1" s="1"/>
  <c r="M2" i="1"/>
  <c r="M3" i="1"/>
  <c r="M4" i="1"/>
  <c r="M5" i="1"/>
  <c r="M6" i="1"/>
  <c r="M7" i="1"/>
  <c r="M8" i="1"/>
  <c r="M9" i="1"/>
  <c r="M10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50" i="2"/>
  <c r="O451" i="2"/>
  <c r="O452" i="2"/>
  <c r="O453" i="2"/>
  <c r="O454" i="2"/>
  <c r="O455" i="2"/>
  <c r="O456" i="2"/>
  <c r="O457" i="2"/>
  <c r="O458" i="2"/>
  <c r="O459" i="2"/>
  <c r="O460" i="2"/>
  <c r="M2" i="3"/>
  <c r="M3" i="3"/>
  <c r="M4" i="3"/>
  <c r="M5" i="3"/>
  <c r="M6" i="3"/>
  <c r="M7" i="3"/>
  <c r="M8" i="3"/>
  <c r="M9" i="3"/>
  <c r="M10" i="3"/>
  <c r="M11" i="3"/>
  <c r="M12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N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N401" i="5"/>
  <c r="N402" i="5"/>
  <c r="N403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N426" i="5"/>
  <c r="N427" i="5"/>
  <c r="N428" i="5"/>
  <c r="N429" i="5"/>
  <c r="N430" i="5"/>
  <c r="N431" i="5"/>
  <c r="N432" i="5"/>
  <c r="N433" i="5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5" i="6"/>
  <c r="L428" i="6"/>
  <c r="L433" i="6"/>
  <c r="E434" i="6"/>
  <c r="L434" i="6" s="1"/>
  <c r="E433" i="6"/>
  <c r="E432" i="6"/>
  <c r="L432" i="6" s="1"/>
  <c r="E431" i="6"/>
  <c r="L431" i="6" s="1"/>
  <c r="E430" i="6"/>
  <c r="L430" i="6" s="1"/>
  <c r="E429" i="6"/>
  <c r="L429" i="6" s="1"/>
  <c r="E428" i="6"/>
  <c r="E427" i="6"/>
  <c r="L427" i="6" s="1"/>
  <c r="E426" i="6"/>
  <c r="L426" i="6" s="1"/>
  <c r="E425" i="6"/>
  <c r="E424" i="6"/>
  <c r="L424" i="6" s="1"/>
  <c r="E423" i="6"/>
  <c r="L423" i="6" s="1"/>
  <c r="E422" i="6"/>
  <c r="L422" i="6" s="1"/>
  <c r="E421" i="6"/>
  <c r="L421" i="6" s="1"/>
  <c r="E420" i="6"/>
  <c r="L483" i="4"/>
  <c r="M521" i="3"/>
  <c r="O461" i="2"/>
  <c r="E449" i="2"/>
  <c r="O449" i="2" s="1"/>
  <c r="E448" i="2"/>
  <c r="O448" i="2" s="1"/>
  <c r="E447" i="2"/>
  <c r="O447" i="2" s="1"/>
  <c r="E446" i="2"/>
  <c r="O446" i="2" s="1"/>
  <c r="E445" i="2"/>
  <c r="O445" i="2" s="1"/>
  <c r="E444" i="2"/>
  <c r="O444" i="2" s="1"/>
  <c r="E443" i="2"/>
  <c r="O443" i="2" s="1"/>
  <c r="E442" i="2"/>
  <c r="O442" i="2" s="1"/>
  <c r="E441" i="2"/>
  <c r="O441" i="2" s="1"/>
  <c r="E440" i="2"/>
  <c r="O440" i="2" s="1"/>
  <c r="E439" i="2"/>
  <c r="O439" i="2" s="1"/>
  <c r="E438" i="2"/>
  <c r="O438" i="2" s="1"/>
  <c r="M543" i="1"/>
  <c r="M584" i="1" l="1"/>
  <c r="M568" i="1"/>
  <c r="M588" i="1"/>
  <c r="M601" i="1"/>
  <c r="M581" i="1"/>
  <c r="M600" i="1"/>
  <c r="M580" i="1"/>
  <c r="M597" i="1"/>
  <c r="M576" i="1"/>
  <c r="M596" i="1"/>
  <c r="M573" i="1"/>
  <c r="M592" i="1"/>
  <c r="M572" i="1"/>
  <c r="M569" i="1"/>
  <c r="M593" i="1"/>
  <c r="M585" i="1"/>
  <c r="M577" i="1"/>
  <c r="M598" i="1"/>
  <c r="M590" i="1"/>
  <c r="M582" i="1"/>
  <c r="M574" i="1"/>
  <c r="M566" i="1"/>
  <c r="M604" i="1"/>
  <c r="M564" i="1"/>
  <c r="C437" i="6"/>
  <c r="E437" i="6"/>
  <c r="L437" i="6"/>
  <c r="C438" i="6"/>
  <c r="E438" i="6"/>
  <c r="L438" i="6"/>
  <c r="C435" i="6"/>
  <c r="E435" i="6"/>
  <c r="L435" i="6"/>
  <c r="C436" i="6"/>
  <c r="E436" i="6"/>
  <c r="L436" i="6"/>
</calcChain>
</file>

<file path=xl/sharedStrings.xml><?xml version="1.0" encoding="utf-8"?>
<sst xmlns="http://schemas.openxmlformats.org/spreadsheetml/2006/main" count="515" uniqueCount="408">
  <si>
    <t>paper</t>
  </si>
  <si>
    <t>reference</t>
  </si>
  <si>
    <t>replacement_pct</t>
  </si>
  <si>
    <t>cement_kg_m3</t>
  </si>
  <si>
    <t>ash_kg_m3</t>
  </si>
  <si>
    <t>fine_aggregate_kg_m3</t>
  </si>
  <si>
    <t>coarse_aggregate_kg_m3</t>
  </si>
  <si>
    <t>superplasticizer_kg_m3</t>
  </si>
  <si>
    <t>water kg_m3</t>
  </si>
  <si>
    <t>curing_days</t>
  </si>
  <si>
    <t>compressive_strength_MPa_</t>
  </si>
  <si>
    <t>Slump(mm)</t>
  </si>
  <si>
    <t xml:space="preserve"> Mohammed et al.</t>
  </si>
  <si>
    <t xml:space="preserve"> https://doi.org/10.3151/jact.12.127</t>
  </si>
  <si>
    <t>A study on the integrated implementation of supplementary cementitious material and coarse aggregate for sustainable concrete</t>
  </si>
  <si>
    <t>https://doi.org/10.1016/j.jobe.2023.106767</t>
  </si>
  <si>
    <t>Bamaga et al 2012</t>
  </si>
  <si>
    <t>file:///C:/Users/USER/Downloads/articles/POFA/1-s2.0-S1226798824008730-main.pdf</t>
  </si>
  <si>
    <t>Characteristics of palm oil fuel ash concrete admixed with precipitated silica and silica fume</t>
  </si>
  <si>
    <t>https://doi.org/10.1016/j.clet.2024.100738</t>
  </si>
  <si>
    <t>https://doi.org/10.1016/j.heliyon.2023.e22296</t>
  </si>
  <si>
    <t>Effect of high-volume ultrafine palm oil fuel ash on the engineering and transport properties of concrete</t>
  </si>
  <si>
    <t>https://doi.org/10.1016/j.cscm.2019.e00318</t>
  </si>
  <si>
    <t>Hassan et al</t>
  </si>
  <si>
    <t>Islam et al</t>
  </si>
  <si>
    <t>https://doi.org/10.1016/j.jclepro.2016.07.061</t>
  </si>
  <si>
    <t>POFA as a cement replacement - researchgate PDF</t>
  </si>
  <si>
    <t>https://www.researchgate.net/profile/Hilton-Ahmad/publication/259935880_Compressive_Strength_of_Palm_Oil_Fuel_Ash_Concrete/links/02e7e52ea41cf8cab3000000/Compressive-Strength-of-Palm-Oil-Fuel-Ash-Concrete.pdf</t>
  </si>
  <si>
    <t>Palm Oil Fuel Ash-Based Eco-Efficient Concrete (Amran 2021)</t>
  </si>
  <si>
    <t>https://pmc.ncbi.nlm.nih.gov/articles/PMC7828013/</t>
  </si>
  <si>
    <t>Ranjbar et al 2016</t>
  </si>
  <si>
    <t>https://sci-hub.ru/https://doi.org/10.1016/j.jclepro.2015.07.033</t>
  </si>
  <si>
    <t>pozzolan added kgm3(silica fume)</t>
  </si>
  <si>
    <t>7.5% RHA performance 2025 - 12% increase</t>
  </si>
  <si>
    <t>https://www.sciencedirect.com/science/article/pii/S2666165925000754</t>
  </si>
  <si>
    <t>Alyami 2024 - ML prediction RHA CS</t>
  </si>
  <si>
    <t>https://www.sciencedirect.com/science/article/pii/S2214509524000524</t>
  </si>
  <si>
    <t>Compressive Strength of Concrete using Fly Ash and Rice Husk Ash (Civile Journal)</t>
  </si>
  <si>
    <t>https://www.civilejournal.org/index.php/cej/article/view/2210</t>
  </si>
  <si>
    <t>Compressive strength modeling for RHA concrete (2022)</t>
  </si>
  <si>
    <t>https://www.researchgate.net/</t>
  </si>
  <si>
    <t>Compressive strength of concrete with rice husk ash (ResearchGate)</t>
  </si>
  <si>
    <t>https://www.researchgate.net/publication/264543792_Compressive_strength_of_concrete_with_rice_husk_ash_as_partial_replacement_of_ordinary_Portland_cement</t>
  </si>
  <si>
    <t>Effect of Incorporation of Rice Husk Ash Instead of Cement (Zaid et al., 2021)</t>
  </si>
  <si>
    <t>https://www.frontiersin.org/articles/10.3389/fmats.2021.665625/full</t>
  </si>
  <si>
    <t>Effect of RHA particle size on strength (2017)</t>
  </si>
  <si>
    <t>Hasan et al. (2022) RHA5</t>
  </si>
  <si>
    <t>https://pmc.ncbi.nlm.nih.gov/articles/PMC9699146/</t>
  </si>
  <si>
    <t>Impact of RHA properties on concrete strength (2025)</t>
  </si>
  <si>
    <t>https://www.researchgate.net/publication/390514930_Impact_of_Rice_Husk_Ash_Properties_on_Concrete_Strength_Experimental_and_Machine_Learning_Study</t>
  </si>
  <si>
    <t>Influence of rice husk ash on the mechanical properties of ultra-high strength engineered cementitious Influence of rice husk ash on the mechanical properties of ultra-high strength engineered cement composites (UHS-ECC)</t>
  </si>
  <si>
    <t>https://pmc.ncbi.nlm.nih.gov/</t>
  </si>
  <si>
    <t>Optimization of RHA content in mortar (2019)</t>
  </si>
  <si>
    <t>https://www.sciencedirect.com/</t>
  </si>
  <si>
    <t>pozzolan added kgm3(slica fume)</t>
  </si>
  <si>
    <t>Althaqafi 2024 - SCBA with metakaolin</t>
  </si>
  <si>
    <t>https://www.nature.com/articles/s41598-024-76360-7</t>
  </si>
  <si>
    <t>Assessing mechanical characteristics of bagasse ash (Iro, 2025)</t>
  </si>
  <si>
    <t>https://www.nature.com/articles/s41598-025-01192-y</t>
  </si>
  <si>
    <t>Bayapureddy 2023 - characteristic evaluation</t>
  </si>
  <si>
    <t>https://jresm.org/wp-content/uploads/resm2023.819ma0712.pdf</t>
  </si>
  <si>
    <t>Compressive Strength and Microstructure of Bagasse Ash Concrete (ResearchGate)</t>
  </si>
  <si>
    <t>https://www.researchgate.net/publication/287501413_Compressive_Strength_and_Microstructure_of_Sugar_Cane_Bagasse_Ash_Concrete</t>
  </si>
  <si>
    <t>Elawadly 2025 - sustainable SCBA</t>
  </si>
  <si>
    <t>https://link.springer.com/article/10.1007/s41062-025-02177-6</t>
  </si>
  <si>
    <t>Evaluating suitability of SCBA in lightweight foamed concrete (Chau et al., 2024)</t>
  </si>
  <si>
    <t>https://pmc.ncbi.nlm.nih.gov/articles/PMC11639039/</t>
  </si>
  <si>
    <t>Maghraby 2025 - untreated SCBA</t>
  </si>
  <si>
    <t>https://link.springer.com/article/10.1007/s43995-025-00198-x</t>
  </si>
  <si>
    <t>Mechanical and durability properties of concrete incorporating silica fume and a high volume of sugarcane bagasse ash</t>
  </si>
  <si>
    <t>https://doi.org/10.1016/j.rineng.2022.100666</t>
  </si>
  <si>
    <t>Mechanical and environmental performance of SCBA concrete (Ullah, 2025)</t>
  </si>
  <si>
    <t>https://www.nature.com/articles/s41598-025-10383-6</t>
  </si>
  <si>
    <t>Mechanical and environmental performance of sugarcane bagasse ash (Ullah 2025 PMC)</t>
  </si>
  <si>
    <t>Mechanical and environmental performance of sugarcane bagasse concrete (Ullah 2025)</t>
  </si>
  <si>
    <t>https://pmc.ncbi.nlm.nih.gov/articles/PMC12238258/</t>
  </si>
  <si>
    <t>Optimizing mechanical properties of concrete using sugarcane bagasse ash</t>
  </si>
  <si>
    <t>https://doi.org/10.1016/j.rineng.2025.105968</t>
  </si>
  <si>
    <t>Alabadan 2006 potential of GSA (CIGR Journal)</t>
  </si>
  <si>
    <t>https://cigrjournal.org/index.php/Ejounral/article/view/626/620</t>
  </si>
  <si>
    <t>Durability and production of blocks with GSA (Materials Today Proceedings)</t>
  </si>
  <si>
    <t>https://doi.org/10.1016/j.matpr.2023.05.216</t>
  </si>
  <si>
    <t>Experimental study on partial replacement with groundnut shell (IJSDR pdf)</t>
  </si>
  <si>
    <t>https://ijsdr.org/papers/IJSDR1909007.pdf</t>
  </si>
  <si>
    <t>GSA 2019 bricks classic study</t>
  </si>
  <si>
    <t>https://isdsnet.com/ijds-v1n3-29.pdf</t>
  </si>
  <si>
    <t>GSA for blocks and durability (Materials Today Proceedings 2023)</t>
  </si>
  <si>
    <t>https://doi.org/10.1016/j.matpr.2023.05.218</t>
  </si>
  <si>
    <t>GSA review &amp; ML prediction (Sathiparan 2023)</t>
  </si>
  <si>
    <t>https://jeas.springeropen.com/articles/10.1186/s44147-023-00302-9</t>
  </si>
  <si>
    <t>GSA small-change effects (ResearchGate figure 2021)</t>
  </si>
  <si>
    <t>https://www.researchgate.net/figure/Compressive-strength-of-Groundnut-shell-ash_fig3_349326752</t>
  </si>
  <si>
    <t>Groundnut Shell Ash - sandcrete blocks (Mahmoud H. Abubakar)</t>
  </si>
  <si>
    <t>https://rjstonline.com/HTMLPaper.aspx?Journal=Research+Journal+of+Science+and+Technology%3BPID%3D2017-9-3-3</t>
  </si>
  <si>
    <t>Groundnut shell ash - IJSDR experimental (IJSDR)</t>
  </si>
  <si>
    <t>Groundnut shell ash - properties and use (ResearchGate PDF)</t>
  </si>
  <si>
    <t>https://www.researchgate.net/publication/329333132_Properties_of_groundnut_shell_Arachis_hypogaea_ash_blended_portland_cement</t>
  </si>
  <si>
    <t>Groundnut shell ash as partial replacement - online article</t>
  </si>
  <si>
    <t>https://jeas.springeropen.com/articles/10.1186/s44147-023-00302-5</t>
  </si>
  <si>
    <t>Al-Naghi 2025 - WSA + fibers</t>
  </si>
  <si>
    <t>https://www.nature.com/articles/s41598-025-02234-1</t>
  </si>
  <si>
    <t>Effect of wheat straw ash as cementitious material on the mechanical characteristics and embodied carbon of concrete reinforced with coir fiber</t>
  </si>
  <si>
    <t>https://doi.org/10.1016/j.heliyon.2024.e24313</t>
  </si>
  <si>
    <t>Experimental compressive strength with WSA treatments (ResearchGate 2023)</t>
  </si>
  <si>
    <t>https://www.researchgate.net/publication/371057247_Experimental_Study_on_the_Compressive_Strength_of_Concrete_with_Different_Wheat_Straw_Treatment_Techniques</t>
  </si>
  <si>
    <t>Experimental study on compressive strength with WSA treatments (ResearchGate 2023)</t>
  </si>
  <si>
    <t>Memon et al. (2021) W0 Control Incorporation of Wheat Straw Ash as Partial Sand Replacement for Production of Eco-Friendly Concrete</t>
  </si>
  <si>
    <t>https://pmc.ncbi.nlm.nih.gov/articles/PMC8074297/</t>
  </si>
  <si>
    <t>Optimization of WSA for cement replacement (Sudeep, 2024)</t>
  </si>
  <si>
    <t>https://link.springer.com/article/10.1007/s44242-024-00054-6</t>
  </si>
  <si>
    <t>PLoS One 2024 - sulfate activation WSA</t>
  </si>
  <si>
    <t>https://journals.plos.org/plosone/article?id=10.1371%2Fjournal.pone.0311838</t>
  </si>
  <si>
    <t>Sustainable cement paste using WSA (MDPI Sustainability, 2024)</t>
  </si>
  <si>
    <t>https://www.mdpi.com/2071-1050/16/24/11226</t>
  </si>
  <si>
    <t>Use of Wheat Straw Ash as partial substitute (Ahmad, 2023)</t>
  </si>
  <si>
    <t>https://ijcsm.springeropen.com/articles/10.1186/s40069-023-00616-1</t>
  </si>
  <si>
    <t>WSA - treatment techniques (2023 ResearchGate)</t>
  </si>
  <si>
    <t>WSA IJIREM 2022 study</t>
  </si>
  <si>
    <t>https://ijirem.org/DOC/18-use-of-wheat-straw-ash-as-cement-replacement-material-in-concrete.pdf</t>
  </si>
  <si>
    <t>BLA behaviour in sulphate environment (ResearchGate)</t>
  </si>
  <si>
    <t>https://www.researchgate.net/publication/330578388_Behaviour_of_Bamboo_Leaf_Ash_Blended_Cement_Concrete_in_Sulphates_Environment</t>
  </si>
  <si>
    <t>BLA empirical study (Umoh 2014)</t>
  </si>
  <si>
    <t>https://jet.utem.edu.my/jet/article/download/167/102/468</t>
  </si>
  <si>
    <t>BLA for geopolymer concrete (Geomate 2024)</t>
  </si>
  <si>
    <t>https://geomatejournal.com/geomate/article/view/3974</t>
  </si>
  <si>
    <t>BLA for geopolymer concrete (Geomate journal 2024)</t>
  </si>
  <si>
    <t>BLA mechanical &amp; durability properties (2022 ScienceDirect)</t>
  </si>
  <si>
    <t>https://www.sciencedirect.com/science/article/pii/S2666790822001884</t>
  </si>
  <si>
    <t>BLA study - IRJMETS 2022</t>
  </si>
  <si>
    <t>https://www.irjmets.com/uploadedfiles/paper/issue_5_may_2022/22371/final/fin_irjmets1651961088.pdf</t>
  </si>
  <si>
    <t>Behaviour of BLA blended cement in sulphate environment (ResearchGate)</t>
  </si>
  <si>
    <t>Compressive Strength and Durability of BLA concrete (IJRASet)</t>
  </si>
  <si>
    <t>https://onlinelibrary.wiley.com/doi/10.1155/2021/6468444</t>
  </si>
  <si>
    <t>Compressive strength and durability of BLA concrete (IJRASet/Wiley)</t>
  </si>
  <si>
    <t>Empirical BLA study (project shelve)</t>
  </si>
  <si>
    <t>https://projectshelve.com/item/bamboo-leaf-ash-as-a-partial-replacement-of-cement-in-concrete-kr75162zsn</t>
  </si>
  <si>
    <t>Empirical study on effect of BLA in concrete (Umoh, 2014)</t>
  </si>
  <si>
    <t>Sidek 2018 POFA study</t>
  </si>
  <si>
    <r>
      <t xml:space="preserve">Zeyad et. al. </t>
    </r>
    <r>
      <rPr>
        <sz val="11"/>
        <color rgb="FF000000"/>
        <rFont val="Arial"/>
        <family val="2"/>
      </rPr>
      <t>[94]</t>
    </r>
    <r>
      <rPr>
        <sz val="11"/>
        <color theme="1"/>
        <rFont val="Arial"/>
        <family val="2"/>
      </rPr>
      <t xml:space="preserve">. </t>
    </r>
  </si>
  <si>
    <t>1. (PDF) Influence of Palm Oil Fuel Ash on Properties of High-Strength Green Concrete</t>
  </si>
  <si>
    <t>Sata et al</t>
  </si>
  <si>
    <t>https://sci-hub.ru/https://doi.org/10.1061/(ASCE)MT.1943-5533.0000104</t>
  </si>
  <si>
    <t>Tangchiri et al</t>
  </si>
  <si>
    <t>https://sci-hub.ru/https://doi.org/10.1016/j.cemconcomp.2010.08.008</t>
  </si>
  <si>
    <t>Seyed et al</t>
  </si>
  <si>
    <t>https://www.sciencedirect.com/science/article/pii/S2214509516300924?via%3Dihub</t>
  </si>
  <si>
    <t>Rangaraju et al 2014</t>
  </si>
  <si>
    <t>https://sci-hub.ru/https://www.sciencedirect.com/science/article/abs/pii/S0958946514001838</t>
  </si>
  <si>
    <t>Performance evaluation of untreated sugarcane bagasse ash as partial replacement of cement on setting time and compressive strength of M15 concrete</t>
  </si>
  <si>
    <t>https://doi.org/10.1007/s11356-021-16034-3</t>
  </si>
  <si>
    <t>Rajeshkumar 2025 hybrid ashes</t>
  </si>
  <si>
    <t>https://www.sciencedirect.com/science/article/pii/S2452321625002859</t>
  </si>
  <si>
    <t>Odeyemi et al</t>
  </si>
  <si>
    <t>https://pdf.sciencedirectassets.com/777799/1-s2.0-S2666790821X00067/1-s2.0-S2666790821003128/main.pdf?X-Amz-Security-Token=IQoJb3JpZ2luX2VjEFUaCXVzLWVhc3QtMSJGMEQCIBasd%2BirVihw5OnVmrP48tRSIc9POdhefEO0I9cBF3VoAiBpkqgHAoOhQIsF1i%2Fgsxkxy84MoQPvctIUUclBLXixhCq8BQjO%2F%2F%2F%2F%2F%2F%2F%2F%2F%2F8BEAUaDDA1OTAwMzU0Njg2NSIMTRirHynmIx%2FagKe1KpAFcYRPN%2F%2F7GEwWm05%2FIraDZKT1DWlYf4hPftexb9SBuCocK7eZdJyIGs12bKcWQTnXOKeFXuBADPiPmz%2F4ieTb4QhU8pSXOIeDmZyBHlpJVb4RXQzjr0XJzsGoEq81xRoCC1nI15F5atLabGs%2BXsos0uZXr5Ty5TjXrmVxkkueSPRWNYoq3LY7D2vEphrd1c5%2BgnwRwlvaEq9Gdya7ikmVtAN2UNNbveytGM8T%2BhVPj8CkzA2oMjOfK1oFoloq1r%2FNx7oUKIWceUHFSlfEgQtfNAaYEgZVRcoFg65ZorRa%2F80kGqkLu9IScKT2tMcTzvnkEcbQmOlZrHwLaZjubta8Jjf54tSM%2BczYCCDS2D4NkpUHsjD5Nr5SKetDouGOa2fubJ0jdJZtvClFaVmqN8tOIhEQJQc%2FoYkER1AigXnlDZLZvWqTdKMPdyxh6caJSinAUOXRRvcXDDg284iI2ARntz1hkeHra25jLY%2FKQ5C6KZa38mMWVEtruk7lwB%2BIuHPigBtFPvBYFS%2BzNaSzNIhRM%2FjLzLIrevEWL9tz6UYuRVsM3bS%2BsRwiylSXq%2BV7XvMnqF1PPbczwMDucoCmLNwN4t%2Bw2Dv9sHdM2kytT4BrCNTcjnjAwMW1PSGotFiaeFbYcWBZaFQy286pBBjRGQkhGypuevfF%2Fkds3c%2FPneaVQUpiflmdVklNj4Xh6M4ZYH2Zn9FLFVamSpd5iC5LA%2B2mNggKi91F%2FxKdIzZmNjD7hetNUxTZXIXW%2BvpmKaVbsu4HmU2TnAAS9cJ9iQBHgyIMPTPdcECjI%2FVDOzAniVVIR5eTllxXKaD00AV2Y0HDaleHgF%2B6Qg9Kjv%2BvtTVWNfcmmw%2FhKVC31H2Fncbwt1RqyGsw2L6zxgY6sgFayZqb7xMSAEhjo9UD93iHqC1kQFk3OHZEt0A1yRl8i7Y44fh9NPzjCrPQUxBHoElwD3bKfSUppBAfmTMp%2BsilCb3WXFeh%2BcXGUBlmVyXh38HjDdUrXb%2FWEgSfTBKkZ8Ko%2BdstL9KbhR72UGfrMDnmtmdCqGzomgysVjj%2BT08x8QxIurFOeC%2F15O0Y6KgfuDZ6I73Ot%2B7c6sJjQQiQeU%2Bp3pSoG29fcTjEt26iB3rby0kO&amp;X-Amz-Algorithm=AWS4-HMAC-SHA256&amp;X-Amz-Date=20250919T055235Z&amp;X-Amz-SignedHeaders=host&amp;X-Amz-Expires=300&amp;X-Amz-Credential=ASIAQ3PHCVTYQBXZFIV2%2F20250919%2Fus-east-1%2Fs3%2Faws4_request&amp;X-Amz-Signature=eaee7bd9a5b7cd6a4f0ddb5a7eabc45d409b4a7eee30e36176f1fa6cc9a87d7d&amp;hash=12ef0a4f8f35bea37913f625ca3fe81286de247c0502bf51dfd28cdaff5a949f&amp;host=68042c943591013ac2b2430a89b270f6af2c76d8dfd086a07176afe7c76c2c61&amp;pii=S2666790821003128&amp;tid=spdf-7c04a09e-c762-4df2-a736-3c9cf9f58685&amp;sid=5756d33d1895b3411769218-5074972eb7b6gxrqb&amp;type=client&amp;tsoh=d3d3LnNjaWVuY2VkaXJlY3QuY29t&amp;rh=d3d3LnNjaWVuY2VkaXJlY3QuY29t&amp;ua=18155d5954550b5f570b&amp;rr=9816d15d0dd39e0e&amp;cc=bw</t>
  </si>
  <si>
    <t>Cement =5.0 BWP/kg</t>
  </si>
  <si>
    <t>Fine aggregate (sand) =0.25 BWP/kg</t>
  </si>
  <si>
    <t>Coarse aggregate (gravel) = 0.20 BWP/kg</t>
  </si>
  <si>
    <t>Superplasticizer (SP) Polycaborxylate =20 BWP/kg</t>
  </si>
  <si>
    <t>Ashes (SCBA, POFA, RHA, etc.) =0.00 BWP/kg</t>
  </si>
  <si>
    <r>
      <rPr>
        <b/>
        <sz val="11"/>
        <color theme="1"/>
        <rFont val="Calibri"/>
        <family val="2"/>
        <scheme val="minor"/>
      </rPr>
      <t>Total Cost (BWP/m³)</t>
    </r>
    <r>
      <rPr>
        <sz val="11"/>
        <color theme="1"/>
        <rFont val="Calibri"/>
        <family val="2"/>
        <scheme val="minor"/>
      </rPr>
      <t>=(cement× unit price c​ement) +(fine aggregate ×unit price f​ine)+ (coarse aggregate × unit price c​oarse)+ (SP× unit price s​p)</t>
    </r>
  </si>
  <si>
    <r>
      <rPr>
        <b/>
        <sz val="11"/>
        <color theme="1"/>
        <rFont val="Calibri"/>
        <family val="2"/>
        <scheme val="minor"/>
      </rPr>
      <t>CO2_kg_per_m3</t>
    </r>
    <r>
      <rPr>
        <sz val="11"/>
        <color theme="1"/>
        <rFont val="Calibri"/>
        <family val="2"/>
        <scheme val="minor"/>
      </rPr>
      <t xml:space="preserve"> = cement_kg_m3 * f_cement</t>
    </r>
  </si>
  <si>
    <t xml:space="preserve">              + ash_kg_m3    * f_ash</t>
  </si>
  <si>
    <t xml:space="preserve">              + fine_aggregate_kg_m3 * f_fine</t>
  </si>
  <si>
    <t xml:space="preserve">              + coarse_aggregate_kg_m3 * f_coarse</t>
  </si>
  <si>
    <t xml:space="preserve">              + superplasticizer_kg_m3 * f_sp</t>
  </si>
  <si>
    <t>f_cement = 0.830 kgCO₂e / kg</t>
  </si>
  <si>
    <t>Ecoinvent</t>
  </si>
  <si>
    <t>f_fine = 0.0139 kgCO₂e / kg</t>
  </si>
  <si>
    <t>f_coarse = 0.0459 kgCO₂e / kg</t>
  </si>
  <si>
    <t>f_sp = 2.7 kgCO₂e / kg (superplasticizer / chemical admixture)</t>
  </si>
  <si>
    <t>Rice husk ash (RHA)</t>
  </si>
  <si>
    <t>https://purehost.bath.ac.uk/ws/portalfiles/portal/228947637/Authors_submitted_v1.pdf</t>
  </si>
  <si>
    <t>Palm oil fuel ash (POFA)</t>
  </si>
  <si>
    <t>http://refhub.elsevier.com/S2405-8440(24)16336-0/sref45</t>
  </si>
  <si>
    <t>Sugarcane bagasse ash (SCBA)</t>
  </si>
  <si>
    <t>https://pmc.ncbi.nlm.nih.gov/articles/PMC12238258/?utm_source=chatgpt.com#Sec34</t>
  </si>
  <si>
    <t>Wheat straw ash (WSA)</t>
  </si>
  <si>
    <t>https://www.researchgate.net/publication/381506479_Wheat_Straw_Ash_and_Silica_Fume_Replacing_Model_for_Lowering_the_Carbon_Footprint_of_Cement_Paste?utm_source=chatgpt.com</t>
  </si>
  <si>
    <t>Bamboo leaf ash (BLA)</t>
  </si>
  <si>
    <t>Groundnut shell ash (GSA)</t>
  </si>
  <si>
    <t>Hilton Ahmad POFA 2014 added 2</t>
  </si>
  <si>
    <t>- https://pubs.aip.org/aip/acp/article-pdf/doi/10.1063/1.5062695/14046503/020069_1_online.pdf</t>
  </si>
  <si>
    <t>-  https://doi.org/10.3151/jact.12.127</t>
  </si>
  <si>
    <t>- https://doi.org/10.1016/j.jobe.2023.106767</t>
  </si>
  <si>
    <t>- file:///C:/Users/USER/Downloads/articles/POFA/1-s2.0-S1226798824008730-main.pdf</t>
  </si>
  <si>
    <t>- https://doi.org/10.1016/j.clet.2024.100738</t>
  </si>
  <si>
    <t>- 1. (PDF) Influence of Palm Oil Fuel Ash on Properties of High-Strength Green Concrete</t>
  </si>
  <si>
    <t>- https://doi.org/10.1016/j.cscm.2019.e00318</t>
  </si>
  <si>
    <t>- https://doi.org/10.1016/j.heliyon.2023.e22296</t>
  </si>
  <si>
    <t>- https://doi.org/10.1016/j.jclepro.2016.07.061</t>
  </si>
  <si>
    <t>- https://www.researchgate.net/profile/Hilton-Ahmad/publication/259935880_Compressive_Strength_of_Palm_Oil_Fuel_Ash_Concrete/links/02e7e52ea41cf8cab3000000/Compressive-Strength-of-Palm-Oil-Fuel-Ash-Concrete.pdf</t>
  </si>
  <si>
    <t>- https://pmc.ncbi.nlm.nih.gov/articles/PMC7828013/</t>
  </si>
  <si>
    <t>- https://sci-hub.ru/https://doi.org/10.1016/j.jclepro.2015.07.033</t>
  </si>
  <si>
    <t>- https://sci-hub.ru/https://doi.org/10.1061/(ASCE)MT.1943-5533.0000104</t>
  </si>
  <si>
    <t>- https://sci-hub.ru/https://doi.org/10.1016/j.cemconcomp.2010.08.008</t>
  </si>
  <si>
    <t>- https://pmc.ncbi.nlm.nih.gov/articles/PMC8620846/</t>
  </si>
  <si>
    <t>- https://www.researchgate.net/publication/259935880_Compressive_Strength_of_Palm_Oil_Fuel_Ash_Concrete</t>
  </si>
  <si>
    <t>- https://www.sciencedirect.com/science/article/abs/pii/S2214785320390878</t>
  </si>
  <si>
    <t>- https://www.researchgate.net/publication/356428770_Palm_Oil_Fuel_Ash-Based_Eco-Friendly_Concrete_Composite_A_Critical_Review</t>
  </si>
  <si>
    <t>- https://www.sciencedirect.com/science/article/pii/S2666165925000754</t>
  </si>
  <si>
    <t>- https://www.sciencedirect.com/science/article/pii/S2214509524000524</t>
  </si>
  <si>
    <t>- https://www.civilejournal.org/index.php/cej/article/view/2210</t>
  </si>
  <si>
    <t>- https://www.researchgate.net/</t>
  </si>
  <si>
    <t>- https://www.researchgate.net/publication/264543792_Compressive_strength_of_concrete_with_rice_husk_ash_as_partial_replacement_of_ordinary_Portland_cement</t>
  </si>
  <si>
    <t>- https://www.frontiersin.org/articles/10.3389/fmats.2021.665625/full</t>
  </si>
  <si>
    <t>- https://pmc.ncbi.nlm.nih.gov/articles/PMC9699146/</t>
  </si>
  <si>
    <t>- https://www.researchgate.net/publication/390514930_Impact_of_Rice_Husk_Ash_Properties_on_Concrete_Strength_Experimental_and_Machine_Learning_Study</t>
  </si>
  <si>
    <t>- https://pmc.ncbi.nlm.nih.gov/</t>
  </si>
  <si>
    <t>- https://link.springer.com/article/10.1007/s42107-025-01530-5</t>
  </si>
  <si>
    <t>- https://www.sciencedirect.com/</t>
  </si>
  <si>
    <t>- https://www.sciencedirect.com/science/article/pii/S2214509516300924?via%3Dihub</t>
  </si>
  <si>
    <t>- https://sci-hub.ru/https://www.sciencedirect.com/science/article/abs/pii/S0958946514001838</t>
  </si>
  <si>
    <t>- https://pmc.ncbi.nlm.nih.gov/articles/PMC11595526/</t>
  </si>
  <si>
    <t>- https://pmc.ncbi.nlm.nih.gov/articles/PMC11025938/</t>
  </si>
  <si>
    <t>- https://link.springer.com/article/10.1007/s44416-025-00013-9</t>
  </si>
  <si>
    <t>- https://www.researchgate.net/publication/358783816_Rice_Husk_Ash_Concrete_Study_with_Experimental_and_Theoretical_result_of_Compressive_Strength_and_Other_Characteristics</t>
  </si>
  <si>
    <t>- https://onlinelibrary.wiley.com/doi/abs/10.1155/adce/1812998</t>
  </si>
  <si>
    <t>- https://pmc.ncbi.nlm.nih.gov/articles/PMC10253968/</t>
  </si>
  <si>
    <t>- https://www.nature.com/articles/s41598-024-76360-7</t>
  </si>
  <si>
    <t>- https://www.nature.com/articles/s41598-025-01192-y</t>
  </si>
  <si>
    <t>- https://jresm.org/wp-content/uploads/resm2023.819ma0712.pdf</t>
  </si>
  <si>
    <t>- https://www.researchgate.net/publication/287501413_Compressive_Strength_and_Microstructure_of_Sugar_Cane_Bagasse_Ash_Concrete</t>
  </si>
  <si>
    <t>- https://link.springer.com/article/10.1007/s41062-025-02177-6</t>
  </si>
  <si>
    <t>- https://pmc.ncbi.nlm.nih.gov/articles/PMC11639039/</t>
  </si>
  <si>
    <t>- https://link.springer.com/article/10.1007/s43995-025-00198-x</t>
  </si>
  <si>
    <t>- https://doi.org/10.1016/j.rineng.2022.100666</t>
  </si>
  <si>
    <t>- https://www.nature.com/articles/s41598-025-10383-6</t>
  </si>
  <si>
    <t>- https://pmc.ncbi.nlm.nih.gov/articles/PMC12238258/</t>
  </si>
  <si>
    <t>- https://doi.org/10.1016/j.rineng.2025.105968</t>
  </si>
  <si>
    <t>- https://doi.org/10.1007/s11356-021-16034-3</t>
  </si>
  <si>
    <t>- https://doi.org/10.1007/s11356-021-16034-4</t>
  </si>
  <si>
    <t>- https://doi.org/10.1007/s11356-021-16034-5</t>
  </si>
  <si>
    <t>- https://doi.org/10.1007/s11356-021-16034-6</t>
  </si>
  <si>
    <t>- https://doi.org/10.1007/s11356-021-16034-7</t>
  </si>
  <si>
    <t>- https://doi.org/10.1007/s11356-021-16034-8</t>
  </si>
  <si>
    <t>- https://doi.org/10.1007/s11356-021-16034-9</t>
  </si>
  <si>
    <t>- https://doi.org/10.1007/s11356-021-16034-10</t>
  </si>
  <si>
    <t>- https://doi.org/10.1007/s11356-021-16034-11</t>
  </si>
  <si>
    <t>- https://doi.org/10.1007/s11356-021-16034-12</t>
  </si>
  <si>
    <t>- https://doi.org/10.1007/s11356-021-16034-13</t>
  </si>
  <si>
    <t>- https://doi.org/10.1007/s11356-021-16034-14</t>
  </si>
  <si>
    <t>- https://doi.org/10.1007/s11356-021-16034-15</t>
  </si>
  <si>
    <t>- https://doi.org/10.1007/s11356-021-16034-16</t>
  </si>
  <si>
    <t>- https://doi.org/10.1007/s11356-021-16034-17</t>
  </si>
  <si>
    <t>- https://doi.org/10.1007/s11356-021-16034-18</t>
  </si>
  <si>
    <t>- https://doi.org/10.1007/s11356-021-16034-19</t>
  </si>
  <si>
    <t>- https://doi.org/10.1007/s11356-021-16034-20</t>
  </si>
  <si>
    <t>- https://doi.org/10.1007/s11356-021-16034-21</t>
  </si>
  <si>
    <t>- https://doi.org/10.1007/s11356-021-16034-22</t>
  </si>
  <si>
    <t>- https://pmc.ncbi.nlm.nih.gov/articles/PMC6337557/</t>
  </si>
  <si>
    <t>- https://pdfs.semanticscholar.org/4cf1/b721beb3da8669df5b9743462b0bfb0e6256.pdf</t>
  </si>
  <si>
    <t>- https://www.sciencedirect.com/science/article/pii/S2666790824000314</t>
  </si>
  <si>
    <t>- https://pmc.ncbi.nlm.nih.gov/articles/PMC8434162/</t>
  </si>
  <si>
    <t>- https://www.researchgate.net/publication/330144043_Sustainable_Use_of_Sugarcane_Bagasse_Ash_in_Cement_Based_Materials</t>
  </si>
  <si>
    <t>- https://pmc.ncbi.nlm.nih.gov/articles/PMC11525549/</t>
  </si>
  <si>
    <t>- https://cigrjournal.org/index.php/Ejounral/article/view/626/620</t>
  </si>
  <si>
    <t>- https://doi.org/10.1016/j.matpr.2023.05.216</t>
  </si>
  <si>
    <t>- https://www.sciencedirect.com/science/article/abs/pii/S2214785323028444</t>
  </si>
  <si>
    <t>- https://ijsdr.org/papers/IJSDR1909007.pdf</t>
  </si>
  <si>
    <t>- https://isdsnet.com/ijds-v1n3-29.pdf</t>
  </si>
  <si>
    <t>- https://doi.org/10.1016/j.matpr.2023.05.218</t>
  </si>
  <si>
    <t>- https://jeas.springeropen.com/articles/10.1186/s44147-023-00302-9</t>
  </si>
  <si>
    <t>- https://www.researchgate.net/figure/Compressive-strength-of-Groundnut-shell-ash_fig3_349326752</t>
  </si>
  <si>
    <t>- https://rjstonline.com/HTMLPaper.aspx?Journal=Research+Journal+of+Science+and+Technology%3BPID%3D2017-9-3-3</t>
  </si>
  <si>
    <t>- https://example.org/gsa-additional-2022</t>
  </si>
  <si>
    <t>- https://www.researchgate.net/publication/329333132_Properties_of_groundnut_shell_Arachis_hypogaea_ash_blended_portland_cement</t>
  </si>
  <si>
    <t>- https://jeas.springeropen.com/articles/10.1186/s44147-023-00302-5</t>
  </si>
  <si>
    <t>- https://www.sciencedirect.com/science/article/pii/S2452321625002859</t>
  </si>
  <si>
    <t>- https://pmc.ncbi.nlm.nih.gov/articles/PMC11043436/</t>
  </si>
  <si>
    <t>- https://www.researchgate.net/publication/228509107_The_Potentials_of_Groundnut_Shell_Ash_as_Concrete_Admixture</t>
  </si>
  <si>
    <t>- https://www.sciencedirect.com/science/article/pii/S2772912525001770</t>
  </si>
  <si>
    <t>- https://www.researchgate.net/publication/372236284_Utilization_of_Groundnut_Shell_Ash_as_Cement_Replacement_in_Stabilized_Earth_Blocks</t>
  </si>
  <si>
    <t>- https://www.ajol.info/index.php/jasem/article/view/</t>
  </si>
  <si>
    <t>- https://pmc.ncbi.nlm.nih.gov/articles/PMC12446477/</t>
  </si>
  <si>
    <t>- https://www.nature.com/articles/s41598-025-02234-1</t>
  </si>
  <si>
    <t>- https://www.researchgate.net/publication/371057247_Experimental_Study_on_the_Compressive_Strength_of_Concrete_with_Different_Wheat_Straw_Treatment_Techniques</t>
  </si>
  <si>
    <t>- https://pmc.ncbi.nlm.nih.gov/articles/PMC8074297/</t>
  </si>
  <si>
    <t>- https://link.springer.com/article/10.1007/s44242-024-00054-6</t>
  </si>
  <si>
    <t>- https://journals.plos.org/plosone/article?id=10.1371%2Fjournal.pone.0311838</t>
  </si>
  <si>
    <t>- https://www.mdpi.com/2071-1050/16/24/11226</t>
  </si>
  <si>
    <t>- https://ijcsm.springeropen.com/articles/10.1186/s40069-023-00616-1</t>
  </si>
  <si>
    <t>- https://example.com/wsa-additional</t>
  </si>
  <si>
    <t>- https://ijirem.org/DOC/18-use-of-wheat-straw-ash-as-cement-replacement-material-in-concrete.pdf</t>
  </si>
  <si>
    <t>- https://doi.org/10.1016/j.heliyon.2024.e24325</t>
  </si>
  <si>
    <t>- https://doi.org/10.1016/j.heliyon.2024.e24326</t>
  </si>
  <si>
    <t>- https://doi.org/10.1016/j.heliyon.2024.e24327</t>
  </si>
  <si>
    <t>- https://doi.org/10.1016/j.heliyon.2024.e24328</t>
  </si>
  <si>
    <t>- https://doi.org/10.1016/j.heliyon.2024.e24329</t>
  </si>
  <si>
    <t>- https://pmc.ncbi.nlm.nih.gov/articles/PMC10095573/</t>
  </si>
  <si>
    <t>- https://pmc.ncbi.nlm.nih.gov/articles/PMC4642169/</t>
  </si>
  <si>
    <t>- https://www.sciencedirect.com/science/article/pii/S2772801325000466</t>
  </si>
  <si>
    <t>- https://opencivilengineeringjournal.com/VOLUME/19/ELOCATOR/e18741495286261/PDF/</t>
  </si>
  <si>
    <t>- https://www.researchgate.net/publication/274249790_Study_on_the_characteristics_of_waste_wood_ash</t>
  </si>
  <si>
    <t>- https://pmc.ncbi.nlm.nih.gov/articles/PMC9369833/</t>
  </si>
  <si>
    <t>- https://www.sciencedirect.com/science/article/pii/S2238785423003046</t>
  </si>
  <si>
    <t>- https://example.com/WSA/collected/1</t>
  </si>
  <si>
    <t xml:space="preserve"> POFA 1 </t>
  </si>
  <si>
    <t xml:space="preserve"> RHA 1</t>
  </si>
  <si>
    <t xml:space="preserve"> SCBA 1</t>
  </si>
  <si>
    <t>GSA 1</t>
  </si>
  <si>
    <t>WSA 1</t>
  </si>
  <si>
    <t>- https://www.researchgate.net/publication/330578388_Behaviour_of_Bamboo_Leaf_Ash_Blended_Cement_Concrete_in_Sulphates_Environment</t>
  </si>
  <si>
    <t>- https://jet.utem.edu.my/jet/article/download/167/102/468</t>
  </si>
  <si>
    <t>- https://geomatejournal.com/geomate/article/view/3974</t>
  </si>
  <si>
    <t>- https://www.sciencedirect.com/science/article/pii/S2666790822001884</t>
  </si>
  <si>
    <t>- https://example.com/bla-micro-2024</t>
  </si>
  <si>
    <t>- https://www.irjmets.com/uploadedfiles/paper/issue_5_may_2022/22371/final/fin_irjmets1651961088.pdf</t>
  </si>
  <si>
    <t>- https://onlinelibrary.wiley.com/doi/10.1155/2021/6468444</t>
  </si>
  <si>
    <t>- https://projectshelve.com/item/bamboo-leaf-ash-as-a-partial-replacement-of-cement-in-concrete-kr75162zsn</t>
  </si>
  <si>
    <t xml:space="preserve"> https://pmc.ncbi.nlm.nih.gov/articles/PMC11004408/</t>
  </si>
  <si>
    <t>- https://pmc.ncbi.nlm.nih.gov/articles/PMC10856176/</t>
  </si>
  <si>
    <t>- https://link.springer.com/article/10.1007/s43939-025-00296-6</t>
  </si>
  <si>
    <t>- https://www.researchgate.net/publication/385275626_Efficiency_of_Banana_Leaf_Ash_as_a_Partial_Replacement_for_Cement_in_Concrete_Production</t>
  </si>
  <si>
    <t>- https://www.researchgate.net/publication/260016052_Banana_leaves_ashes_as_pozzolan_for_concrete_and_mortar_of_Portland_cement</t>
  </si>
  <si>
    <t>- https://example.com/BLA/collected/1</t>
  </si>
  <si>
    <t xml:space="preserve"> BLA 1</t>
  </si>
  <si>
    <t xml:space="preserve"> </t>
  </si>
  <si>
    <t>Corncob ash (CCA)</t>
  </si>
  <si>
    <t>https://doi.org/10.1016/j.cscm.2022.e01665</t>
  </si>
  <si>
    <t>pozzolan added(slag)</t>
  </si>
  <si>
    <t>http://creativecommons.org/licenses/by/4.0/</t>
  </si>
  <si>
    <t>Sustainability assessment of geopolymer concrete synthesized by slag and corncob ash</t>
  </si>
  <si>
    <t xml:space="preserve">   https://pubs.aip.org/aip/acp/article-pdf/doi/10.1063/1.5062695/14046503/020069_1_online.pdf</t>
  </si>
  <si>
    <t>https://www.mdpi.com/2071-1050/12/22/9322</t>
  </si>
  <si>
    <t>Al-Mughana</t>
  </si>
  <si>
    <t>https://sci-hub.ru/https://www.sciencedirect.com/science/article/abs/pii/S2214785320390878?utm_source=chatgpt.com</t>
  </si>
  <si>
    <t>Chalee et al., 2021</t>
  </si>
  <si>
    <t>https://www.sciencedirect.com/science/article/pii/S2238785421004051?utm_source=chatgpt.com</t>
  </si>
  <si>
    <t>https://www.irbnet.de/daten/iconda/CIB17272.pdf?utm_source=chatgpt.com</t>
  </si>
  <si>
    <t>Lee et al</t>
  </si>
  <si>
    <t>https://www.ijert.org/research/palm-oil-fuel-ash-as-partial-replacement-of-cement-in-concrete-IJERTV6IS030514.pdf?utm_source=chatgpt.com</t>
  </si>
  <si>
    <t>Preethi et al 2017</t>
  </si>
  <si>
    <t>https://www.researchgate.net/publication/343730376_Consumption_of_palm_oil_fuel_ash_in_producing_lightweight_concrete?utm_source=chatgpt.com</t>
  </si>
  <si>
    <t>Rajesh et al</t>
  </si>
  <si>
    <t>Alabi et al 2021</t>
  </si>
  <si>
    <t>https://www.sciencedirect.com/science/article/abs/pii/S0950061811006842?utm_source=chatgpt.com</t>
  </si>
  <si>
    <t>Johari et al 2012</t>
  </si>
  <si>
    <t>https://sci-hub.ru/https://www.sciencedirect.com/science/article/abs/pii/S0950061807001511</t>
  </si>
  <si>
    <t>Ganesan et al 2008</t>
  </si>
  <si>
    <t>https://sci-hub.ru/https://www.sciencedirect.com/science/article/abs/pii/S0958946504001301</t>
  </si>
  <si>
    <t>Bui et al 2005</t>
  </si>
  <si>
    <t>pozzolan added kgm3(fly ash)</t>
  </si>
  <si>
    <t>https://www.researchgate.net/publication/329731630_Experimental_study_on_rice_husk_ASH_and_fly_ash_as_partial_replacement_of_cement_in_concrete?utm_source=chatgpt.com</t>
  </si>
  <si>
    <t>Nagaraan et a 2018</t>
  </si>
  <si>
    <t>Alieu et al</t>
  </si>
  <si>
    <t>https://pdf.sciencedirectassets.com/287527/1-s2.0-S2214509517X00028/1-s2.0-S2214509516300924/main.pdf?X-Amz-Security-Token=IQoJb3JpZ2luX2VjEBUaCXVzLWVhc3QtMSJHMEUCIQC2PC2pEMbjqXrKe1RIVOskeQOBwqbV3S3kTVFK2hgRHQIgXy6BMUhMhtaaoqBvcuu849dhO72vi4jnIXlky7GZZwoqvAUIrf%2F%2F%2F%2F%2F%2F%2F%2F%2F%2FARAFGgwwNTkwMDM1NDY4NjUiDOSDhOiJsQobdXJpgiqQBVjmJnKy%2BYo1V6EbUYkRgny8eY%2BrPW6ks5neCyFtXsLD7oOOS81X%2FRpPxCyz0DbZkF5yWwnerdM0oGj%2F3SXyr8mn5jY04BOQh7haIHHXtJ9BQvV%2FNGdDfEqfH0JGC4hXEY7ruf%2BC1eG1wkh5tWHhzFnAuie1rnLokAxuEXRB5p3pr9EX75JCK1VXkgOKD86%2BFOmD8vRyawdh70wg%2FEGpAUwg%2F5CEZULAkxqtM3tSkHJM7UCcB7vLE49Abc5o8doO6vEcRr9GxT6ZhOSDVWiaCrSa7PO1EWtE%2FXVkFDgK%2BVGkIeTKzzwfHtDWlZ5FxzY%2ByVoAVEQa9ZY%2FIq8CP4gKx%2Fc940Au%2BvhJYy82ZYCiBoqkFHF3gNIkIt74PZmUq9tS5pUO%2BGZiA0hZYEWIVBwEBWLwU9ymXWnhhnFe1frdvfErWZcymQV0IjyGDM4agT2pBUYZ9W31WlO6x3TCyj08AxycfNZDiEeCuaeL0YJJxdArQ7JWfWHfqwHUqGPcjXsCv5Ekq7pXxlPTnvHyAoqNEMWS%2FAEcqpNlNnk7u3ICwao%2B2fyHfI244wlR9MsVJCpD4Vc%2BQg2P%2BH47Ae3q%2FSqyXRslDB7GA0Hc8Whmqj7zg5hyO6v%2Bz4oi0gFp86rXGxbbJOSPDkQ7iA6oKQlgvGKMp9IPIT6xcYqcgBdopcBFMZiWPsL228bJJYq05%2Fyz5h%2BGz7wQuvaEK7tS3P36GZOkQub2pe7Z0pxNUuUw7LJzprBlPjoEGfyFXIZ%2Bbm6TRgLzUfWznM9T6Abu5rU9hVvkdtgeKF82OJend1KEFwQCwtaEOGq1z02SDia3Phd0WR2HDIkuzWzzQ5ZS38dPY3JdPb05nfCZtjgKmy7LDpqtbbtkMJrqlccGOrEBnqSEwbQibuiArYiT%2FEb5ds0%2F9G8yN69OK92k6payd7Se6QAMzFv8uMfdgnXq%2BLrPruZCBIVoxccxYRBI3diClCahuU%2F6OWKeiDnJUoQ4e0JByHgR6DtOw2B23uow%2Fom%2Fd12jhhb8MOFdeKVMrCjBYg1HWFQ%2BGIyBhSWfQWH4pSQ7NFrk1fobb4uyYfqQQOto01pW%2FnqFtelPIWSeOS0oCFtQZ30ilo%2Fwuh7UoCSqsWlh&amp;X-Amz-Algorithm=AWS4-HMAC-SHA256&amp;X-Amz-Date=20251007T211424Z&amp;X-Amz-SignedHeaders=host&amp;X-Amz-Expires=300&amp;X-Amz-Credential=ASIAQ3PHCVTYQDXONFDO%2F20251007%2Fus-east-1%2Fs3%2Faws4_request&amp;X-Amz-Signature=010844e09e424acc24cb7d9e6524a2556062304e40db867ef0ebc85f4bc4cf58&amp;hash=99fe66517f94f473a77d79fc6a9cead19257cd6a8d53f3b01f23d52f8c912755&amp;host=68042c943591013ac2b2430a89b270f6af2c76d8dfd086a07176afe7c76c2c61&amp;pii=S2214509516300924&amp;tid=spdf-ecb89179-746d-43d9-b094-2fc0effe8667&amp;sid=9aaa8891341ea440730ac3a-82fcaecdf1b1gxrqb&amp;type=client&amp;tsoh=d3d3LnNjaWVuY2VkaXJlY3QuY29t&amp;rh=d3d3LnNjaWVuY2VkaXJlY3QuY29t&amp;ua=18135c5b0d5e595f5501&amp;rr=98b0686c8a1473e4&amp;cc=bw</t>
  </si>
  <si>
    <t>Zareei et al 2017</t>
  </si>
  <si>
    <t>https://doi.org/10.1016/j.jclepro.2022.131285</t>
  </si>
  <si>
    <t>Iftikhar et al 2022</t>
  </si>
  <si>
    <t>Mustafa et al 2010</t>
  </si>
  <si>
    <t>https://www.scielo.br/j/babt/a/sgysQmzXNTPfhRjNbhLzPjc/?lang=en</t>
  </si>
  <si>
    <t>Saravanan et al 2016</t>
  </si>
  <si>
    <t>https://sci-hub.ru/https://link.springer.com/chapter/10.1007/978-3-319-59471-2_25</t>
  </si>
  <si>
    <t>Balapour et al 2018</t>
  </si>
  <si>
    <t>https://dx.doi.org/10.4314/just.v1i1.2s</t>
  </si>
  <si>
    <t>https://www.researchgate.net/publication/287501413_Compressive_Strength_and_Microstructure_of_Sugar_Cane_Bagasse_Ash_Concrete?utm_source=chatgpt.com</t>
  </si>
  <si>
    <t>Hussein et al 2014</t>
  </si>
  <si>
    <t>https://www.mdpi.com/2071-1050/13/5/2867</t>
  </si>
  <si>
    <t>Muhammad et al 2021</t>
  </si>
  <si>
    <t>https://www.researchgate.net/publication/305281723_Bagasse_ash_as_a_cement_replacing_material?channel=doi&amp;linkId=5786c6f008ae36ad40a69a15&amp;showFulltext=true</t>
  </si>
  <si>
    <t>Hailu 2011</t>
  </si>
  <si>
    <t>https://pmc.ncbi.nlm.nih.gov/articles/PMC12216261/?utm_source=chatgpt.com</t>
  </si>
  <si>
    <t>Woldesenbet et al</t>
  </si>
  <si>
    <t>https://www.researchgate.net/publication/387582508_Assessing_the_impact_of_sugar_cane_bagasse_ash_and_nano_silica_on_mechanical_and_durability_properties_of_concrete</t>
  </si>
  <si>
    <t>Jayaguru et al 2024</t>
  </si>
  <si>
    <t>https://www.researchgate.net/publication/383761954_Performance_Evaluation_of_Untreated_Sugarcane_Bagasse_Ash_as_a_Cement_Alternative_for_Sustainable_Concrete</t>
  </si>
  <si>
    <t>Saha et al 2024</t>
  </si>
  <si>
    <t>https://pdf.sciencedirectassets.com/780953/1-s2.0-S2772912525X00038/1-s2.0-S2772912525001770/main.pdf?X-Amz-Security-Token=IQoJb3JpZ2luX2VjEDwaCXVzLWVhc3QtMSJIMEYCIQDqUa4aDHllj2lRJbExLF%2FR9ij2LOFO9arVefYudU%2F18AIhAIOluh1dLy26XyX3GDmTCDmDWC%2FUrodcYym5HqZ1LQMdKrwFCNX%2F%2F%2F%2F%2F%2F%2F%2F%2F%2FwEQBRoMMDU5MDAzNTQ2ODY1Igzithx%2F57nmVR7ge2gqkAW7ZJzbq5Q2o6luW65y8l%2ByU4r%2Ffl2M7%2B8L8wXf6O6aCQl60hvOSkrdeOa12x%2BVgB9hZ2Sc1dXgW0uBA8EKtWkiKn1j75lgj8SxE%2Fogoj1eWlBWp6MDu8b3R80RIEMoyVMPnB4AzypV0PFaExQLyQpSd8PFm6Jpo6HXkXbd3AOMMvGCJDtR1Aj6cGrgGW7B4DZGy9Ogb9hqoGuwvpaMyU3P%2FH2JmxplM0TL86LUWiIL5WPV0QlACOZNSRrlx4BZYoF341Z9JGhq7v3OF8t1gl35T73T09ucN23ixflZvde9bHP3RtZ9iEjc7elns%2FvrLEbZx6WCPJBGcd7NWeFkgiCoz8NHjoSy%2Fh4dlABJN1RStxEk5uy95z7%2BnQQKCiLXRAcPBgOOfbAmcB3upVtPddltUJSZKQ9i7FW5KtpNo5XlUH3QliytbWJ88Ds1K7sxMM5MrYfNCTZRysPaIZVbUSeX2l9UyrL0u%2FxMZ%2BWj%2FQO1HIvmiF2WJ%2FyRjdG4ud9l5MSlZaS6znfP8u8yfzfiN91sF%2BZlP76bMPVq0Cdopn0MHHaR0qXMfXux%2Fa3%2FlMxjIbBheBJvhLmZE2up1njkBDqrHx3AhIFLEDC7c7usMlQHpRfln8lnEqXiQOEI%2FsTdfgXeTS7nPf%2FqWKiPr1ZrxyE3Jr1z8W1cr3nAC%2BtFrF7l5eXD9ZEGqaHi4B%2FRK6HBPON4OboT33MnB5%2BkqqrBhQ%2BfXVcTSxtSuMn%2FyL9xwCDc5YoByAvLvVRVduesZcBa9ZLsfEJkLLQ9sgLH43U2tLCQjLsphz1nJY%2FvDtB460X2I8J1LdRKz1FRUedz7kJ7a8vDwYY5DKr%2FThZF1sxnBIRl%2BKcY9vMwGIo7%2B%2FT5gaTxZjDowJ7HBjqwAa4TBZy6Q1RjwsIusD4CXbP3JbZAjnt3LPthow1Ec30qOTDkyPqZ0HMggz4nA7itRWTHxhaemkFfaX863FC3GvWKy%2FA7CFmmghsRBj1N0qD4aIVAgVifrzMKz%2B6%2FeP57O7SscUHAtCPDdoDCBd9JKiaOFdLNCmDMrSL5JG21z3AzQjC%2BgNqnBs5Lw8lph2CQRnlGJKlrTyTuDBnCu1%2BodEQ%2BFPLaRkbpWXOVHrQB7w94&amp;X-Amz-Algorithm=AWS4-HMAC-SHA256&amp;X-Amz-Date=20251009T130525Z&amp;X-Amz-SignedHeaders=host&amp;X-Amz-Expires=300&amp;X-Amz-Credential=ASIAQ3PHCVTYV3DNSP2C%2F20251009%2Fus-east-1%2Fs3%2Faws4_request&amp;X-Amz-Signature=63b823fad343a716324f1f64e99228d8afd657d68ca3678c41bcdfd688fd0c23&amp;hash=5e189110239d39ddbf81c05ec8949841a1692439ebc65adf9f43abc52eef05ce&amp;host=68042c943591013ac2b2430a89b270f6af2c76d8dfd086a07176afe7c76c2c61&amp;pii=S2772912525001770&amp;tid=spdf-dcf8f3c5-6ca1-465f-954e-261627c884bc&amp;sid=b9ae1a3599e1074dcc6ba8a-e1ada23f9f4bgxrqb&amp;type=client&amp;tsoh=d3d3LnNjaWVuY2VkaXJlY3QuY29t&amp;rh=d3d3LnNjaWVuY2VkaXJlY3QuY29t&amp;ua=18135c5b0d0b5e510707&amp;rr=98be16de5caf7c4e&amp;cc=bw</t>
  </si>
  <si>
    <t>Mahesh et al 2025</t>
  </si>
  <si>
    <t>Lakshmi et al 2017</t>
  </si>
  <si>
    <t>https://link.springer.com/article/10.1007/s41024-020-00099-7/tables/3</t>
  </si>
  <si>
    <t>Beel et al 2020</t>
  </si>
  <si>
    <t>https://www.researchgate.net/publication/361904419_A_Study_of_Properties_of_Wheat_Straw_Ash_as_a_Partial_Cement_Replacement_in_the_Production_of_Green_Concrete?utm_source=chatgpt.com</t>
  </si>
  <si>
    <t>Khan et al 2019</t>
  </si>
  <si>
    <t>https://bioresources.cnr.ncsu.edu/resources/utilization-of-straw-ash-as-a-partial-substitute-for-ordinary-portland-cement-in-concrete/?utm_source=chatgpt.com</t>
  </si>
  <si>
    <t>Shi et al 2024</t>
  </si>
  <si>
    <t>https://journals.plos.org/plosone/article?id=10.1371%2Fjournal.pone.0311838&amp;utm_source=chatgpt.com</t>
  </si>
  <si>
    <t>pozzolan added(waste steel fiber)</t>
  </si>
  <si>
    <t>Zaid et al 2024</t>
  </si>
  <si>
    <t>https://pdf.sciencedirectassets.com/777799/1-s2.0-S2666790822X00062/1-s2.0-S2666790822001884/main.pdf?X-Amz-Security-Token=IQoJb3JpZ2luX2VjEEsaCXVzLWVhc3QtMSJGMEQCIHqjaI6fmEX8JdMtYtIp8Y1prId1PjtmzwjXUFL8fIXyAiAAh3xamjkCUHCIV%2FOsKm%2BSc3lOmS1U9lw5WM7R1gvkkSq8BQjj%2F%2F%2F%2F%2F%2F%2F%2F%2F%2F8BEAUaDDA1OTAwMzU0Njg2NSIM%2B3PrFV4Nklums%2BqvKpAF5fhPInnhOtG1UujAlKdTKjm%2BYY%2Fdh6yTUcXUp4AryNiCk3PSCFayrBD%2FPyKcU%2FcNPIe3NUt6h8QtPRqxVcNsm6JXvX4lBaAyu11P1cJCHJ8xG2MpdJru%2FivlEyrVVXcA6Y5z9EV6hVE%2BQlcsT1VK2Fka3If7wrR94dG1no9b4uy2tWS2EBaWtiwM7q1IGDh9GnAkmKy0zgs8HZlaA4HsdeVMpiZ7DzlLc2FPJeoYp8SwH0mu9VyVCHW2AUl5wjloChIz6Ua8HEOLs39uB8VgEFodSRbq%2FhBOy%2FEBtHmAva2oVo7jTHLZ8jlUmEvyuDx%2Fu2sTraUkeDSTLs21xiF0tfzeQ9jlHjTjhuiw2RSebOyWDbLqjgGzFgoJoO%2B0msshpkTJBwN6h89XPXL0nMUMozkUAk8JvmhhRAXw21z1gqBuB9OuHLRtRyMdawhGjnVjghCv3JZhW9DuzezXR%2BtVpQ2aXKwqPaZ0M6fvTTrbCBthkngjXkY8EWVDTJVCY3IfE%2BUVH82C8jOFxlTiO7OLY6AV3kEPhuMXsvbKN41Y9T%2Bf6O6TDHtQqRT1u7O4vgrHt%2BTwg%2F4Pqda6ROCBG7Ea76z7iouBiyvBnCDsXVJioBsnLCJz5ZXB2r0fSiz%2BA2rOtwDkkICH6eVdpGG10qqwu%2BOguj%2BI80%2FkYvMBluHpHthB7vtb7%2BiAR79pCzcfUUs1amLtDvYRH%2FWqclWheZ4ZUS9yjehTHEsd2dcb0PbSd0MGv0SydZLYZRcthZCP%2B3Te2%2BcBi6xcQY9Y8Tmqg3cGkmXAWV3ia5GEENwl5%2FIgANuUyihN7KzrRPCGMTR7qcl05f1eDp0NNq4DnHEF748c3oZgyF6kHvBiSO1%2FFI%2BIsWQw4dqhxwY6sgG%2BDP4HgRB6jvh05QtvEO%2BuDo9a6Whx%2FBww8A3DavpffvRev0tutulf9UE6dw87WcSgIvDaWlWPOUxwEMTPyWwfszj3sXgFBUfCwTy3LIDgxhIVBsgEb1hIvxSiftmGtdkHSnuZyyKDB6XvOcVUhJGJr0%2BbtT9N0mpVqKwOhPP03SNvq9mPVvORdF6G4zJ9AIwCBi3utMT%2B6TzF%2FH8oyyp2EuD80kd34uIgwkZ0hQ%2FG84eP&amp;X-Amz-Algorithm=AWS4-HMAC-SHA256&amp;X-Amz-Date=20251010T032735Z&amp;X-Amz-SignedHeaders=host&amp;X-Amz-Expires=300&amp;X-Amz-Credential=ASIAQ3PHCVTYTWPNUEIH%2F20251010%2Fus-east-1%2Fs3%2Faws4_request&amp;X-Amz-Signature=aaaf520dc7ce4ed9e603e088e428af52cf52f8bb754de7bd31b201cdde795192&amp;hash=aab0128d145a880a63f96412af8a5b5d36ee1d3daf1249e3766fcfc6dc2e9cb0&amp;host=68042c943591013ac2b2430a89b270f6af2c76d8dfd086a07176afe7c76c2c61&amp;pii=S2666790822001884&amp;tid=spdf-75c0144d-1685-47c4-bae4-bef42ed1fe02&amp;sid=b9ae1a3599e1074dcc6ba8a-e1ada23f9f4bgxrqb&amp;type=client&amp;tsoh=d3d3LnNjaWVuY2VkaXJlY3QuY29t&amp;rh=d3d3LnNjaWVuY2VkaXJlY3QuY29t&amp;ua=18135c5b0c5d5f520756&amp;rr=98c305d40c0d7c4e&amp;cc=bw</t>
  </si>
  <si>
    <t>Nduka et al 2022</t>
  </si>
  <si>
    <t>https://openconstructionbuildingtechnologyjournal.com/VOLUME/13/PAGE/67/FULLTEXT/?utm_source=chatgpt.com</t>
  </si>
  <si>
    <t>Onikuku et al 2019</t>
  </si>
  <si>
    <t>Abebaw et al 2021</t>
  </si>
  <si>
    <t>Stroeven et al 2004</t>
  </si>
  <si>
    <t>https://researchportal.lsbu.ac.uk/ws/portalfiles/portal/6367994/c382eb52_Suitability_20of_20corncob_20ash_20as_20a_20supplementary_20cementitious_20material.pdf</t>
  </si>
  <si>
    <t>Kamau et al 2016</t>
  </si>
  <si>
    <t>Adesanya et al 2009</t>
  </si>
  <si>
    <t>10.1016/j.conbuildmat.2007.12.004 (scribd.com)</t>
  </si>
  <si>
    <t>Oyebisi et al 2022</t>
  </si>
  <si>
    <t>10.1016/j.jclepro.2017.12.050</t>
  </si>
  <si>
    <t>Memon et al 2017</t>
  </si>
  <si>
    <t>http://www.irjet.net/</t>
  </si>
  <si>
    <t>Subahar et al 2021</t>
  </si>
  <si>
    <t>Salem et al</t>
  </si>
  <si>
    <t>https://doi.org/10.1016/j.cscm.2022.e01193</t>
  </si>
  <si>
    <t>https://pmc.ncbi.nlm.nih.gov/articles/PMC10253968/?utm_source=chatgpt.com#sec3-materials-16-03903</t>
  </si>
  <si>
    <t>pozzolan added kgm3(fiber)</t>
  </si>
  <si>
    <t>Montoya et al 2023</t>
  </si>
  <si>
    <t>https://pmc.ncbi.nlm.nih.gov/articles/PMC10828647/?utm_source=chatgpt.com#sec2</t>
  </si>
  <si>
    <t>Beel et al 2024</t>
  </si>
  <si>
    <t>pozzolan added(bentonite clay)</t>
  </si>
  <si>
    <t>https://doi.org/10.3390/su13020824</t>
  </si>
  <si>
    <t>Ahmad et al 2021</t>
  </si>
  <si>
    <t>conservative proxy factor</t>
  </si>
  <si>
    <t>pozzolan added(Fly Ash) kgm3</t>
  </si>
  <si>
    <t>cost_USD_per_m3</t>
  </si>
  <si>
    <t>CO2_kgCO₂e /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</si>
</sst>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8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1" fontId="0" fillId="0" borderId="0" xfId="0" applyNumberFormat="1"/>
    <xf numFmtId="0" fontId="6" fillId="0" borderId="0" xfId="0" applyFont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0" fontId="3" fillId="0" borderId="0" xfId="1"/>
    <xf numFmtId="0" fontId="8" fillId="0" borderId="0" xfId="0" applyFont="1" applyAlignment="1">
      <alignment horizontal="right"/>
    </xf>
    <xf numFmtId="0" fontId="8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6" fillId="0" borderId="0" xfId="0" applyNumberFormat="1" applyFont="1" applyAlignment="1">
      <alignment wrapText="1"/>
    </xf>
    <xf numFmtId="164" fontId="6" fillId="0" borderId="0" xfId="0" applyNumberFormat="1" applyFont="1" applyAlignment="1">
      <alignment horizontal="right" vertical="center" wrapText="1"/>
    </xf>
    <xf numFmtId="0" fontId="10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3" fillId="0" borderId="2" xfId="1" applyBorder="1" applyAlignment="1">
      <alignment vertical="top"/>
    </xf>
    <xf numFmtId="0" fontId="3" fillId="0" borderId="0" xfId="1" applyAlignment="1">
      <alignment vertical="top"/>
    </xf>
    <xf numFmtId="0" fontId="4" fillId="0" borderId="0" xfId="0" applyFont="1" applyAlignment="1">
      <alignment vertical="top"/>
    </xf>
    <xf numFmtId="0" fontId="0" fillId="0" borderId="2" xfId="0" applyBorder="1" applyAlignment="1">
      <alignment vertical="top"/>
    </xf>
    <xf numFmtId="0" fontId="0" fillId="0" borderId="0" xfId="0" applyAlignment="1">
      <alignment horizontal="center" vertical="top"/>
    </xf>
    <xf numFmtId="0" fontId="3" fillId="0" borderId="0" xfId="1" applyAlignment="1">
      <alignment horizontal="center" vertical="top"/>
    </xf>
    <xf numFmtId="0" fontId="0" fillId="0" borderId="0" xfId="0" applyBorder="1" applyAlignment="1">
      <alignment vertical="top"/>
    </xf>
    <xf numFmtId="2" fontId="10" fillId="0" borderId="1" xfId="0" applyNumberFormat="1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researchgate.net/publication/333893210_Influence_of_Palm_Oil_Fuel_Ash_on_Properties_of_High-Strength_Green_Concrete" TargetMode="External"/><Relationship Id="rId1" Type="http://schemas.openxmlformats.org/officeDocument/2006/relationships/hyperlink" Target="https://pubs.aip.org/aip/acp/article-pdf/doi/10.1063/1.5062695/14046503/020069_1_online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sci-hub.ru/https:/www.sciencedirect.com/science/article/abs/pii/S0958946504001301" TargetMode="External"/><Relationship Id="rId1" Type="http://schemas.openxmlformats.org/officeDocument/2006/relationships/hyperlink" Target="https://www.sciencedirect.com/science/article/pii/S2214509516300924?via%3Dihub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iencedirect.com/science/article/pii/S2452321625002859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scribd.com/document/412278019/Construction-and-Building-Materials-Volume-23-Issue-1-2009-Doi-10-1016-j-conbuildmat-2007-12-004-D-a-Adesanya-A-a-Raheem-A-Study-of-the-Workab?utm_source=chatgpt.com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1016/j.cscm.2022.e01665" TargetMode="External"/><Relationship Id="rId1" Type="http://schemas.openxmlformats.org/officeDocument/2006/relationships/hyperlink" Target="http://refhub.elsevier.com/S2405-8440(24)16336-0/sref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27"/>
  <sheetViews>
    <sheetView topLeftCell="B702" zoomScale="85" zoomScaleNormal="85" workbookViewId="0">
      <selection activeCell="H18" sqref="H18"/>
    </sheetView>
  </sheetViews>
  <sheetFormatPr defaultRowHeight="15" x14ac:dyDescent="0.25"/>
  <cols>
    <col min="2" max="3" width="19.28515625" customWidth="1"/>
    <col min="4" max="4" width="16.7109375" customWidth="1"/>
    <col min="5" max="5" width="14" customWidth="1"/>
    <col min="6" max="6" width="21.85546875" customWidth="1"/>
    <col min="7" max="7" width="22.140625" customWidth="1"/>
    <col min="8" max="8" width="25.140625" customWidth="1"/>
    <col min="9" max="9" width="20.5703125" customWidth="1"/>
    <col min="10" max="10" width="15.42578125" customWidth="1"/>
    <col min="11" max="11" width="14.5703125" customWidth="1"/>
    <col min="12" max="12" width="24.42578125" style="10" customWidth="1"/>
    <col min="13" max="13" width="16.28515625" style="2" customWidth="1"/>
    <col min="14" max="14" width="17.42578125" customWidth="1"/>
    <col min="15" max="15" width="12.140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405</v>
      </c>
      <c r="I1" s="1" t="s">
        <v>7</v>
      </c>
      <c r="J1" s="1" t="s">
        <v>8</v>
      </c>
      <c r="K1" s="1" t="s">
        <v>9</v>
      </c>
      <c r="L1" s="11" t="s">
        <v>10</v>
      </c>
      <c r="M1" s="23" t="s">
        <v>407</v>
      </c>
      <c r="N1" s="1" t="s">
        <v>406</v>
      </c>
      <c r="O1" s="1" t="s">
        <v>11</v>
      </c>
    </row>
    <row r="2" spans="1:15" x14ac:dyDescent="0.25">
      <c r="A2" s="15" t="s">
        <v>137</v>
      </c>
      <c r="B2" s="16" t="s">
        <v>322</v>
      </c>
      <c r="C2">
        <v>0</v>
      </c>
      <c r="D2" s="2">
        <v>447.39</v>
      </c>
      <c r="E2" s="3">
        <v>0</v>
      </c>
      <c r="F2">
        <v>813.57</v>
      </c>
      <c r="G2">
        <v>1384.78</v>
      </c>
      <c r="H2">
        <v>0</v>
      </c>
      <c r="I2">
        <v>0</v>
      </c>
      <c r="J2">
        <v>246</v>
      </c>
      <c r="K2">
        <v>3</v>
      </c>
      <c r="L2" s="10">
        <v>17</v>
      </c>
      <c r="M2" s="2">
        <f t="shared" ref="M2:M10" si="0">SUM((D2*0.83)+(E2*0.0023)+(F2*0.0139)+(G2*0.0459)+(I2*2))</f>
        <v>446.20372499999996</v>
      </c>
      <c r="N2" s="2">
        <f>SUM((D2*5)+((F2*0.25)+(G2*0.2)+(I2*20)))*0.075</f>
        <v>203.79738749999999</v>
      </c>
      <c r="O2">
        <v>135</v>
      </c>
    </row>
    <row r="3" spans="1:15" x14ac:dyDescent="0.25">
      <c r="A3" s="15"/>
      <c r="B3" s="17"/>
      <c r="C3">
        <v>0</v>
      </c>
      <c r="D3" s="2">
        <v>447.39</v>
      </c>
      <c r="E3" s="3">
        <v>0</v>
      </c>
      <c r="F3">
        <v>813.57</v>
      </c>
      <c r="G3">
        <v>1384.78</v>
      </c>
      <c r="H3">
        <v>0</v>
      </c>
      <c r="I3">
        <v>0</v>
      </c>
      <c r="J3">
        <v>246</v>
      </c>
      <c r="K3">
        <v>7</v>
      </c>
      <c r="L3" s="10">
        <v>23</v>
      </c>
      <c r="M3" s="2">
        <f t="shared" si="0"/>
        <v>446.20372499999996</v>
      </c>
      <c r="N3" s="2">
        <f t="shared" ref="N3:N66" si="1">SUM((D3*5)+((F3*0.25)+(G3*0.2)+(I3*20)))*0.075</f>
        <v>203.79738749999999</v>
      </c>
      <c r="O3">
        <v>135</v>
      </c>
    </row>
    <row r="4" spans="1:15" x14ac:dyDescent="0.25">
      <c r="A4" s="15"/>
      <c r="B4" s="17"/>
      <c r="C4">
        <v>0</v>
      </c>
      <c r="D4" s="2">
        <v>447.39</v>
      </c>
      <c r="E4" s="3">
        <v>0</v>
      </c>
      <c r="F4">
        <v>813.57</v>
      </c>
      <c r="G4">
        <v>1384.78</v>
      </c>
      <c r="H4">
        <v>0</v>
      </c>
      <c r="I4">
        <v>0</v>
      </c>
      <c r="J4">
        <v>246</v>
      </c>
      <c r="K4">
        <v>28</v>
      </c>
      <c r="L4" s="10">
        <v>30</v>
      </c>
      <c r="M4" s="2">
        <f t="shared" si="0"/>
        <v>446.20372499999996</v>
      </c>
      <c r="N4" s="2">
        <f t="shared" si="1"/>
        <v>203.79738749999999</v>
      </c>
      <c r="O4">
        <v>135</v>
      </c>
    </row>
    <row r="5" spans="1:15" x14ac:dyDescent="0.25">
      <c r="A5" s="15"/>
      <c r="B5" s="17"/>
      <c r="C5">
        <v>5</v>
      </c>
      <c r="D5" s="2">
        <v>425.22</v>
      </c>
      <c r="E5" s="2">
        <v>22.37</v>
      </c>
      <c r="F5">
        <v>813.57</v>
      </c>
      <c r="G5">
        <v>1384.78</v>
      </c>
      <c r="H5">
        <v>0</v>
      </c>
      <c r="I5">
        <v>0</v>
      </c>
      <c r="J5">
        <v>246</v>
      </c>
      <c r="K5">
        <v>3</v>
      </c>
      <c r="L5" s="10">
        <v>27</v>
      </c>
      <c r="M5" s="2">
        <f t="shared" si="0"/>
        <v>427.85407599999996</v>
      </c>
      <c r="N5" s="2">
        <f t="shared" si="1"/>
        <v>195.48363750000001</v>
      </c>
      <c r="O5">
        <v>148</v>
      </c>
    </row>
    <row r="6" spans="1:15" x14ac:dyDescent="0.25">
      <c r="A6" s="15"/>
      <c r="B6" s="17"/>
      <c r="C6">
        <v>5</v>
      </c>
      <c r="D6" s="2">
        <v>425.22</v>
      </c>
      <c r="E6" s="2">
        <v>22.37</v>
      </c>
      <c r="F6">
        <v>813.57</v>
      </c>
      <c r="G6">
        <v>1384.78</v>
      </c>
      <c r="H6">
        <v>0</v>
      </c>
      <c r="I6">
        <v>0</v>
      </c>
      <c r="J6">
        <v>246</v>
      </c>
      <c r="K6">
        <v>7</v>
      </c>
      <c r="L6" s="10">
        <v>37</v>
      </c>
      <c r="M6" s="2">
        <f t="shared" si="0"/>
        <v>427.85407599999996</v>
      </c>
      <c r="N6" s="2">
        <f t="shared" si="1"/>
        <v>195.48363750000001</v>
      </c>
      <c r="O6">
        <v>148</v>
      </c>
    </row>
    <row r="7" spans="1:15" x14ac:dyDescent="0.25">
      <c r="A7" s="15"/>
      <c r="B7" s="17"/>
      <c r="C7">
        <v>5</v>
      </c>
      <c r="D7" s="2">
        <v>425.22</v>
      </c>
      <c r="E7" s="2">
        <v>22.37</v>
      </c>
      <c r="F7">
        <v>813.57</v>
      </c>
      <c r="G7">
        <v>1384.78</v>
      </c>
      <c r="H7">
        <v>0</v>
      </c>
      <c r="I7">
        <v>0</v>
      </c>
      <c r="J7">
        <v>246</v>
      </c>
      <c r="K7">
        <v>28</v>
      </c>
      <c r="L7" s="10">
        <v>40</v>
      </c>
      <c r="M7" s="2">
        <f t="shared" si="0"/>
        <v>427.85407599999996</v>
      </c>
      <c r="N7" s="2">
        <f t="shared" si="1"/>
        <v>195.48363750000001</v>
      </c>
      <c r="O7">
        <v>148</v>
      </c>
    </row>
    <row r="8" spans="1:15" x14ac:dyDescent="0.25">
      <c r="A8" s="15"/>
      <c r="B8" s="17"/>
      <c r="C8">
        <v>10</v>
      </c>
      <c r="D8" s="2">
        <v>402.61</v>
      </c>
      <c r="E8" s="2">
        <v>44.74</v>
      </c>
      <c r="F8">
        <v>813.57</v>
      </c>
      <c r="G8">
        <v>1384.78</v>
      </c>
      <c r="H8">
        <v>0</v>
      </c>
      <c r="I8">
        <v>0</v>
      </c>
      <c r="J8">
        <v>246</v>
      </c>
      <c r="K8">
        <v>3</v>
      </c>
      <c r="L8" s="10">
        <v>21</v>
      </c>
      <c r="M8" s="2">
        <f t="shared" si="0"/>
        <v>409.13922699999995</v>
      </c>
      <c r="N8" s="2">
        <f t="shared" si="1"/>
        <v>187.00488750000002</v>
      </c>
      <c r="O8">
        <v>68</v>
      </c>
    </row>
    <row r="9" spans="1:15" x14ac:dyDescent="0.25">
      <c r="A9" s="15"/>
      <c r="B9" s="17"/>
      <c r="C9">
        <v>10</v>
      </c>
      <c r="D9" s="2">
        <v>402.61</v>
      </c>
      <c r="E9" s="2">
        <v>44.74</v>
      </c>
      <c r="F9">
        <v>813.57</v>
      </c>
      <c r="G9">
        <v>1384.78</v>
      </c>
      <c r="H9">
        <v>0</v>
      </c>
      <c r="I9">
        <v>0</v>
      </c>
      <c r="J9">
        <v>246</v>
      </c>
      <c r="K9">
        <v>7</v>
      </c>
      <c r="L9" s="10">
        <v>28</v>
      </c>
      <c r="M9" s="2">
        <f t="shared" si="0"/>
        <v>409.13922699999995</v>
      </c>
      <c r="N9" s="2">
        <f t="shared" si="1"/>
        <v>187.00488750000002</v>
      </c>
      <c r="O9">
        <v>68</v>
      </c>
    </row>
    <row r="10" spans="1:15" x14ac:dyDescent="0.25">
      <c r="A10" s="15"/>
      <c r="B10" s="17"/>
      <c r="C10">
        <v>10</v>
      </c>
      <c r="D10" s="2">
        <v>402.61</v>
      </c>
      <c r="E10" s="2">
        <v>44.74</v>
      </c>
      <c r="F10">
        <v>813.57</v>
      </c>
      <c r="G10">
        <v>1384.78</v>
      </c>
      <c r="H10">
        <v>0</v>
      </c>
      <c r="I10">
        <v>0</v>
      </c>
      <c r="J10">
        <v>246</v>
      </c>
      <c r="K10">
        <v>28</v>
      </c>
      <c r="L10" s="10">
        <v>36</v>
      </c>
      <c r="M10" s="2">
        <f t="shared" si="0"/>
        <v>409.13922699999995</v>
      </c>
      <c r="N10" s="2">
        <f t="shared" si="1"/>
        <v>187.00488750000002</v>
      </c>
      <c r="O10">
        <v>68</v>
      </c>
    </row>
    <row r="11" spans="1:15" x14ac:dyDescent="0.25">
      <c r="A11" s="19" t="s">
        <v>12</v>
      </c>
      <c r="B11" s="15" t="s">
        <v>13</v>
      </c>
      <c r="C11">
        <v>0</v>
      </c>
      <c r="D11">
        <v>1128</v>
      </c>
      <c r="E11">
        <v>0</v>
      </c>
      <c r="F11">
        <v>259</v>
      </c>
      <c r="G11">
        <v>775</v>
      </c>
      <c r="H11">
        <v>0</v>
      </c>
      <c r="I11">
        <v>55</v>
      </c>
      <c r="J11">
        <v>180.48</v>
      </c>
      <c r="K11">
        <v>3</v>
      </c>
      <c r="L11" s="10">
        <v>95.9</v>
      </c>
      <c r="M11" s="2">
        <v>1085.4126000000001</v>
      </c>
      <c r="N11" s="2">
        <f t="shared" si="1"/>
        <v>521.98124999999993</v>
      </c>
      <c r="O11">
        <v>0</v>
      </c>
    </row>
    <row r="12" spans="1:15" x14ac:dyDescent="0.25">
      <c r="A12" s="15"/>
      <c r="B12" s="15"/>
      <c r="C12">
        <v>0</v>
      </c>
      <c r="D12">
        <v>1128</v>
      </c>
      <c r="E12">
        <v>0</v>
      </c>
      <c r="F12">
        <v>259</v>
      </c>
      <c r="G12">
        <v>775</v>
      </c>
      <c r="H12">
        <v>0</v>
      </c>
      <c r="I12">
        <v>55</v>
      </c>
      <c r="J12">
        <v>180.48</v>
      </c>
      <c r="K12">
        <v>14</v>
      </c>
      <c r="L12" s="10">
        <v>123.52</v>
      </c>
      <c r="M12" s="2">
        <v>1085.4126000000001</v>
      </c>
      <c r="N12" s="2">
        <f t="shared" si="1"/>
        <v>521.98124999999993</v>
      </c>
      <c r="O12">
        <v>0</v>
      </c>
    </row>
    <row r="13" spans="1:15" x14ac:dyDescent="0.25">
      <c r="A13" s="15"/>
      <c r="B13" s="15"/>
      <c r="C13">
        <v>0</v>
      </c>
      <c r="D13">
        <v>1128</v>
      </c>
      <c r="E13">
        <v>0</v>
      </c>
      <c r="F13">
        <v>259</v>
      </c>
      <c r="G13">
        <v>775</v>
      </c>
      <c r="H13">
        <v>0</v>
      </c>
      <c r="I13">
        <v>55</v>
      </c>
      <c r="J13">
        <v>180.48</v>
      </c>
      <c r="K13">
        <v>56</v>
      </c>
      <c r="L13" s="10">
        <v>141.86000000000001</v>
      </c>
      <c r="M13" s="2">
        <v>1085.4126000000001</v>
      </c>
      <c r="N13" s="2">
        <f t="shared" si="1"/>
        <v>521.98124999999993</v>
      </c>
      <c r="O13">
        <v>0</v>
      </c>
    </row>
    <row r="14" spans="1:15" x14ac:dyDescent="0.25">
      <c r="A14" s="15"/>
      <c r="B14" s="15"/>
      <c r="C14">
        <v>0</v>
      </c>
      <c r="D14">
        <v>1128</v>
      </c>
      <c r="E14">
        <v>0</v>
      </c>
      <c r="F14">
        <v>259</v>
      </c>
      <c r="G14">
        <v>775</v>
      </c>
      <c r="H14">
        <v>0</v>
      </c>
      <c r="I14">
        <v>55</v>
      </c>
      <c r="J14">
        <v>180.48</v>
      </c>
      <c r="K14">
        <v>90</v>
      </c>
      <c r="L14" s="10">
        <v>151.35</v>
      </c>
      <c r="M14" s="2">
        <v>1085.4126000000001</v>
      </c>
      <c r="N14" s="2">
        <f t="shared" si="1"/>
        <v>521.98124999999993</v>
      </c>
      <c r="O14">
        <v>0</v>
      </c>
    </row>
    <row r="15" spans="1:15" x14ac:dyDescent="0.25">
      <c r="A15" s="15"/>
      <c r="B15" s="15"/>
      <c r="C15">
        <v>5</v>
      </c>
      <c r="D15">
        <v>1071.5999999999999</v>
      </c>
      <c r="E15">
        <v>56.4</v>
      </c>
      <c r="F15">
        <v>259</v>
      </c>
      <c r="G15">
        <v>775</v>
      </c>
      <c r="H15">
        <v>0</v>
      </c>
      <c r="I15">
        <v>55</v>
      </c>
      <c r="J15">
        <v>180.48</v>
      </c>
      <c r="K15">
        <v>3</v>
      </c>
      <c r="L15" s="10">
        <v>94.38</v>
      </c>
      <c r="M15" s="2">
        <v>1085.4126000000001</v>
      </c>
      <c r="N15" s="2">
        <f t="shared" si="1"/>
        <v>500.83124999999995</v>
      </c>
      <c r="O15">
        <v>0</v>
      </c>
    </row>
    <row r="16" spans="1:15" x14ac:dyDescent="0.25">
      <c r="A16" s="15"/>
      <c r="B16" s="15"/>
      <c r="C16">
        <v>5</v>
      </c>
      <c r="D16">
        <v>1071.5999999999999</v>
      </c>
      <c r="E16">
        <v>56.4</v>
      </c>
      <c r="F16">
        <v>259</v>
      </c>
      <c r="G16">
        <v>775</v>
      </c>
      <c r="H16">
        <v>0</v>
      </c>
      <c r="I16">
        <v>55</v>
      </c>
      <c r="J16">
        <v>180.48</v>
      </c>
      <c r="K16">
        <v>14</v>
      </c>
      <c r="L16" s="10">
        <v>115.92</v>
      </c>
      <c r="M16" s="2">
        <v>1085.4126000000001</v>
      </c>
      <c r="N16" s="2">
        <f t="shared" si="1"/>
        <v>500.83124999999995</v>
      </c>
      <c r="O16">
        <v>0</v>
      </c>
    </row>
    <row r="17" spans="1:15" x14ac:dyDescent="0.25">
      <c r="A17" s="15"/>
      <c r="B17" s="15"/>
      <c r="C17">
        <v>5</v>
      </c>
      <c r="D17">
        <v>1071.5999999999999</v>
      </c>
      <c r="E17">
        <v>56.4</v>
      </c>
      <c r="F17">
        <v>259</v>
      </c>
      <c r="G17">
        <v>775</v>
      </c>
      <c r="H17">
        <v>0</v>
      </c>
      <c r="I17">
        <v>55</v>
      </c>
      <c r="J17">
        <v>180.48</v>
      </c>
      <c r="K17">
        <v>56</v>
      </c>
      <c r="L17" s="10">
        <v>134.22999999999999</v>
      </c>
      <c r="M17" s="2">
        <v>1085.4126000000001</v>
      </c>
      <c r="N17" s="2">
        <f t="shared" si="1"/>
        <v>500.83124999999995</v>
      </c>
      <c r="O17">
        <v>0</v>
      </c>
    </row>
    <row r="18" spans="1:15" x14ac:dyDescent="0.25">
      <c r="A18" s="15"/>
      <c r="B18" s="15"/>
      <c r="C18">
        <v>5</v>
      </c>
      <c r="D18">
        <v>1071.5999999999999</v>
      </c>
      <c r="E18">
        <v>56.4</v>
      </c>
      <c r="F18">
        <v>259</v>
      </c>
      <c r="G18">
        <v>775</v>
      </c>
      <c r="H18">
        <v>0</v>
      </c>
      <c r="I18">
        <v>55</v>
      </c>
      <c r="J18">
        <v>180.48</v>
      </c>
      <c r="K18">
        <v>90</v>
      </c>
      <c r="L18" s="10">
        <v>144.19</v>
      </c>
      <c r="M18" s="2">
        <v>1085.4126000000001</v>
      </c>
      <c r="N18" s="2">
        <f t="shared" si="1"/>
        <v>500.83124999999995</v>
      </c>
      <c r="O18">
        <v>0</v>
      </c>
    </row>
    <row r="19" spans="1:15" x14ac:dyDescent="0.25">
      <c r="A19" s="15"/>
      <c r="B19" s="15"/>
      <c r="C19">
        <v>10</v>
      </c>
      <c r="D19">
        <v>1015.2</v>
      </c>
      <c r="E19">
        <v>112.8</v>
      </c>
      <c r="F19">
        <v>259</v>
      </c>
      <c r="G19">
        <v>775</v>
      </c>
      <c r="H19">
        <v>0</v>
      </c>
      <c r="I19">
        <v>55</v>
      </c>
      <c r="J19">
        <v>180.48</v>
      </c>
      <c r="K19">
        <v>3</v>
      </c>
      <c r="L19" s="10">
        <v>91.04</v>
      </c>
      <c r="M19" s="2">
        <v>1085.4126000000001</v>
      </c>
      <c r="N19" s="2">
        <f t="shared" si="1"/>
        <v>479.68124999999998</v>
      </c>
      <c r="O19">
        <v>0</v>
      </c>
    </row>
    <row r="20" spans="1:15" x14ac:dyDescent="0.25">
      <c r="A20" s="15"/>
      <c r="B20" s="15"/>
      <c r="C20">
        <v>10</v>
      </c>
      <c r="D20">
        <v>1015.2</v>
      </c>
      <c r="E20">
        <v>112.8</v>
      </c>
      <c r="F20">
        <v>259</v>
      </c>
      <c r="G20">
        <v>775</v>
      </c>
      <c r="H20">
        <v>0</v>
      </c>
      <c r="I20">
        <v>55</v>
      </c>
      <c r="J20">
        <v>180.48</v>
      </c>
      <c r="K20">
        <v>14</v>
      </c>
      <c r="L20" s="10">
        <v>110.42</v>
      </c>
      <c r="M20" s="2">
        <v>1085.4126000000001</v>
      </c>
      <c r="N20" s="2">
        <f t="shared" si="1"/>
        <v>479.68124999999998</v>
      </c>
      <c r="O20">
        <v>0</v>
      </c>
    </row>
    <row r="21" spans="1:15" x14ac:dyDescent="0.25">
      <c r="A21" s="15"/>
      <c r="B21" s="15"/>
      <c r="C21">
        <v>10</v>
      </c>
      <c r="D21">
        <v>1015.2</v>
      </c>
      <c r="E21">
        <v>112.8</v>
      </c>
      <c r="F21">
        <v>259</v>
      </c>
      <c r="G21">
        <v>775</v>
      </c>
      <c r="H21">
        <v>0</v>
      </c>
      <c r="I21">
        <v>55</v>
      </c>
      <c r="J21">
        <v>180.48</v>
      </c>
      <c r="K21">
        <v>56</v>
      </c>
      <c r="L21" s="10">
        <v>133.34</v>
      </c>
      <c r="M21" s="2">
        <v>1085.4126000000001</v>
      </c>
      <c r="N21" s="2">
        <f t="shared" si="1"/>
        <v>479.68124999999998</v>
      </c>
      <c r="O21">
        <v>0</v>
      </c>
    </row>
    <row r="22" spans="1:15" x14ac:dyDescent="0.25">
      <c r="A22" s="15"/>
      <c r="B22" s="15"/>
      <c r="C22">
        <v>10</v>
      </c>
      <c r="D22">
        <v>1015.2</v>
      </c>
      <c r="E22">
        <v>112.8</v>
      </c>
      <c r="F22">
        <v>259</v>
      </c>
      <c r="G22">
        <v>775</v>
      </c>
      <c r="H22">
        <v>0</v>
      </c>
      <c r="I22">
        <v>55</v>
      </c>
      <c r="J22">
        <v>180.48</v>
      </c>
      <c r="K22">
        <v>90</v>
      </c>
      <c r="L22" s="10">
        <v>137.97</v>
      </c>
      <c r="M22" s="2">
        <v>1085.4126000000001</v>
      </c>
      <c r="N22" s="2">
        <f t="shared" si="1"/>
        <v>479.68124999999998</v>
      </c>
      <c r="O22">
        <v>0</v>
      </c>
    </row>
    <row r="23" spans="1:15" x14ac:dyDescent="0.25">
      <c r="A23" s="15"/>
      <c r="B23" s="15"/>
      <c r="C23">
        <v>15</v>
      </c>
      <c r="D23">
        <v>958.8</v>
      </c>
      <c r="E23">
        <v>169.2</v>
      </c>
      <c r="F23">
        <v>259</v>
      </c>
      <c r="G23">
        <v>775</v>
      </c>
      <c r="H23">
        <v>0</v>
      </c>
      <c r="I23">
        <v>55</v>
      </c>
      <c r="J23">
        <v>180.48</v>
      </c>
      <c r="K23">
        <v>3</v>
      </c>
      <c r="L23" s="10">
        <v>87.75</v>
      </c>
      <c r="M23" s="2">
        <v>1085.4126000000001</v>
      </c>
      <c r="N23" s="2">
        <f t="shared" si="1"/>
        <v>458.53125</v>
      </c>
      <c r="O23">
        <v>0</v>
      </c>
    </row>
    <row r="24" spans="1:15" x14ac:dyDescent="0.25">
      <c r="A24" s="15"/>
      <c r="B24" s="15"/>
      <c r="C24">
        <v>15</v>
      </c>
      <c r="D24">
        <v>958.8</v>
      </c>
      <c r="E24">
        <v>169.2</v>
      </c>
      <c r="F24">
        <v>259</v>
      </c>
      <c r="G24">
        <v>775</v>
      </c>
      <c r="H24">
        <v>0</v>
      </c>
      <c r="I24">
        <v>55</v>
      </c>
      <c r="J24">
        <v>180.48</v>
      </c>
      <c r="K24">
        <v>14</v>
      </c>
      <c r="L24" s="10">
        <v>110.38</v>
      </c>
      <c r="M24" s="2">
        <v>1085.4126000000001</v>
      </c>
      <c r="N24" s="2">
        <f t="shared" si="1"/>
        <v>458.53125</v>
      </c>
      <c r="O24">
        <v>0</v>
      </c>
    </row>
    <row r="25" spans="1:15" x14ac:dyDescent="0.25">
      <c r="A25" s="15"/>
      <c r="B25" s="15"/>
      <c r="C25">
        <v>15</v>
      </c>
      <c r="D25">
        <v>958.8</v>
      </c>
      <c r="E25">
        <v>169.2</v>
      </c>
      <c r="F25">
        <v>259</v>
      </c>
      <c r="G25">
        <v>775</v>
      </c>
      <c r="H25">
        <v>0</v>
      </c>
      <c r="I25">
        <v>55</v>
      </c>
      <c r="J25">
        <v>180.48</v>
      </c>
      <c r="K25">
        <v>56</v>
      </c>
      <c r="L25" s="10">
        <v>128.94</v>
      </c>
      <c r="M25" s="2">
        <v>1085.4126000000001</v>
      </c>
      <c r="N25" s="2">
        <f t="shared" si="1"/>
        <v>458.53125</v>
      </c>
      <c r="O25">
        <v>0</v>
      </c>
    </row>
    <row r="26" spans="1:15" x14ac:dyDescent="0.25">
      <c r="A26" s="15"/>
      <c r="B26" s="15"/>
      <c r="C26">
        <v>15</v>
      </c>
      <c r="D26">
        <v>958.8</v>
      </c>
      <c r="E26">
        <v>169.2</v>
      </c>
      <c r="F26">
        <v>259</v>
      </c>
      <c r="G26">
        <v>775</v>
      </c>
      <c r="H26">
        <v>0</v>
      </c>
      <c r="I26">
        <v>55</v>
      </c>
      <c r="J26">
        <v>180.48</v>
      </c>
      <c r="K26">
        <v>90</v>
      </c>
      <c r="L26" s="10">
        <v>140.03</v>
      </c>
      <c r="M26" s="2">
        <v>1085.4126000000001</v>
      </c>
      <c r="N26" s="2">
        <f t="shared" si="1"/>
        <v>458.53125</v>
      </c>
      <c r="O26">
        <v>0</v>
      </c>
    </row>
    <row r="27" spans="1:15" x14ac:dyDescent="0.25">
      <c r="A27" s="15"/>
      <c r="B27" s="15"/>
      <c r="C27">
        <v>20</v>
      </c>
      <c r="D27">
        <v>902.4</v>
      </c>
      <c r="E27">
        <v>225.6</v>
      </c>
      <c r="F27">
        <v>259</v>
      </c>
      <c r="G27">
        <v>775</v>
      </c>
      <c r="H27">
        <v>0</v>
      </c>
      <c r="I27">
        <v>55</v>
      </c>
      <c r="J27">
        <v>180.48</v>
      </c>
      <c r="K27">
        <v>3</v>
      </c>
      <c r="L27" s="10">
        <v>82.52</v>
      </c>
      <c r="M27" s="2">
        <v>1085.4126000000001</v>
      </c>
      <c r="N27" s="2">
        <f t="shared" si="1"/>
        <v>437.38124999999997</v>
      </c>
      <c r="O27">
        <v>0</v>
      </c>
    </row>
    <row r="28" spans="1:15" x14ac:dyDescent="0.25">
      <c r="A28" s="15"/>
      <c r="B28" s="15"/>
      <c r="C28">
        <v>20</v>
      </c>
      <c r="D28">
        <v>902.4</v>
      </c>
      <c r="E28">
        <v>225.6</v>
      </c>
      <c r="F28">
        <v>259</v>
      </c>
      <c r="G28">
        <v>775</v>
      </c>
      <c r="H28">
        <v>0</v>
      </c>
      <c r="I28">
        <v>55</v>
      </c>
      <c r="J28">
        <v>180.48</v>
      </c>
      <c r="K28">
        <v>14</v>
      </c>
      <c r="L28" s="10">
        <v>103.57</v>
      </c>
      <c r="M28" s="2">
        <v>1085.4126000000001</v>
      </c>
      <c r="N28" s="2">
        <f t="shared" si="1"/>
        <v>437.38124999999997</v>
      </c>
      <c r="O28">
        <v>0</v>
      </c>
    </row>
    <row r="29" spans="1:15" x14ac:dyDescent="0.25">
      <c r="A29" s="15"/>
      <c r="B29" s="15"/>
      <c r="C29">
        <v>20</v>
      </c>
      <c r="D29">
        <v>902.4</v>
      </c>
      <c r="E29">
        <v>225.6</v>
      </c>
      <c r="F29">
        <v>259</v>
      </c>
      <c r="G29">
        <v>775</v>
      </c>
      <c r="H29">
        <v>0</v>
      </c>
      <c r="I29">
        <v>55</v>
      </c>
      <c r="J29">
        <v>180.48</v>
      </c>
      <c r="K29">
        <v>56</v>
      </c>
      <c r="L29" s="10">
        <v>121.33</v>
      </c>
      <c r="M29" s="2">
        <v>1085.4126000000001</v>
      </c>
      <c r="N29" s="2">
        <f t="shared" si="1"/>
        <v>437.38124999999997</v>
      </c>
      <c r="O29">
        <v>0</v>
      </c>
    </row>
    <row r="30" spans="1:15" x14ac:dyDescent="0.25">
      <c r="A30" s="15"/>
      <c r="B30" s="15"/>
      <c r="C30">
        <v>20</v>
      </c>
      <c r="D30">
        <v>902.4</v>
      </c>
      <c r="E30">
        <v>225.6</v>
      </c>
      <c r="F30">
        <v>259</v>
      </c>
      <c r="G30">
        <v>775</v>
      </c>
      <c r="H30">
        <v>0</v>
      </c>
      <c r="I30">
        <v>55</v>
      </c>
      <c r="J30">
        <v>180.48</v>
      </c>
      <c r="K30">
        <v>90</v>
      </c>
      <c r="L30" s="10">
        <v>132.22999999999999</v>
      </c>
      <c r="M30" s="2">
        <v>1085.4126000000001</v>
      </c>
      <c r="N30" s="2">
        <f t="shared" si="1"/>
        <v>437.38124999999997</v>
      </c>
      <c r="O30">
        <v>0</v>
      </c>
    </row>
    <row r="31" spans="1:15" x14ac:dyDescent="0.25">
      <c r="A31" s="15"/>
      <c r="B31" s="15"/>
      <c r="C31">
        <v>25</v>
      </c>
      <c r="D31">
        <v>846</v>
      </c>
      <c r="E31">
        <v>282</v>
      </c>
      <c r="F31">
        <v>259</v>
      </c>
      <c r="G31">
        <v>775</v>
      </c>
      <c r="H31">
        <v>0</v>
      </c>
      <c r="I31">
        <v>55</v>
      </c>
      <c r="J31">
        <v>180.48</v>
      </c>
      <c r="K31">
        <v>3</v>
      </c>
      <c r="L31" s="10">
        <v>82.1</v>
      </c>
      <c r="M31" s="2">
        <v>1085.4126000000001</v>
      </c>
      <c r="N31" s="2">
        <f t="shared" si="1"/>
        <v>416.23124999999999</v>
      </c>
      <c r="O31">
        <v>0</v>
      </c>
    </row>
    <row r="32" spans="1:15" x14ac:dyDescent="0.25">
      <c r="A32" s="15"/>
      <c r="B32" s="15"/>
      <c r="C32">
        <v>25</v>
      </c>
      <c r="D32">
        <v>846</v>
      </c>
      <c r="E32">
        <v>282</v>
      </c>
      <c r="F32">
        <v>259</v>
      </c>
      <c r="G32">
        <v>775</v>
      </c>
      <c r="H32">
        <v>0</v>
      </c>
      <c r="I32">
        <v>55</v>
      </c>
      <c r="J32">
        <v>180.48</v>
      </c>
      <c r="K32">
        <v>14</v>
      </c>
      <c r="L32" s="10">
        <v>101.8</v>
      </c>
      <c r="M32" s="2">
        <v>1085.4126000000001</v>
      </c>
      <c r="N32" s="2">
        <f t="shared" si="1"/>
        <v>416.23124999999999</v>
      </c>
      <c r="O32">
        <v>0</v>
      </c>
    </row>
    <row r="33" spans="1:15" x14ac:dyDescent="0.25">
      <c r="A33" s="15"/>
      <c r="B33" s="15"/>
      <c r="C33">
        <v>25</v>
      </c>
      <c r="D33">
        <v>846</v>
      </c>
      <c r="E33">
        <v>282</v>
      </c>
      <c r="F33">
        <v>259</v>
      </c>
      <c r="G33">
        <v>775</v>
      </c>
      <c r="H33">
        <v>0</v>
      </c>
      <c r="I33">
        <v>55</v>
      </c>
      <c r="J33">
        <v>180.48</v>
      </c>
      <c r="K33">
        <v>56</v>
      </c>
      <c r="L33" s="10">
        <v>119.54</v>
      </c>
      <c r="M33" s="2">
        <v>1085.4126000000001</v>
      </c>
      <c r="N33" s="2">
        <f t="shared" si="1"/>
        <v>416.23124999999999</v>
      </c>
      <c r="O33">
        <v>0</v>
      </c>
    </row>
    <row r="34" spans="1:15" x14ac:dyDescent="0.25">
      <c r="A34" s="15"/>
      <c r="B34" s="15"/>
      <c r="C34">
        <v>25</v>
      </c>
      <c r="D34">
        <v>846</v>
      </c>
      <c r="E34">
        <v>282</v>
      </c>
      <c r="F34">
        <v>259</v>
      </c>
      <c r="G34">
        <v>775</v>
      </c>
      <c r="H34">
        <v>0</v>
      </c>
      <c r="I34">
        <v>55</v>
      </c>
      <c r="J34">
        <v>180.48</v>
      </c>
      <c r="K34">
        <v>90</v>
      </c>
      <c r="L34" s="10">
        <v>129.44999999999999</v>
      </c>
      <c r="M34" s="2">
        <v>1085.4126000000001</v>
      </c>
      <c r="N34" s="2">
        <f t="shared" si="1"/>
        <v>416.23124999999999</v>
      </c>
      <c r="O34">
        <v>0</v>
      </c>
    </row>
    <row r="35" spans="1:15" x14ac:dyDescent="0.25">
      <c r="A35" s="15"/>
      <c r="B35" s="15"/>
      <c r="C35">
        <v>30</v>
      </c>
      <c r="D35">
        <v>789.6</v>
      </c>
      <c r="E35">
        <v>338.4</v>
      </c>
      <c r="F35">
        <v>259</v>
      </c>
      <c r="G35">
        <v>775</v>
      </c>
      <c r="H35">
        <v>0</v>
      </c>
      <c r="I35">
        <v>55</v>
      </c>
      <c r="J35">
        <v>180.48</v>
      </c>
      <c r="K35">
        <v>3</v>
      </c>
      <c r="L35" s="10">
        <v>75.34</v>
      </c>
      <c r="M35" s="2">
        <v>1085.4126000000001</v>
      </c>
      <c r="N35" s="2">
        <f t="shared" si="1"/>
        <v>395.08125000000001</v>
      </c>
      <c r="O35">
        <v>0</v>
      </c>
    </row>
    <row r="36" spans="1:15" x14ac:dyDescent="0.25">
      <c r="A36" s="15"/>
      <c r="B36" s="15"/>
      <c r="C36">
        <v>30</v>
      </c>
      <c r="D36">
        <v>789.6</v>
      </c>
      <c r="E36">
        <v>338.4</v>
      </c>
      <c r="F36">
        <v>259</v>
      </c>
      <c r="G36">
        <v>775</v>
      </c>
      <c r="H36">
        <v>0</v>
      </c>
      <c r="I36">
        <v>55</v>
      </c>
      <c r="J36">
        <v>180.48</v>
      </c>
      <c r="K36">
        <v>14</v>
      </c>
      <c r="L36" s="10">
        <v>98.02</v>
      </c>
      <c r="M36" s="2">
        <v>1085.4126000000001</v>
      </c>
      <c r="N36" s="2">
        <f t="shared" si="1"/>
        <v>395.08125000000001</v>
      </c>
      <c r="O36">
        <v>0</v>
      </c>
    </row>
    <row r="37" spans="1:15" x14ac:dyDescent="0.25">
      <c r="A37" s="15"/>
      <c r="B37" s="15"/>
      <c r="C37">
        <v>30</v>
      </c>
      <c r="D37">
        <v>789.6</v>
      </c>
      <c r="E37">
        <v>338.4</v>
      </c>
      <c r="F37">
        <v>259</v>
      </c>
      <c r="G37">
        <v>775</v>
      </c>
      <c r="H37">
        <v>0</v>
      </c>
      <c r="I37">
        <v>55</v>
      </c>
      <c r="J37">
        <v>180.48</v>
      </c>
      <c r="K37">
        <v>56</v>
      </c>
      <c r="L37" s="10">
        <v>117.93</v>
      </c>
      <c r="M37" s="2">
        <v>1085.4126000000001</v>
      </c>
      <c r="N37" s="2">
        <f t="shared" si="1"/>
        <v>395.08125000000001</v>
      </c>
      <c r="O37">
        <v>0</v>
      </c>
    </row>
    <row r="38" spans="1:15" x14ac:dyDescent="0.25">
      <c r="A38" s="15"/>
      <c r="B38" s="15"/>
      <c r="C38">
        <v>30</v>
      </c>
      <c r="D38">
        <v>789.6</v>
      </c>
      <c r="E38">
        <v>338.4</v>
      </c>
      <c r="F38">
        <v>259</v>
      </c>
      <c r="G38">
        <v>775</v>
      </c>
      <c r="H38">
        <v>0</v>
      </c>
      <c r="I38">
        <v>55</v>
      </c>
      <c r="J38">
        <v>180.48</v>
      </c>
      <c r="K38">
        <v>90</v>
      </c>
      <c r="L38" s="10">
        <v>124.71</v>
      </c>
      <c r="M38" s="2">
        <v>1085.4126000000001</v>
      </c>
      <c r="N38" s="2">
        <f t="shared" si="1"/>
        <v>395.08125000000001</v>
      </c>
      <c r="O38">
        <v>0</v>
      </c>
    </row>
    <row r="39" spans="1:15" x14ac:dyDescent="0.25">
      <c r="A39" s="15"/>
      <c r="B39" s="15"/>
      <c r="C39">
        <v>35</v>
      </c>
      <c r="D39">
        <v>733.2</v>
      </c>
      <c r="E39">
        <v>394.8</v>
      </c>
      <c r="F39">
        <v>259</v>
      </c>
      <c r="G39">
        <v>775</v>
      </c>
      <c r="H39">
        <v>0</v>
      </c>
      <c r="I39">
        <v>55</v>
      </c>
      <c r="J39">
        <v>180.48</v>
      </c>
      <c r="K39">
        <v>3</v>
      </c>
      <c r="L39" s="10">
        <v>75.36</v>
      </c>
      <c r="M39" s="2">
        <v>1085.4126000000001</v>
      </c>
      <c r="N39" s="2">
        <f t="shared" si="1"/>
        <v>373.93124999999998</v>
      </c>
      <c r="O39">
        <v>0</v>
      </c>
    </row>
    <row r="40" spans="1:15" x14ac:dyDescent="0.25">
      <c r="A40" s="15"/>
      <c r="B40" s="15"/>
      <c r="C40">
        <v>35</v>
      </c>
      <c r="D40">
        <v>733.2</v>
      </c>
      <c r="E40">
        <v>394.8</v>
      </c>
      <c r="F40">
        <v>259</v>
      </c>
      <c r="G40">
        <v>775</v>
      </c>
      <c r="H40">
        <v>0</v>
      </c>
      <c r="I40">
        <v>55</v>
      </c>
      <c r="J40">
        <v>180.48</v>
      </c>
      <c r="K40">
        <v>14</v>
      </c>
      <c r="L40" s="10">
        <v>97.12</v>
      </c>
      <c r="M40" s="2">
        <v>1085.4126000000001</v>
      </c>
      <c r="N40" s="2">
        <f t="shared" si="1"/>
        <v>373.93124999999998</v>
      </c>
      <c r="O40">
        <v>0</v>
      </c>
    </row>
    <row r="41" spans="1:15" x14ac:dyDescent="0.25">
      <c r="A41" s="15"/>
      <c r="B41" s="15"/>
      <c r="C41">
        <v>35</v>
      </c>
      <c r="D41">
        <v>733.2</v>
      </c>
      <c r="E41">
        <v>394.8</v>
      </c>
      <c r="F41">
        <v>259</v>
      </c>
      <c r="G41">
        <v>775</v>
      </c>
      <c r="H41">
        <v>0</v>
      </c>
      <c r="I41">
        <v>55</v>
      </c>
      <c r="J41">
        <v>180.48</v>
      </c>
      <c r="K41">
        <v>56</v>
      </c>
      <c r="L41" s="10">
        <v>112.07</v>
      </c>
      <c r="M41" s="2">
        <v>1085.4126000000001</v>
      </c>
      <c r="N41" s="2">
        <f t="shared" si="1"/>
        <v>373.93124999999998</v>
      </c>
      <c r="O41">
        <v>0</v>
      </c>
    </row>
    <row r="42" spans="1:15" x14ac:dyDescent="0.25">
      <c r="A42" s="15"/>
      <c r="B42" s="15"/>
      <c r="C42">
        <v>35</v>
      </c>
      <c r="D42">
        <v>733.2</v>
      </c>
      <c r="E42">
        <v>394.8</v>
      </c>
      <c r="F42">
        <v>259</v>
      </c>
      <c r="G42">
        <v>775</v>
      </c>
      <c r="H42">
        <v>0</v>
      </c>
      <c r="I42">
        <v>55</v>
      </c>
      <c r="J42">
        <v>180.48</v>
      </c>
      <c r="K42">
        <v>90</v>
      </c>
      <c r="L42" s="10">
        <v>115.96</v>
      </c>
      <c r="M42" s="2">
        <v>1085.4126000000001</v>
      </c>
      <c r="N42" s="2">
        <f t="shared" si="1"/>
        <v>373.93124999999998</v>
      </c>
      <c r="O42">
        <v>0</v>
      </c>
    </row>
    <row r="43" spans="1:15" x14ac:dyDescent="0.25">
      <c r="A43" s="15"/>
      <c r="B43" s="15"/>
      <c r="C43">
        <v>40</v>
      </c>
      <c r="D43">
        <v>676.8</v>
      </c>
      <c r="E43">
        <v>451.2</v>
      </c>
      <c r="F43">
        <v>259</v>
      </c>
      <c r="G43">
        <v>775</v>
      </c>
      <c r="H43">
        <v>0</v>
      </c>
      <c r="I43">
        <v>55</v>
      </c>
      <c r="J43">
        <v>180.48</v>
      </c>
      <c r="K43">
        <v>3</v>
      </c>
      <c r="L43" s="10">
        <v>75.81</v>
      </c>
      <c r="M43" s="2">
        <v>1085.4126000000001</v>
      </c>
      <c r="N43" s="2">
        <f t="shared" si="1"/>
        <v>352.78125</v>
      </c>
      <c r="O43">
        <v>0</v>
      </c>
    </row>
    <row r="44" spans="1:15" x14ac:dyDescent="0.25">
      <c r="A44" s="15"/>
      <c r="B44" s="15"/>
      <c r="C44">
        <v>40</v>
      </c>
      <c r="D44">
        <v>676.8</v>
      </c>
      <c r="E44">
        <v>451.2</v>
      </c>
      <c r="F44">
        <v>259</v>
      </c>
      <c r="G44">
        <v>775</v>
      </c>
      <c r="H44">
        <v>0</v>
      </c>
      <c r="I44">
        <v>55</v>
      </c>
      <c r="J44">
        <v>180.48</v>
      </c>
      <c r="K44">
        <v>14</v>
      </c>
      <c r="L44" s="10">
        <v>93.56</v>
      </c>
      <c r="M44" s="2">
        <v>1085.4126000000001</v>
      </c>
      <c r="N44" s="2">
        <f t="shared" si="1"/>
        <v>352.78125</v>
      </c>
      <c r="O44">
        <v>0</v>
      </c>
    </row>
    <row r="45" spans="1:15" x14ac:dyDescent="0.25">
      <c r="A45" s="15"/>
      <c r="B45" s="15"/>
      <c r="C45">
        <v>40</v>
      </c>
      <c r="D45">
        <v>676.8</v>
      </c>
      <c r="E45">
        <v>451.2</v>
      </c>
      <c r="F45">
        <v>259</v>
      </c>
      <c r="G45">
        <v>775</v>
      </c>
      <c r="H45">
        <v>0</v>
      </c>
      <c r="I45">
        <v>55</v>
      </c>
      <c r="J45">
        <v>180.48</v>
      </c>
      <c r="K45">
        <v>56</v>
      </c>
      <c r="L45" s="10">
        <v>106.88</v>
      </c>
      <c r="M45" s="2">
        <v>1085.4126000000001</v>
      </c>
      <c r="N45" s="2">
        <f t="shared" si="1"/>
        <v>352.78125</v>
      </c>
      <c r="O45">
        <v>0</v>
      </c>
    </row>
    <row r="46" spans="1:15" x14ac:dyDescent="0.25">
      <c r="A46" s="15"/>
      <c r="B46" s="15"/>
      <c r="C46">
        <v>40</v>
      </c>
      <c r="D46">
        <v>676.8</v>
      </c>
      <c r="E46">
        <v>451.2</v>
      </c>
      <c r="F46">
        <v>259</v>
      </c>
      <c r="G46">
        <v>775</v>
      </c>
      <c r="H46">
        <v>0</v>
      </c>
      <c r="I46">
        <v>55</v>
      </c>
      <c r="J46">
        <v>180.48</v>
      </c>
      <c r="K46">
        <v>90</v>
      </c>
      <c r="L46" s="10">
        <v>116.93</v>
      </c>
      <c r="M46" s="2">
        <v>1085.4126000000001</v>
      </c>
      <c r="N46" s="2">
        <f t="shared" si="1"/>
        <v>352.78125</v>
      </c>
      <c r="O46">
        <v>0</v>
      </c>
    </row>
    <row r="47" spans="1:15" x14ac:dyDescent="0.25">
      <c r="A47" s="15"/>
      <c r="B47" s="15"/>
      <c r="C47">
        <v>45</v>
      </c>
      <c r="D47">
        <v>620.4</v>
      </c>
      <c r="E47">
        <v>507.6</v>
      </c>
      <c r="F47">
        <v>259</v>
      </c>
      <c r="G47">
        <v>775</v>
      </c>
      <c r="H47">
        <v>0</v>
      </c>
      <c r="I47">
        <v>55</v>
      </c>
      <c r="J47">
        <v>180.48</v>
      </c>
      <c r="K47">
        <v>3</v>
      </c>
      <c r="L47" s="10">
        <v>73.34</v>
      </c>
      <c r="M47" s="2">
        <v>1085.4126000000001</v>
      </c>
      <c r="N47" s="2">
        <f t="shared" si="1"/>
        <v>331.63124999999997</v>
      </c>
      <c r="O47">
        <v>0</v>
      </c>
    </row>
    <row r="48" spans="1:15" x14ac:dyDescent="0.25">
      <c r="A48" s="15"/>
      <c r="B48" s="15"/>
      <c r="C48">
        <v>45</v>
      </c>
      <c r="D48">
        <v>620.4</v>
      </c>
      <c r="E48">
        <v>507.6</v>
      </c>
      <c r="F48">
        <v>259</v>
      </c>
      <c r="G48">
        <v>775</v>
      </c>
      <c r="H48">
        <v>0</v>
      </c>
      <c r="I48">
        <v>55</v>
      </c>
      <c r="J48">
        <v>180.48</v>
      </c>
      <c r="K48">
        <v>14</v>
      </c>
      <c r="L48" s="10">
        <v>89.59</v>
      </c>
      <c r="M48" s="2">
        <v>1085.4126000000001</v>
      </c>
      <c r="N48" s="2">
        <f t="shared" si="1"/>
        <v>331.63124999999997</v>
      </c>
      <c r="O48">
        <v>0</v>
      </c>
    </row>
    <row r="49" spans="1:15" x14ac:dyDescent="0.25">
      <c r="A49" s="15"/>
      <c r="B49" s="15"/>
      <c r="C49">
        <v>45</v>
      </c>
      <c r="D49">
        <v>620.4</v>
      </c>
      <c r="E49">
        <v>507.6</v>
      </c>
      <c r="F49">
        <v>259</v>
      </c>
      <c r="G49">
        <v>775</v>
      </c>
      <c r="H49">
        <v>0</v>
      </c>
      <c r="I49">
        <v>55</v>
      </c>
      <c r="J49">
        <v>180.48</v>
      </c>
      <c r="K49">
        <v>56</v>
      </c>
      <c r="L49" s="10">
        <v>103.3</v>
      </c>
      <c r="M49" s="2">
        <v>1085.4126000000001</v>
      </c>
      <c r="N49" s="2">
        <f t="shared" si="1"/>
        <v>331.63124999999997</v>
      </c>
      <c r="O49">
        <v>0</v>
      </c>
    </row>
    <row r="50" spans="1:15" x14ac:dyDescent="0.25">
      <c r="A50" s="15"/>
      <c r="B50" s="15"/>
      <c r="C50">
        <v>45</v>
      </c>
      <c r="D50">
        <v>620.4</v>
      </c>
      <c r="E50">
        <v>507.6</v>
      </c>
      <c r="F50">
        <v>259</v>
      </c>
      <c r="G50">
        <v>775</v>
      </c>
      <c r="H50">
        <v>0</v>
      </c>
      <c r="I50">
        <v>55</v>
      </c>
      <c r="J50">
        <v>180.48</v>
      </c>
      <c r="K50">
        <v>90</v>
      </c>
      <c r="L50" s="10">
        <v>105.39</v>
      </c>
      <c r="M50" s="2">
        <v>1085.4126000000001</v>
      </c>
      <c r="N50" s="2">
        <f t="shared" si="1"/>
        <v>331.63124999999997</v>
      </c>
      <c r="O50">
        <v>0</v>
      </c>
    </row>
    <row r="51" spans="1:15" x14ac:dyDescent="0.25">
      <c r="A51" s="15"/>
      <c r="B51" s="15"/>
      <c r="C51">
        <v>50</v>
      </c>
      <c r="D51">
        <v>564</v>
      </c>
      <c r="E51">
        <v>564</v>
      </c>
      <c r="F51">
        <v>259</v>
      </c>
      <c r="G51">
        <v>775</v>
      </c>
      <c r="H51">
        <v>0</v>
      </c>
      <c r="I51">
        <v>55</v>
      </c>
      <c r="J51">
        <v>180.48</v>
      </c>
      <c r="K51">
        <v>3</v>
      </c>
      <c r="L51" s="10">
        <v>68.040000000000006</v>
      </c>
      <c r="M51" s="2">
        <v>1085.4126000000001</v>
      </c>
      <c r="N51" s="2">
        <f t="shared" si="1"/>
        <v>310.48124999999999</v>
      </c>
      <c r="O51">
        <v>0</v>
      </c>
    </row>
    <row r="52" spans="1:15" x14ac:dyDescent="0.25">
      <c r="A52" s="15"/>
      <c r="B52" s="15"/>
      <c r="C52">
        <v>50</v>
      </c>
      <c r="D52">
        <v>564</v>
      </c>
      <c r="E52">
        <v>564</v>
      </c>
      <c r="F52">
        <v>259</v>
      </c>
      <c r="G52">
        <v>775</v>
      </c>
      <c r="H52">
        <v>0</v>
      </c>
      <c r="I52">
        <v>55</v>
      </c>
      <c r="J52">
        <v>180.48</v>
      </c>
      <c r="K52">
        <v>14</v>
      </c>
      <c r="L52" s="10">
        <v>83.29</v>
      </c>
      <c r="M52" s="2">
        <v>1085.4126000000001</v>
      </c>
      <c r="N52" s="2">
        <f t="shared" si="1"/>
        <v>310.48124999999999</v>
      </c>
      <c r="O52">
        <v>0</v>
      </c>
    </row>
    <row r="53" spans="1:15" x14ac:dyDescent="0.25">
      <c r="A53" s="15"/>
      <c r="B53" s="15"/>
      <c r="C53">
        <v>50</v>
      </c>
      <c r="D53">
        <v>564</v>
      </c>
      <c r="E53">
        <v>564</v>
      </c>
      <c r="F53">
        <v>259</v>
      </c>
      <c r="G53">
        <v>775</v>
      </c>
      <c r="H53">
        <v>0</v>
      </c>
      <c r="I53">
        <v>55</v>
      </c>
      <c r="J53">
        <v>180.48</v>
      </c>
      <c r="K53">
        <v>56</v>
      </c>
      <c r="L53" s="10">
        <v>98.63</v>
      </c>
      <c r="M53" s="2">
        <v>1085.4126000000001</v>
      </c>
      <c r="N53" s="2">
        <f t="shared" si="1"/>
        <v>310.48124999999999</v>
      </c>
      <c r="O53">
        <v>0</v>
      </c>
    </row>
    <row r="54" spans="1:15" x14ac:dyDescent="0.25">
      <c r="A54" s="15"/>
      <c r="B54" s="15"/>
      <c r="C54">
        <v>50</v>
      </c>
      <c r="D54">
        <v>564</v>
      </c>
      <c r="E54">
        <v>564</v>
      </c>
      <c r="F54">
        <v>259</v>
      </c>
      <c r="G54">
        <v>775</v>
      </c>
      <c r="H54">
        <v>0</v>
      </c>
      <c r="I54">
        <v>55</v>
      </c>
      <c r="J54">
        <v>180.48</v>
      </c>
      <c r="K54">
        <v>90</v>
      </c>
      <c r="L54" s="10">
        <v>105.53</v>
      </c>
      <c r="M54" s="2">
        <v>1085.4126000000001</v>
      </c>
      <c r="N54" s="2">
        <f t="shared" si="1"/>
        <v>310.48124999999999</v>
      </c>
      <c r="O54">
        <v>0</v>
      </c>
    </row>
    <row r="55" spans="1:15" x14ac:dyDescent="0.25">
      <c r="A55" s="15" t="s">
        <v>14</v>
      </c>
      <c r="B55" s="15" t="s">
        <v>15</v>
      </c>
      <c r="C55">
        <v>0</v>
      </c>
      <c r="D55">
        <v>565</v>
      </c>
      <c r="E55">
        <v>0</v>
      </c>
      <c r="F55">
        <v>960</v>
      </c>
      <c r="G55">
        <v>368</v>
      </c>
      <c r="H55">
        <v>0</v>
      </c>
      <c r="I55">
        <v>3.4</v>
      </c>
      <c r="J55">
        <v>170</v>
      </c>
      <c r="K55">
        <v>7</v>
      </c>
      <c r="L55" s="10">
        <v>32.71</v>
      </c>
      <c r="M55" s="2">
        <v>506.72120000000001</v>
      </c>
      <c r="N55" s="2">
        <f t="shared" si="1"/>
        <v>240.49499999999998</v>
      </c>
      <c r="O55">
        <v>0</v>
      </c>
    </row>
    <row r="56" spans="1:15" x14ac:dyDescent="0.25">
      <c r="A56" s="15"/>
      <c r="B56" s="15"/>
      <c r="C56">
        <v>0</v>
      </c>
      <c r="D56">
        <v>565</v>
      </c>
      <c r="E56">
        <v>0</v>
      </c>
      <c r="F56">
        <v>960</v>
      </c>
      <c r="G56">
        <v>368</v>
      </c>
      <c r="H56">
        <v>0</v>
      </c>
      <c r="I56">
        <v>3.4</v>
      </c>
      <c r="J56">
        <v>170</v>
      </c>
      <c r="K56">
        <v>14</v>
      </c>
      <c r="L56" s="10">
        <v>36.78</v>
      </c>
      <c r="M56" s="2">
        <v>506.72120000000001</v>
      </c>
      <c r="N56" s="2">
        <f t="shared" si="1"/>
        <v>240.49499999999998</v>
      </c>
      <c r="O56">
        <v>0</v>
      </c>
    </row>
    <row r="57" spans="1:15" x14ac:dyDescent="0.25">
      <c r="A57" s="15"/>
      <c r="B57" s="15"/>
      <c r="C57">
        <v>0</v>
      </c>
      <c r="D57">
        <v>565</v>
      </c>
      <c r="E57">
        <v>0</v>
      </c>
      <c r="F57">
        <v>960</v>
      </c>
      <c r="G57">
        <v>368</v>
      </c>
      <c r="H57">
        <v>0</v>
      </c>
      <c r="I57">
        <v>3.4</v>
      </c>
      <c r="J57">
        <v>170</v>
      </c>
      <c r="K57">
        <v>56</v>
      </c>
      <c r="L57" s="10">
        <v>40.51</v>
      </c>
      <c r="M57" s="2">
        <v>506.72120000000001</v>
      </c>
      <c r="N57" s="2">
        <f t="shared" si="1"/>
        <v>240.49499999999998</v>
      </c>
      <c r="O57">
        <v>0</v>
      </c>
    </row>
    <row r="58" spans="1:15" x14ac:dyDescent="0.25">
      <c r="A58" s="15"/>
      <c r="B58" s="15"/>
      <c r="C58">
        <v>0</v>
      </c>
      <c r="D58">
        <v>565</v>
      </c>
      <c r="E58">
        <v>0</v>
      </c>
      <c r="F58">
        <v>960</v>
      </c>
      <c r="G58">
        <v>368</v>
      </c>
      <c r="H58">
        <v>0</v>
      </c>
      <c r="I58">
        <v>3.4</v>
      </c>
      <c r="J58">
        <v>170</v>
      </c>
      <c r="K58">
        <v>90</v>
      </c>
      <c r="L58" s="10">
        <v>40.4</v>
      </c>
      <c r="M58" s="2">
        <v>506.72120000000001</v>
      </c>
      <c r="N58" s="2">
        <f t="shared" si="1"/>
        <v>240.49499999999998</v>
      </c>
      <c r="O58">
        <v>0</v>
      </c>
    </row>
    <row r="59" spans="1:15" x14ac:dyDescent="0.25">
      <c r="A59" s="15"/>
      <c r="B59" s="15"/>
      <c r="C59">
        <v>5</v>
      </c>
      <c r="D59">
        <v>536.75</v>
      </c>
      <c r="E59">
        <v>28.25</v>
      </c>
      <c r="F59">
        <v>960</v>
      </c>
      <c r="G59">
        <v>368</v>
      </c>
      <c r="H59">
        <v>0</v>
      </c>
      <c r="I59">
        <v>3.4</v>
      </c>
      <c r="J59">
        <v>170</v>
      </c>
      <c r="K59">
        <v>7</v>
      </c>
      <c r="L59" s="10">
        <v>31.25</v>
      </c>
      <c r="M59" s="2">
        <v>506.72120000000001</v>
      </c>
      <c r="N59" s="2">
        <f t="shared" si="1"/>
        <v>229.90124999999998</v>
      </c>
      <c r="O59">
        <v>0</v>
      </c>
    </row>
    <row r="60" spans="1:15" x14ac:dyDescent="0.25">
      <c r="A60" s="15"/>
      <c r="B60" s="15"/>
      <c r="C60">
        <v>5</v>
      </c>
      <c r="D60">
        <v>536.75</v>
      </c>
      <c r="E60">
        <v>28.25</v>
      </c>
      <c r="F60">
        <v>960</v>
      </c>
      <c r="G60">
        <v>368</v>
      </c>
      <c r="H60">
        <v>0</v>
      </c>
      <c r="I60">
        <v>3.4</v>
      </c>
      <c r="J60">
        <v>170</v>
      </c>
      <c r="K60">
        <v>14</v>
      </c>
      <c r="L60" s="10">
        <v>33.32</v>
      </c>
      <c r="M60" s="2">
        <v>506.72120000000001</v>
      </c>
      <c r="N60" s="2">
        <f t="shared" si="1"/>
        <v>229.90124999999998</v>
      </c>
      <c r="O60">
        <v>0</v>
      </c>
    </row>
    <row r="61" spans="1:15" x14ac:dyDescent="0.25">
      <c r="A61" s="15"/>
      <c r="B61" s="15"/>
      <c r="C61">
        <v>5</v>
      </c>
      <c r="D61">
        <v>536.75</v>
      </c>
      <c r="E61">
        <v>28.25</v>
      </c>
      <c r="F61">
        <v>960</v>
      </c>
      <c r="G61">
        <v>368</v>
      </c>
      <c r="H61">
        <v>0</v>
      </c>
      <c r="I61">
        <v>3.4</v>
      </c>
      <c r="J61">
        <v>170</v>
      </c>
      <c r="K61">
        <v>56</v>
      </c>
      <c r="L61" s="10">
        <v>39.08</v>
      </c>
      <c r="M61" s="2">
        <v>506.72120000000001</v>
      </c>
      <c r="N61" s="2">
        <f t="shared" si="1"/>
        <v>229.90124999999998</v>
      </c>
      <c r="O61">
        <v>0</v>
      </c>
    </row>
    <row r="62" spans="1:15" x14ac:dyDescent="0.25">
      <c r="A62" s="15"/>
      <c r="B62" s="15"/>
      <c r="C62">
        <v>5</v>
      </c>
      <c r="D62">
        <v>536.75</v>
      </c>
      <c r="E62">
        <v>28.25</v>
      </c>
      <c r="F62">
        <v>960</v>
      </c>
      <c r="G62">
        <v>368</v>
      </c>
      <c r="H62">
        <v>0</v>
      </c>
      <c r="I62">
        <v>3.4</v>
      </c>
      <c r="J62">
        <v>170</v>
      </c>
      <c r="K62">
        <v>90</v>
      </c>
      <c r="L62" s="10">
        <v>40.42</v>
      </c>
      <c r="M62" s="2">
        <v>506.72120000000001</v>
      </c>
      <c r="N62" s="2">
        <f t="shared" si="1"/>
        <v>229.90124999999998</v>
      </c>
      <c r="O62">
        <v>0</v>
      </c>
    </row>
    <row r="63" spans="1:15" x14ac:dyDescent="0.25">
      <c r="A63" s="15"/>
      <c r="B63" s="15"/>
      <c r="C63">
        <v>10</v>
      </c>
      <c r="D63">
        <v>508.5</v>
      </c>
      <c r="E63">
        <v>56.5</v>
      </c>
      <c r="F63">
        <v>960</v>
      </c>
      <c r="G63">
        <v>368</v>
      </c>
      <c r="H63">
        <v>0</v>
      </c>
      <c r="I63">
        <v>3.4</v>
      </c>
      <c r="J63">
        <v>170</v>
      </c>
      <c r="K63">
        <v>7</v>
      </c>
      <c r="L63" s="10">
        <v>30.59</v>
      </c>
      <c r="M63" s="2">
        <v>506.72120000000001</v>
      </c>
      <c r="N63" s="2">
        <f t="shared" si="1"/>
        <v>219.30749999999998</v>
      </c>
      <c r="O63">
        <v>0</v>
      </c>
    </row>
    <row r="64" spans="1:15" x14ac:dyDescent="0.25">
      <c r="A64" s="15"/>
      <c r="B64" s="15"/>
      <c r="C64">
        <v>10</v>
      </c>
      <c r="D64">
        <v>508.5</v>
      </c>
      <c r="E64">
        <v>56.5</v>
      </c>
      <c r="F64">
        <v>960</v>
      </c>
      <c r="G64">
        <v>368</v>
      </c>
      <c r="H64">
        <v>0</v>
      </c>
      <c r="I64">
        <v>3.4</v>
      </c>
      <c r="J64">
        <v>170</v>
      </c>
      <c r="K64">
        <v>14</v>
      </c>
      <c r="L64" s="10">
        <v>33.1</v>
      </c>
      <c r="M64" s="2">
        <v>506.72120000000001</v>
      </c>
      <c r="N64" s="2">
        <f t="shared" si="1"/>
        <v>219.30749999999998</v>
      </c>
      <c r="O64">
        <v>0</v>
      </c>
    </row>
    <row r="65" spans="1:15" x14ac:dyDescent="0.25">
      <c r="A65" s="15"/>
      <c r="B65" s="15"/>
      <c r="C65">
        <v>10</v>
      </c>
      <c r="D65">
        <v>508.5</v>
      </c>
      <c r="E65">
        <v>56.5</v>
      </c>
      <c r="F65">
        <v>960</v>
      </c>
      <c r="G65">
        <v>368</v>
      </c>
      <c r="H65">
        <v>0</v>
      </c>
      <c r="I65">
        <v>3.4</v>
      </c>
      <c r="J65">
        <v>170</v>
      </c>
      <c r="K65">
        <v>56</v>
      </c>
      <c r="L65" s="10">
        <v>38.54</v>
      </c>
      <c r="M65" s="2">
        <v>506.72120000000001</v>
      </c>
      <c r="N65" s="2">
        <f t="shared" si="1"/>
        <v>219.30749999999998</v>
      </c>
      <c r="O65">
        <v>0</v>
      </c>
    </row>
    <row r="66" spans="1:15" x14ac:dyDescent="0.25">
      <c r="A66" s="15"/>
      <c r="B66" s="15"/>
      <c r="C66">
        <v>10</v>
      </c>
      <c r="D66">
        <v>508.5</v>
      </c>
      <c r="E66">
        <v>56.5</v>
      </c>
      <c r="F66">
        <v>960</v>
      </c>
      <c r="G66">
        <v>368</v>
      </c>
      <c r="H66">
        <v>0</v>
      </c>
      <c r="I66">
        <v>3.4</v>
      </c>
      <c r="J66">
        <v>170</v>
      </c>
      <c r="K66">
        <v>90</v>
      </c>
      <c r="L66" s="10">
        <v>40.67</v>
      </c>
      <c r="M66" s="2">
        <v>506.72120000000001</v>
      </c>
      <c r="N66" s="2">
        <f t="shared" si="1"/>
        <v>219.30749999999998</v>
      </c>
      <c r="O66">
        <v>0</v>
      </c>
    </row>
    <row r="67" spans="1:15" x14ac:dyDescent="0.25">
      <c r="A67" s="15"/>
      <c r="B67" s="15"/>
      <c r="C67">
        <v>15</v>
      </c>
      <c r="D67">
        <v>480.25</v>
      </c>
      <c r="E67">
        <v>84.75</v>
      </c>
      <c r="F67">
        <v>960</v>
      </c>
      <c r="G67">
        <v>368</v>
      </c>
      <c r="H67">
        <v>0</v>
      </c>
      <c r="I67">
        <v>3.4</v>
      </c>
      <c r="J67">
        <v>170</v>
      </c>
      <c r="K67">
        <v>7</v>
      </c>
      <c r="L67" s="10">
        <v>33.75</v>
      </c>
      <c r="M67" s="2">
        <v>506.72120000000001</v>
      </c>
      <c r="N67" s="2">
        <f t="shared" ref="N67:N130" si="2">SUM((D67*5)+((F67*0.25)+(G67*0.2)+(I67*20)))*0.075</f>
        <v>208.71374999999998</v>
      </c>
      <c r="O67">
        <v>0</v>
      </c>
    </row>
    <row r="68" spans="1:15" x14ac:dyDescent="0.25">
      <c r="A68" s="15"/>
      <c r="B68" s="15"/>
      <c r="C68">
        <v>15</v>
      </c>
      <c r="D68">
        <v>480.25</v>
      </c>
      <c r="E68">
        <v>84.75</v>
      </c>
      <c r="F68">
        <v>960</v>
      </c>
      <c r="G68">
        <v>368</v>
      </c>
      <c r="H68">
        <v>0</v>
      </c>
      <c r="I68">
        <v>3.4</v>
      </c>
      <c r="J68">
        <v>170</v>
      </c>
      <c r="K68">
        <v>14</v>
      </c>
      <c r="L68" s="10">
        <v>32.31</v>
      </c>
      <c r="M68" s="2">
        <v>506.72120000000001</v>
      </c>
      <c r="N68" s="2">
        <f t="shared" si="2"/>
        <v>208.71374999999998</v>
      </c>
      <c r="O68">
        <v>0</v>
      </c>
    </row>
    <row r="69" spans="1:15" x14ac:dyDescent="0.25">
      <c r="A69" s="15"/>
      <c r="B69" s="15"/>
      <c r="C69">
        <v>15</v>
      </c>
      <c r="D69">
        <v>480.25</v>
      </c>
      <c r="E69">
        <v>84.75</v>
      </c>
      <c r="F69">
        <v>960</v>
      </c>
      <c r="G69">
        <v>368</v>
      </c>
      <c r="H69">
        <v>0</v>
      </c>
      <c r="I69">
        <v>3.4</v>
      </c>
      <c r="J69">
        <v>170</v>
      </c>
      <c r="K69">
        <v>56</v>
      </c>
      <c r="L69" s="10">
        <v>35.119999999999997</v>
      </c>
      <c r="M69" s="2">
        <v>506.72120000000001</v>
      </c>
      <c r="N69" s="2">
        <f t="shared" si="2"/>
        <v>208.71374999999998</v>
      </c>
      <c r="O69">
        <v>0</v>
      </c>
    </row>
    <row r="70" spans="1:15" x14ac:dyDescent="0.25">
      <c r="A70" s="15"/>
      <c r="B70" s="15"/>
      <c r="C70">
        <v>15</v>
      </c>
      <c r="D70">
        <v>480.25</v>
      </c>
      <c r="E70">
        <v>84.75</v>
      </c>
      <c r="F70">
        <v>960</v>
      </c>
      <c r="G70">
        <v>368</v>
      </c>
      <c r="H70">
        <v>0</v>
      </c>
      <c r="I70">
        <v>3.4</v>
      </c>
      <c r="J70">
        <v>170</v>
      </c>
      <c r="K70">
        <v>90</v>
      </c>
      <c r="L70" s="10">
        <v>40.93</v>
      </c>
      <c r="M70" s="2">
        <v>506.72120000000001</v>
      </c>
      <c r="N70" s="2">
        <f t="shared" si="2"/>
        <v>208.71374999999998</v>
      </c>
      <c r="O70">
        <v>0</v>
      </c>
    </row>
    <row r="71" spans="1:15" x14ac:dyDescent="0.25">
      <c r="A71" s="15"/>
      <c r="B71" s="15"/>
      <c r="C71">
        <v>20</v>
      </c>
      <c r="D71">
        <v>452</v>
      </c>
      <c r="E71">
        <v>113</v>
      </c>
      <c r="F71">
        <v>960</v>
      </c>
      <c r="G71">
        <v>368</v>
      </c>
      <c r="H71">
        <v>0</v>
      </c>
      <c r="I71">
        <v>3.4</v>
      </c>
      <c r="J71">
        <v>170</v>
      </c>
      <c r="K71">
        <v>7</v>
      </c>
      <c r="L71" s="10">
        <v>26.06</v>
      </c>
      <c r="M71" s="2">
        <v>506.72120000000001</v>
      </c>
      <c r="N71" s="2">
        <f t="shared" si="2"/>
        <v>198.11999999999998</v>
      </c>
      <c r="O71">
        <v>0</v>
      </c>
    </row>
    <row r="72" spans="1:15" x14ac:dyDescent="0.25">
      <c r="A72" s="15"/>
      <c r="B72" s="15"/>
      <c r="C72">
        <v>20</v>
      </c>
      <c r="D72">
        <v>452</v>
      </c>
      <c r="E72">
        <v>113</v>
      </c>
      <c r="F72">
        <v>960</v>
      </c>
      <c r="G72">
        <v>368</v>
      </c>
      <c r="H72">
        <v>0</v>
      </c>
      <c r="I72">
        <v>3.4</v>
      </c>
      <c r="J72">
        <v>170</v>
      </c>
      <c r="K72">
        <v>14</v>
      </c>
      <c r="L72" s="10">
        <v>27.85</v>
      </c>
      <c r="M72" s="2">
        <v>506.72120000000001</v>
      </c>
      <c r="N72" s="2">
        <f t="shared" si="2"/>
        <v>198.11999999999998</v>
      </c>
      <c r="O72">
        <v>0</v>
      </c>
    </row>
    <row r="73" spans="1:15" x14ac:dyDescent="0.25">
      <c r="A73" s="15"/>
      <c r="B73" s="15"/>
      <c r="C73">
        <v>20</v>
      </c>
      <c r="D73">
        <v>452</v>
      </c>
      <c r="E73">
        <v>113</v>
      </c>
      <c r="F73">
        <v>960</v>
      </c>
      <c r="G73">
        <v>368</v>
      </c>
      <c r="H73">
        <v>0</v>
      </c>
      <c r="I73">
        <v>3.4</v>
      </c>
      <c r="J73">
        <v>170</v>
      </c>
      <c r="K73">
        <v>56</v>
      </c>
      <c r="L73" s="10">
        <v>40.6</v>
      </c>
      <c r="M73" s="2">
        <v>506.72120000000001</v>
      </c>
      <c r="N73" s="2">
        <f t="shared" si="2"/>
        <v>198.11999999999998</v>
      </c>
      <c r="O73">
        <v>0</v>
      </c>
    </row>
    <row r="74" spans="1:15" x14ac:dyDescent="0.25">
      <c r="A74" s="15"/>
      <c r="B74" s="15"/>
      <c r="C74">
        <v>20</v>
      </c>
      <c r="D74">
        <v>452</v>
      </c>
      <c r="E74">
        <v>113</v>
      </c>
      <c r="F74">
        <v>960</v>
      </c>
      <c r="G74">
        <v>368</v>
      </c>
      <c r="H74">
        <v>0</v>
      </c>
      <c r="I74">
        <v>3.4</v>
      </c>
      <c r="J74">
        <v>170</v>
      </c>
      <c r="K74">
        <v>90</v>
      </c>
      <c r="L74" s="10">
        <v>36.99</v>
      </c>
      <c r="M74" s="2">
        <v>506.72120000000001</v>
      </c>
      <c r="N74" s="2">
        <f t="shared" si="2"/>
        <v>198.11999999999998</v>
      </c>
      <c r="O74">
        <v>0</v>
      </c>
    </row>
    <row r="75" spans="1:15" x14ac:dyDescent="0.25">
      <c r="A75" s="15"/>
      <c r="B75" s="15"/>
      <c r="C75">
        <v>25</v>
      </c>
      <c r="D75">
        <v>423.75</v>
      </c>
      <c r="E75">
        <v>141.25</v>
      </c>
      <c r="F75">
        <v>960</v>
      </c>
      <c r="G75">
        <v>368</v>
      </c>
      <c r="H75">
        <v>0</v>
      </c>
      <c r="I75">
        <v>3.4</v>
      </c>
      <c r="J75">
        <v>170</v>
      </c>
      <c r="K75">
        <v>7</v>
      </c>
      <c r="L75" s="10">
        <v>25.92</v>
      </c>
      <c r="M75" s="2">
        <v>506.72120000000001</v>
      </c>
      <c r="N75" s="2">
        <f t="shared" si="2"/>
        <v>187.52624999999998</v>
      </c>
      <c r="O75">
        <v>0</v>
      </c>
    </row>
    <row r="76" spans="1:15" x14ac:dyDescent="0.25">
      <c r="A76" s="15"/>
      <c r="B76" s="15"/>
      <c r="C76">
        <v>25</v>
      </c>
      <c r="D76">
        <v>423.75</v>
      </c>
      <c r="E76">
        <v>141.25</v>
      </c>
      <c r="F76">
        <v>960</v>
      </c>
      <c r="G76">
        <v>368</v>
      </c>
      <c r="H76">
        <v>0</v>
      </c>
      <c r="I76">
        <v>3.4</v>
      </c>
      <c r="J76">
        <v>170</v>
      </c>
      <c r="K76">
        <v>14</v>
      </c>
      <c r="L76" s="10">
        <v>29.75</v>
      </c>
      <c r="M76" s="2">
        <v>506.72120000000001</v>
      </c>
      <c r="N76" s="2">
        <f t="shared" si="2"/>
        <v>187.52624999999998</v>
      </c>
      <c r="O76">
        <v>0</v>
      </c>
    </row>
    <row r="77" spans="1:15" x14ac:dyDescent="0.25">
      <c r="A77" s="15"/>
      <c r="B77" s="15"/>
      <c r="C77">
        <v>25</v>
      </c>
      <c r="D77">
        <v>423.75</v>
      </c>
      <c r="E77">
        <v>141.25</v>
      </c>
      <c r="F77">
        <v>960</v>
      </c>
      <c r="G77">
        <v>368</v>
      </c>
      <c r="H77">
        <v>0</v>
      </c>
      <c r="I77">
        <v>3.4</v>
      </c>
      <c r="J77">
        <v>170</v>
      </c>
      <c r="K77">
        <v>56</v>
      </c>
      <c r="L77" s="10">
        <v>35.93</v>
      </c>
      <c r="M77" s="2">
        <v>506.72120000000001</v>
      </c>
      <c r="N77" s="2">
        <f t="shared" si="2"/>
        <v>187.52624999999998</v>
      </c>
      <c r="O77">
        <v>0</v>
      </c>
    </row>
    <row r="78" spans="1:15" x14ac:dyDescent="0.25">
      <c r="A78" s="15"/>
      <c r="B78" s="15"/>
      <c r="C78">
        <v>25</v>
      </c>
      <c r="D78">
        <v>423.75</v>
      </c>
      <c r="E78">
        <v>141.25</v>
      </c>
      <c r="F78">
        <v>960</v>
      </c>
      <c r="G78">
        <v>368</v>
      </c>
      <c r="H78">
        <v>0</v>
      </c>
      <c r="I78">
        <v>3.4</v>
      </c>
      <c r="J78">
        <v>170</v>
      </c>
      <c r="K78">
        <v>90</v>
      </c>
      <c r="L78" s="10">
        <v>39.93</v>
      </c>
      <c r="M78" s="2">
        <v>506.72120000000001</v>
      </c>
      <c r="N78" s="2">
        <f t="shared" si="2"/>
        <v>187.52624999999998</v>
      </c>
      <c r="O78">
        <v>0</v>
      </c>
    </row>
    <row r="79" spans="1:15" x14ac:dyDescent="0.25">
      <c r="A79" s="15"/>
      <c r="B79" s="15"/>
      <c r="C79">
        <v>30</v>
      </c>
      <c r="D79">
        <v>395.5</v>
      </c>
      <c r="E79">
        <v>169.5</v>
      </c>
      <c r="F79">
        <v>960</v>
      </c>
      <c r="G79">
        <v>368</v>
      </c>
      <c r="H79">
        <v>0</v>
      </c>
      <c r="I79">
        <v>3.4</v>
      </c>
      <c r="J79">
        <v>170</v>
      </c>
      <c r="K79">
        <v>7</v>
      </c>
      <c r="L79" s="10">
        <v>25.33</v>
      </c>
      <c r="M79" s="2">
        <v>506.72120000000001</v>
      </c>
      <c r="N79" s="2">
        <f t="shared" si="2"/>
        <v>176.93249999999998</v>
      </c>
      <c r="O79">
        <v>0</v>
      </c>
    </row>
    <row r="80" spans="1:15" x14ac:dyDescent="0.25">
      <c r="A80" s="15"/>
      <c r="B80" s="15"/>
      <c r="C80">
        <v>30</v>
      </c>
      <c r="D80">
        <v>395.5</v>
      </c>
      <c r="E80">
        <v>169.5</v>
      </c>
      <c r="F80">
        <v>960</v>
      </c>
      <c r="G80">
        <v>368</v>
      </c>
      <c r="H80">
        <v>0</v>
      </c>
      <c r="I80">
        <v>3.4</v>
      </c>
      <c r="J80">
        <v>170</v>
      </c>
      <c r="K80">
        <v>14</v>
      </c>
      <c r="L80" s="10">
        <v>26.11</v>
      </c>
      <c r="M80" s="2">
        <v>506.72120000000001</v>
      </c>
      <c r="N80" s="2">
        <f t="shared" si="2"/>
        <v>176.93249999999998</v>
      </c>
      <c r="O80">
        <v>0</v>
      </c>
    </row>
    <row r="81" spans="1:15" x14ac:dyDescent="0.25">
      <c r="A81" s="15"/>
      <c r="B81" s="15"/>
      <c r="C81">
        <v>30</v>
      </c>
      <c r="D81">
        <v>395.5</v>
      </c>
      <c r="E81">
        <v>169.5</v>
      </c>
      <c r="F81">
        <v>960</v>
      </c>
      <c r="G81">
        <v>368</v>
      </c>
      <c r="H81">
        <v>0</v>
      </c>
      <c r="I81">
        <v>3.4</v>
      </c>
      <c r="J81">
        <v>170</v>
      </c>
      <c r="K81">
        <v>56</v>
      </c>
      <c r="L81" s="10">
        <v>36.369999999999997</v>
      </c>
      <c r="M81" s="2">
        <v>506.72120000000001</v>
      </c>
      <c r="N81" s="2">
        <f t="shared" si="2"/>
        <v>176.93249999999998</v>
      </c>
      <c r="O81">
        <v>0</v>
      </c>
    </row>
    <row r="82" spans="1:15" x14ac:dyDescent="0.25">
      <c r="A82" s="15"/>
      <c r="B82" s="15"/>
      <c r="C82">
        <v>30</v>
      </c>
      <c r="D82">
        <v>395.5</v>
      </c>
      <c r="E82">
        <v>169.5</v>
      </c>
      <c r="F82">
        <v>960</v>
      </c>
      <c r="G82">
        <v>368</v>
      </c>
      <c r="H82">
        <v>0</v>
      </c>
      <c r="I82">
        <v>3.4</v>
      </c>
      <c r="J82">
        <v>170</v>
      </c>
      <c r="K82">
        <v>90</v>
      </c>
      <c r="L82" s="10">
        <v>35.9</v>
      </c>
      <c r="M82" s="2">
        <v>506.72120000000001</v>
      </c>
      <c r="N82" s="2">
        <f t="shared" si="2"/>
        <v>176.93249999999998</v>
      </c>
      <c r="O82">
        <v>0</v>
      </c>
    </row>
    <row r="83" spans="1:15" x14ac:dyDescent="0.25">
      <c r="A83" s="15"/>
      <c r="B83" s="15"/>
      <c r="C83">
        <v>35</v>
      </c>
      <c r="D83">
        <v>367.25</v>
      </c>
      <c r="E83">
        <v>197.75</v>
      </c>
      <c r="F83">
        <v>960</v>
      </c>
      <c r="G83">
        <v>368</v>
      </c>
      <c r="H83">
        <v>0</v>
      </c>
      <c r="I83">
        <v>3.4</v>
      </c>
      <c r="J83">
        <v>170</v>
      </c>
      <c r="K83">
        <v>7</v>
      </c>
      <c r="L83" s="10">
        <v>26.59</v>
      </c>
      <c r="M83" s="2">
        <v>506.72120000000001</v>
      </c>
      <c r="N83" s="2">
        <f t="shared" si="2"/>
        <v>166.33874999999998</v>
      </c>
      <c r="O83">
        <v>0</v>
      </c>
    </row>
    <row r="84" spans="1:15" x14ac:dyDescent="0.25">
      <c r="A84" s="15"/>
      <c r="B84" s="15"/>
      <c r="C84">
        <v>35</v>
      </c>
      <c r="D84">
        <v>367.25</v>
      </c>
      <c r="E84">
        <v>197.75</v>
      </c>
      <c r="F84">
        <v>960</v>
      </c>
      <c r="G84">
        <v>368</v>
      </c>
      <c r="H84">
        <v>0</v>
      </c>
      <c r="I84">
        <v>3.4</v>
      </c>
      <c r="J84">
        <v>170</v>
      </c>
      <c r="K84">
        <v>14</v>
      </c>
      <c r="L84" s="10">
        <v>24.88</v>
      </c>
      <c r="M84" s="2">
        <v>506.72120000000001</v>
      </c>
      <c r="N84" s="2">
        <f t="shared" si="2"/>
        <v>166.33874999999998</v>
      </c>
      <c r="O84">
        <v>0</v>
      </c>
    </row>
    <row r="85" spans="1:15" x14ac:dyDescent="0.25">
      <c r="A85" s="15"/>
      <c r="B85" s="15"/>
      <c r="C85">
        <v>35</v>
      </c>
      <c r="D85">
        <v>367.25</v>
      </c>
      <c r="E85">
        <v>197.75</v>
      </c>
      <c r="F85">
        <v>960</v>
      </c>
      <c r="G85">
        <v>368</v>
      </c>
      <c r="H85">
        <v>0</v>
      </c>
      <c r="I85">
        <v>3.4</v>
      </c>
      <c r="J85">
        <v>170</v>
      </c>
      <c r="K85">
        <v>56</v>
      </c>
      <c r="L85" s="10">
        <v>33.11</v>
      </c>
      <c r="M85" s="2">
        <v>506.72120000000001</v>
      </c>
      <c r="N85" s="2">
        <f t="shared" si="2"/>
        <v>166.33874999999998</v>
      </c>
      <c r="O85">
        <v>0</v>
      </c>
    </row>
    <row r="86" spans="1:15" x14ac:dyDescent="0.25">
      <c r="A86" s="15"/>
      <c r="B86" s="15"/>
      <c r="C86">
        <v>35</v>
      </c>
      <c r="D86">
        <v>367.25</v>
      </c>
      <c r="E86">
        <v>197.75</v>
      </c>
      <c r="F86">
        <v>960</v>
      </c>
      <c r="G86">
        <v>368</v>
      </c>
      <c r="H86">
        <v>0</v>
      </c>
      <c r="I86">
        <v>3.4</v>
      </c>
      <c r="J86">
        <v>170</v>
      </c>
      <c r="K86">
        <v>90</v>
      </c>
      <c r="L86" s="10">
        <v>34.92</v>
      </c>
      <c r="M86" s="2">
        <v>506.72120000000001</v>
      </c>
      <c r="N86" s="2">
        <f t="shared" si="2"/>
        <v>166.33874999999998</v>
      </c>
      <c r="O86">
        <v>0</v>
      </c>
    </row>
    <row r="87" spans="1:15" x14ac:dyDescent="0.25">
      <c r="A87" s="15"/>
      <c r="B87" s="15"/>
      <c r="C87">
        <v>40</v>
      </c>
      <c r="D87">
        <v>339</v>
      </c>
      <c r="E87">
        <v>226</v>
      </c>
      <c r="F87">
        <v>960</v>
      </c>
      <c r="G87">
        <v>368</v>
      </c>
      <c r="H87">
        <v>0</v>
      </c>
      <c r="I87">
        <v>3.4</v>
      </c>
      <c r="J87">
        <v>170</v>
      </c>
      <c r="K87">
        <v>7</v>
      </c>
      <c r="L87" s="10">
        <v>24.54</v>
      </c>
      <c r="M87" s="2">
        <v>506.72120000000001</v>
      </c>
      <c r="N87" s="2">
        <f t="shared" si="2"/>
        <v>155.74499999999998</v>
      </c>
      <c r="O87">
        <v>0</v>
      </c>
    </row>
    <row r="88" spans="1:15" x14ac:dyDescent="0.25">
      <c r="A88" s="15"/>
      <c r="B88" s="15"/>
      <c r="C88">
        <v>40</v>
      </c>
      <c r="D88">
        <v>339</v>
      </c>
      <c r="E88">
        <v>226</v>
      </c>
      <c r="F88">
        <v>960</v>
      </c>
      <c r="G88">
        <v>368</v>
      </c>
      <c r="H88">
        <v>0</v>
      </c>
      <c r="I88">
        <v>3.4</v>
      </c>
      <c r="J88">
        <v>170</v>
      </c>
      <c r="K88">
        <v>14</v>
      </c>
      <c r="L88" s="10">
        <v>25.05</v>
      </c>
      <c r="M88" s="2">
        <v>506.72120000000001</v>
      </c>
      <c r="N88" s="2">
        <f t="shared" si="2"/>
        <v>155.74499999999998</v>
      </c>
      <c r="O88">
        <v>0</v>
      </c>
    </row>
    <row r="89" spans="1:15" x14ac:dyDescent="0.25">
      <c r="A89" s="15"/>
      <c r="B89" s="15"/>
      <c r="C89">
        <v>40</v>
      </c>
      <c r="D89">
        <v>339</v>
      </c>
      <c r="E89">
        <v>226</v>
      </c>
      <c r="F89">
        <v>960</v>
      </c>
      <c r="G89">
        <v>368</v>
      </c>
      <c r="H89">
        <v>0</v>
      </c>
      <c r="I89">
        <v>3.4</v>
      </c>
      <c r="J89">
        <v>170</v>
      </c>
      <c r="K89">
        <v>56</v>
      </c>
      <c r="L89" s="10">
        <v>32.229999999999997</v>
      </c>
      <c r="M89" s="2">
        <v>506.72120000000001</v>
      </c>
      <c r="N89" s="2">
        <f t="shared" si="2"/>
        <v>155.74499999999998</v>
      </c>
      <c r="O89">
        <v>0</v>
      </c>
    </row>
    <row r="90" spans="1:15" x14ac:dyDescent="0.25">
      <c r="A90" s="15"/>
      <c r="B90" s="15"/>
      <c r="C90">
        <v>40</v>
      </c>
      <c r="D90">
        <v>339</v>
      </c>
      <c r="E90">
        <v>226</v>
      </c>
      <c r="F90">
        <v>960</v>
      </c>
      <c r="G90">
        <v>368</v>
      </c>
      <c r="H90">
        <v>0</v>
      </c>
      <c r="I90">
        <v>3.4</v>
      </c>
      <c r="J90">
        <v>170</v>
      </c>
      <c r="K90">
        <v>90</v>
      </c>
      <c r="L90" s="10">
        <v>34.24</v>
      </c>
      <c r="M90" s="2">
        <v>506.72120000000001</v>
      </c>
      <c r="N90" s="2">
        <f t="shared" si="2"/>
        <v>155.74499999999998</v>
      </c>
      <c r="O90">
        <v>0</v>
      </c>
    </row>
    <row r="91" spans="1:15" x14ac:dyDescent="0.25">
      <c r="A91" s="15"/>
      <c r="B91" s="15"/>
      <c r="C91">
        <v>45</v>
      </c>
      <c r="D91">
        <v>310.75</v>
      </c>
      <c r="E91">
        <v>254.25</v>
      </c>
      <c r="F91">
        <v>960</v>
      </c>
      <c r="G91">
        <v>368</v>
      </c>
      <c r="H91">
        <v>0</v>
      </c>
      <c r="I91">
        <v>3.4</v>
      </c>
      <c r="J91">
        <v>170</v>
      </c>
      <c r="K91">
        <v>7</v>
      </c>
      <c r="L91" s="10">
        <v>24.7</v>
      </c>
      <c r="M91" s="2">
        <v>506.72120000000001</v>
      </c>
      <c r="N91" s="2">
        <f t="shared" si="2"/>
        <v>145.15124999999998</v>
      </c>
      <c r="O91">
        <v>0</v>
      </c>
    </row>
    <row r="92" spans="1:15" x14ac:dyDescent="0.25">
      <c r="A92" s="15"/>
      <c r="B92" s="15"/>
      <c r="C92">
        <v>45</v>
      </c>
      <c r="D92">
        <v>310.75</v>
      </c>
      <c r="E92">
        <v>254.25</v>
      </c>
      <c r="F92">
        <v>960</v>
      </c>
      <c r="G92">
        <v>368</v>
      </c>
      <c r="H92">
        <v>0</v>
      </c>
      <c r="I92">
        <v>3.4</v>
      </c>
      <c r="J92">
        <v>170</v>
      </c>
      <c r="K92">
        <v>14</v>
      </c>
      <c r="L92" s="10">
        <v>23.79</v>
      </c>
      <c r="M92" s="2">
        <v>506.72120000000001</v>
      </c>
      <c r="N92" s="2">
        <f t="shared" si="2"/>
        <v>145.15124999999998</v>
      </c>
      <c r="O92">
        <v>0</v>
      </c>
    </row>
    <row r="93" spans="1:15" x14ac:dyDescent="0.25">
      <c r="A93" s="15"/>
      <c r="B93" s="15"/>
      <c r="C93">
        <v>45</v>
      </c>
      <c r="D93">
        <v>310.75</v>
      </c>
      <c r="E93">
        <v>254.25</v>
      </c>
      <c r="F93">
        <v>960</v>
      </c>
      <c r="G93">
        <v>368</v>
      </c>
      <c r="H93">
        <v>0</v>
      </c>
      <c r="I93">
        <v>3.4</v>
      </c>
      <c r="J93">
        <v>170</v>
      </c>
      <c r="K93">
        <v>56</v>
      </c>
      <c r="L93" s="10">
        <v>30.87</v>
      </c>
      <c r="M93" s="2">
        <v>506.72120000000001</v>
      </c>
      <c r="N93" s="2">
        <f t="shared" si="2"/>
        <v>145.15124999999998</v>
      </c>
      <c r="O93">
        <v>0</v>
      </c>
    </row>
    <row r="94" spans="1:15" x14ac:dyDescent="0.25">
      <c r="A94" s="15"/>
      <c r="B94" s="15"/>
      <c r="C94">
        <v>45</v>
      </c>
      <c r="D94">
        <v>310.75</v>
      </c>
      <c r="E94">
        <v>254.25</v>
      </c>
      <c r="F94">
        <v>960</v>
      </c>
      <c r="G94">
        <v>368</v>
      </c>
      <c r="H94">
        <v>0</v>
      </c>
      <c r="I94">
        <v>3.4</v>
      </c>
      <c r="J94">
        <v>170</v>
      </c>
      <c r="K94">
        <v>90</v>
      </c>
      <c r="L94" s="10">
        <v>35.42</v>
      </c>
      <c r="M94" s="2">
        <v>506.72120000000001</v>
      </c>
      <c r="N94" s="2">
        <f t="shared" si="2"/>
        <v>145.15124999999998</v>
      </c>
      <c r="O94">
        <v>0</v>
      </c>
    </row>
    <row r="95" spans="1:15" x14ac:dyDescent="0.25">
      <c r="A95" s="15"/>
      <c r="B95" s="15"/>
      <c r="C95">
        <v>50</v>
      </c>
      <c r="D95">
        <v>282.5</v>
      </c>
      <c r="E95">
        <v>282.5</v>
      </c>
      <c r="F95">
        <v>960</v>
      </c>
      <c r="G95">
        <v>368</v>
      </c>
      <c r="H95">
        <v>0</v>
      </c>
      <c r="I95">
        <v>3.4</v>
      </c>
      <c r="J95">
        <v>170</v>
      </c>
      <c r="K95">
        <v>7</v>
      </c>
      <c r="L95" s="10">
        <v>20.67</v>
      </c>
      <c r="M95" s="2">
        <v>506.72120000000001</v>
      </c>
      <c r="N95" s="2">
        <f t="shared" si="2"/>
        <v>134.55749999999998</v>
      </c>
      <c r="O95">
        <v>0</v>
      </c>
    </row>
    <row r="96" spans="1:15" x14ac:dyDescent="0.25">
      <c r="A96" s="15"/>
      <c r="B96" s="15"/>
      <c r="C96">
        <v>50</v>
      </c>
      <c r="D96">
        <v>282.5</v>
      </c>
      <c r="E96">
        <v>282.5</v>
      </c>
      <c r="F96">
        <v>960</v>
      </c>
      <c r="G96">
        <v>368</v>
      </c>
      <c r="H96">
        <v>0</v>
      </c>
      <c r="I96">
        <v>3.4</v>
      </c>
      <c r="J96">
        <v>170</v>
      </c>
      <c r="K96">
        <v>14</v>
      </c>
      <c r="L96" s="10">
        <v>22.76</v>
      </c>
      <c r="M96" s="2">
        <v>506.72120000000001</v>
      </c>
      <c r="N96" s="2">
        <f t="shared" si="2"/>
        <v>134.55749999999998</v>
      </c>
      <c r="O96">
        <v>0</v>
      </c>
    </row>
    <row r="97" spans="1:15" x14ac:dyDescent="0.25">
      <c r="A97" s="15"/>
      <c r="B97" s="15"/>
      <c r="C97">
        <v>50</v>
      </c>
      <c r="D97">
        <v>282.5</v>
      </c>
      <c r="E97">
        <v>282.5</v>
      </c>
      <c r="F97">
        <v>960</v>
      </c>
      <c r="G97">
        <v>368</v>
      </c>
      <c r="H97">
        <v>0</v>
      </c>
      <c r="I97">
        <v>3.4</v>
      </c>
      <c r="J97">
        <v>170</v>
      </c>
      <c r="K97">
        <v>56</v>
      </c>
      <c r="L97" s="10">
        <v>29.49</v>
      </c>
      <c r="M97" s="2">
        <v>506.72120000000001</v>
      </c>
      <c r="N97" s="2">
        <f t="shared" si="2"/>
        <v>134.55749999999998</v>
      </c>
      <c r="O97">
        <v>0</v>
      </c>
    </row>
    <row r="98" spans="1:15" x14ac:dyDescent="0.25">
      <c r="A98" s="15"/>
      <c r="B98" s="15"/>
      <c r="C98">
        <v>50</v>
      </c>
      <c r="D98">
        <v>282.5</v>
      </c>
      <c r="E98">
        <v>282.5</v>
      </c>
      <c r="F98">
        <v>960</v>
      </c>
      <c r="G98">
        <v>368</v>
      </c>
      <c r="H98">
        <v>0</v>
      </c>
      <c r="I98">
        <v>3.4</v>
      </c>
      <c r="J98">
        <v>170</v>
      </c>
      <c r="K98">
        <v>90</v>
      </c>
      <c r="L98" s="10">
        <v>31.98</v>
      </c>
      <c r="M98" s="2">
        <v>506.72120000000001</v>
      </c>
      <c r="N98" s="2">
        <f t="shared" si="2"/>
        <v>134.55749999999998</v>
      </c>
      <c r="O98">
        <v>0</v>
      </c>
    </row>
    <row r="99" spans="1:15" x14ac:dyDescent="0.25">
      <c r="A99" s="15" t="s">
        <v>16</v>
      </c>
      <c r="B99" s="15" t="s">
        <v>17</v>
      </c>
      <c r="C99">
        <v>0</v>
      </c>
      <c r="D99">
        <v>500</v>
      </c>
      <c r="E99">
        <v>0</v>
      </c>
      <c r="F99">
        <v>711</v>
      </c>
      <c r="G99">
        <v>1067</v>
      </c>
      <c r="H99">
        <v>0</v>
      </c>
      <c r="I99">
        <v>11.5</v>
      </c>
      <c r="J99">
        <v>145</v>
      </c>
      <c r="K99">
        <v>7</v>
      </c>
      <c r="L99" s="10">
        <v>38.75</v>
      </c>
      <c r="M99" s="2">
        <v>496.85820000000001</v>
      </c>
      <c r="N99" s="2">
        <f t="shared" si="2"/>
        <v>234.08625000000001</v>
      </c>
      <c r="O99">
        <v>0</v>
      </c>
    </row>
    <row r="100" spans="1:15" x14ac:dyDescent="0.25">
      <c r="A100" s="15"/>
      <c r="B100" s="15"/>
      <c r="C100">
        <v>0</v>
      </c>
      <c r="D100">
        <v>500</v>
      </c>
      <c r="E100">
        <v>0</v>
      </c>
      <c r="F100">
        <v>711</v>
      </c>
      <c r="G100">
        <v>1067</v>
      </c>
      <c r="H100">
        <v>0</v>
      </c>
      <c r="I100">
        <v>11.5</v>
      </c>
      <c r="J100">
        <v>145</v>
      </c>
      <c r="K100">
        <v>14</v>
      </c>
      <c r="L100" s="10">
        <v>44.86</v>
      </c>
      <c r="M100" s="2">
        <v>496.85820000000001</v>
      </c>
      <c r="N100" s="2">
        <f t="shared" si="2"/>
        <v>234.08625000000001</v>
      </c>
      <c r="O100">
        <v>0</v>
      </c>
    </row>
    <row r="101" spans="1:15" x14ac:dyDescent="0.25">
      <c r="A101" s="15"/>
      <c r="B101" s="15"/>
      <c r="C101">
        <v>0</v>
      </c>
      <c r="D101">
        <v>500</v>
      </c>
      <c r="E101">
        <v>0</v>
      </c>
      <c r="F101">
        <v>711</v>
      </c>
      <c r="G101">
        <v>1067</v>
      </c>
      <c r="H101">
        <v>0</v>
      </c>
      <c r="I101">
        <v>11.5</v>
      </c>
      <c r="J101">
        <v>145</v>
      </c>
      <c r="K101">
        <v>56</v>
      </c>
      <c r="L101" s="10">
        <v>44.86</v>
      </c>
      <c r="M101" s="2">
        <v>496.85820000000001</v>
      </c>
      <c r="N101" s="2">
        <f t="shared" si="2"/>
        <v>234.08625000000001</v>
      </c>
      <c r="O101">
        <v>0</v>
      </c>
    </row>
    <row r="102" spans="1:15" x14ac:dyDescent="0.25">
      <c r="A102" s="15"/>
      <c r="B102" s="15"/>
      <c r="C102">
        <v>0</v>
      </c>
      <c r="D102">
        <v>500</v>
      </c>
      <c r="E102">
        <v>0</v>
      </c>
      <c r="F102">
        <v>711</v>
      </c>
      <c r="G102">
        <v>1067</v>
      </c>
      <c r="H102">
        <v>0</v>
      </c>
      <c r="I102">
        <v>11.5</v>
      </c>
      <c r="J102">
        <v>145</v>
      </c>
      <c r="K102">
        <v>90</v>
      </c>
      <c r="L102" s="10">
        <v>49.99</v>
      </c>
      <c r="M102" s="2">
        <v>496.85820000000001</v>
      </c>
      <c r="N102" s="2">
        <f t="shared" si="2"/>
        <v>234.08625000000001</v>
      </c>
      <c r="O102">
        <v>0</v>
      </c>
    </row>
    <row r="103" spans="1:15" x14ac:dyDescent="0.25">
      <c r="A103" s="15"/>
      <c r="B103" s="15"/>
      <c r="C103">
        <v>5</v>
      </c>
      <c r="D103">
        <v>475</v>
      </c>
      <c r="E103">
        <v>25</v>
      </c>
      <c r="F103">
        <v>711</v>
      </c>
      <c r="G103">
        <v>1067</v>
      </c>
      <c r="H103">
        <v>0</v>
      </c>
      <c r="I103">
        <v>11.5</v>
      </c>
      <c r="J103">
        <v>145</v>
      </c>
      <c r="K103">
        <v>7</v>
      </c>
      <c r="L103" s="10">
        <v>36.200000000000003</v>
      </c>
      <c r="M103" s="2">
        <v>496.85820000000001</v>
      </c>
      <c r="N103" s="2">
        <f t="shared" si="2"/>
        <v>224.71125000000001</v>
      </c>
      <c r="O103">
        <v>0</v>
      </c>
    </row>
    <row r="104" spans="1:15" x14ac:dyDescent="0.25">
      <c r="A104" s="15"/>
      <c r="B104" s="15"/>
      <c r="C104">
        <v>5</v>
      </c>
      <c r="D104">
        <v>475</v>
      </c>
      <c r="E104">
        <v>25</v>
      </c>
      <c r="F104">
        <v>711</v>
      </c>
      <c r="G104">
        <v>1067</v>
      </c>
      <c r="H104">
        <v>0</v>
      </c>
      <c r="I104">
        <v>11.5</v>
      </c>
      <c r="J104">
        <v>145</v>
      </c>
      <c r="K104">
        <v>14</v>
      </c>
      <c r="L104" s="10">
        <v>38.1</v>
      </c>
      <c r="M104" s="2">
        <v>496.85820000000001</v>
      </c>
      <c r="N104" s="2">
        <f t="shared" si="2"/>
        <v>224.71125000000001</v>
      </c>
      <c r="O104">
        <v>0</v>
      </c>
    </row>
    <row r="105" spans="1:15" x14ac:dyDescent="0.25">
      <c r="A105" s="15"/>
      <c r="B105" s="15"/>
      <c r="C105">
        <v>5</v>
      </c>
      <c r="D105">
        <v>475</v>
      </c>
      <c r="E105">
        <v>25</v>
      </c>
      <c r="F105">
        <v>711</v>
      </c>
      <c r="G105">
        <v>1067</v>
      </c>
      <c r="H105">
        <v>0</v>
      </c>
      <c r="I105">
        <v>11.5</v>
      </c>
      <c r="J105">
        <v>145</v>
      </c>
      <c r="K105">
        <v>56</v>
      </c>
      <c r="L105" s="10">
        <v>42.15</v>
      </c>
      <c r="M105" s="2">
        <v>496.85820000000001</v>
      </c>
      <c r="N105" s="2">
        <f t="shared" si="2"/>
        <v>224.71125000000001</v>
      </c>
      <c r="O105">
        <v>0</v>
      </c>
    </row>
    <row r="106" spans="1:15" x14ac:dyDescent="0.25">
      <c r="A106" s="15"/>
      <c r="B106" s="15"/>
      <c r="C106">
        <v>5</v>
      </c>
      <c r="D106">
        <v>475</v>
      </c>
      <c r="E106">
        <v>25</v>
      </c>
      <c r="F106">
        <v>711</v>
      </c>
      <c r="G106">
        <v>1067</v>
      </c>
      <c r="H106">
        <v>0</v>
      </c>
      <c r="I106">
        <v>11.5</v>
      </c>
      <c r="J106">
        <v>145</v>
      </c>
      <c r="K106">
        <v>90</v>
      </c>
      <c r="L106" s="10">
        <v>49.27</v>
      </c>
      <c r="M106" s="2">
        <v>496.85820000000001</v>
      </c>
      <c r="N106" s="2">
        <f t="shared" si="2"/>
        <v>224.71125000000001</v>
      </c>
      <c r="O106">
        <v>0</v>
      </c>
    </row>
    <row r="107" spans="1:15" x14ac:dyDescent="0.25">
      <c r="A107" s="15"/>
      <c r="B107" s="15"/>
      <c r="C107">
        <v>10</v>
      </c>
      <c r="D107">
        <v>450</v>
      </c>
      <c r="E107">
        <v>50</v>
      </c>
      <c r="F107">
        <v>711</v>
      </c>
      <c r="G107">
        <v>1067</v>
      </c>
      <c r="H107">
        <v>0</v>
      </c>
      <c r="I107">
        <v>11.5</v>
      </c>
      <c r="J107">
        <v>145</v>
      </c>
      <c r="K107">
        <v>7</v>
      </c>
      <c r="L107" s="10">
        <v>31.2</v>
      </c>
      <c r="M107" s="2">
        <v>496.85820000000001</v>
      </c>
      <c r="N107" s="2">
        <f t="shared" si="2"/>
        <v>215.33625000000001</v>
      </c>
      <c r="O107">
        <v>0</v>
      </c>
    </row>
    <row r="108" spans="1:15" x14ac:dyDescent="0.25">
      <c r="A108" s="15"/>
      <c r="B108" s="15"/>
      <c r="C108">
        <v>10</v>
      </c>
      <c r="D108">
        <v>450</v>
      </c>
      <c r="E108">
        <v>50</v>
      </c>
      <c r="F108">
        <v>711</v>
      </c>
      <c r="G108">
        <v>1067</v>
      </c>
      <c r="H108">
        <v>0</v>
      </c>
      <c r="I108">
        <v>11.5</v>
      </c>
      <c r="J108">
        <v>145</v>
      </c>
      <c r="K108">
        <v>14</v>
      </c>
      <c r="L108" s="10">
        <v>37.83</v>
      </c>
      <c r="M108" s="2">
        <v>496.85820000000001</v>
      </c>
      <c r="N108" s="2">
        <f t="shared" si="2"/>
        <v>215.33625000000001</v>
      </c>
      <c r="O108">
        <v>0</v>
      </c>
    </row>
    <row r="109" spans="1:15" x14ac:dyDescent="0.25">
      <c r="A109" s="15"/>
      <c r="B109" s="15"/>
      <c r="C109">
        <v>10</v>
      </c>
      <c r="D109">
        <v>450</v>
      </c>
      <c r="E109">
        <v>50</v>
      </c>
      <c r="F109">
        <v>711</v>
      </c>
      <c r="G109">
        <v>1067</v>
      </c>
      <c r="H109">
        <v>0</v>
      </c>
      <c r="I109">
        <v>11.5</v>
      </c>
      <c r="J109">
        <v>145</v>
      </c>
      <c r="K109">
        <v>56</v>
      </c>
      <c r="L109" s="10">
        <v>44.09</v>
      </c>
      <c r="M109" s="2">
        <v>496.85820000000001</v>
      </c>
      <c r="N109" s="2">
        <f t="shared" si="2"/>
        <v>215.33625000000001</v>
      </c>
      <c r="O109">
        <v>0</v>
      </c>
    </row>
    <row r="110" spans="1:15" x14ac:dyDescent="0.25">
      <c r="A110" s="15"/>
      <c r="B110" s="15"/>
      <c r="C110">
        <v>10</v>
      </c>
      <c r="D110">
        <v>450</v>
      </c>
      <c r="E110">
        <v>50</v>
      </c>
      <c r="F110">
        <v>711</v>
      </c>
      <c r="G110">
        <v>1067</v>
      </c>
      <c r="H110">
        <v>0</v>
      </c>
      <c r="I110">
        <v>11.5</v>
      </c>
      <c r="J110">
        <v>145</v>
      </c>
      <c r="K110">
        <v>90</v>
      </c>
      <c r="L110" s="10">
        <v>43.8</v>
      </c>
      <c r="M110" s="2">
        <v>496.85820000000001</v>
      </c>
      <c r="N110" s="2">
        <f t="shared" si="2"/>
        <v>215.33625000000001</v>
      </c>
      <c r="O110">
        <v>0</v>
      </c>
    </row>
    <row r="111" spans="1:15" x14ac:dyDescent="0.25">
      <c r="A111" s="15"/>
      <c r="B111" s="15"/>
      <c r="C111">
        <v>15</v>
      </c>
      <c r="D111">
        <v>425</v>
      </c>
      <c r="E111">
        <v>75</v>
      </c>
      <c r="F111">
        <v>711</v>
      </c>
      <c r="G111">
        <v>1067</v>
      </c>
      <c r="H111">
        <v>0</v>
      </c>
      <c r="I111">
        <v>11.5</v>
      </c>
      <c r="J111">
        <v>145</v>
      </c>
      <c r="K111">
        <v>7</v>
      </c>
      <c r="L111" s="10">
        <v>33.74</v>
      </c>
      <c r="M111" s="2">
        <v>496.85820000000001</v>
      </c>
      <c r="N111" s="2">
        <f t="shared" si="2"/>
        <v>205.96125000000001</v>
      </c>
      <c r="O111">
        <v>0</v>
      </c>
    </row>
    <row r="112" spans="1:15" x14ac:dyDescent="0.25">
      <c r="A112" s="15"/>
      <c r="B112" s="15"/>
      <c r="C112">
        <v>15</v>
      </c>
      <c r="D112">
        <v>425</v>
      </c>
      <c r="E112">
        <v>75</v>
      </c>
      <c r="F112">
        <v>711</v>
      </c>
      <c r="G112">
        <v>1067</v>
      </c>
      <c r="H112">
        <v>0</v>
      </c>
      <c r="I112">
        <v>11.5</v>
      </c>
      <c r="J112">
        <v>145</v>
      </c>
      <c r="K112">
        <v>14</v>
      </c>
      <c r="L112" s="10">
        <v>37.979999999999997</v>
      </c>
      <c r="M112" s="2">
        <v>496.85820000000001</v>
      </c>
      <c r="N112" s="2">
        <f t="shared" si="2"/>
        <v>205.96125000000001</v>
      </c>
      <c r="O112">
        <v>0</v>
      </c>
    </row>
    <row r="113" spans="1:15" x14ac:dyDescent="0.25">
      <c r="A113" s="15"/>
      <c r="B113" s="15"/>
      <c r="C113">
        <v>15</v>
      </c>
      <c r="D113">
        <v>425</v>
      </c>
      <c r="E113">
        <v>75</v>
      </c>
      <c r="F113">
        <v>711</v>
      </c>
      <c r="G113">
        <v>1067</v>
      </c>
      <c r="H113">
        <v>0</v>
      </c>
      <c r="I113">
        <v>11.5</v>
      </c>
      <c r="J113">
        <v>145</v>
      </c>
      <c r="K113">
        <v>56</v>
      </c>
      <c r="L113" s="10">
        <v>40.51</v>
      </c>
      <c r="M113" s="2">
        <v>496.85820000000001</v>
      </c>
      <c r="N113" s="2">
        <f t="shared" si="2"/>
        <v>205.96125000000001</v>
      </c>
      <c r="O113">
        <v>0</v>
      </c>
    </row>
    <row r="114" spans="1:15" x14ac:dyDescent="0.25">
      <c r="A114" s="15"/>
      <c r="B114" s="15"/>
      <c r="C114">
        <v>15</v>
      </c>
      <c r="D114">
        <v>425</v>
      </c>
      <c r="E114">
        <v>75</v>
      </c>
      <c r="F114">
        <v>711</v>
      </c>
      <c r="G114">
        <v>1067</v>
      </c>
      <c r="H114">
        <v>0</v>
      </c>
      <c r="I114">
        <v>11.5</v>
      </c>
      <c r="J114">
        <v>145</v>
      </c>
      <c r="K114">
        <v>90</v>
      </c>
      <c r="L114" s="10">
        <v>45.64</v>
      </c>
      <c r="M114" s="2">
        <v>496.85820000000001</v>
      </c>
      <c r="N114" s="2">
        <f t="shared" si="2"/>
        <v>205.96125000000001</v>
      </c>
      <c r="O114">
        <v>0</v>
      </c>
    </row>
    <row r="115" spans="1:15" x14ac:dyDescent="0.25">
      <c r="A115" s="15"/>
      <c r="B115" s="15"/>
      <c r="C115">
        <v>20</v>
      </c>
      <c r="D115">
        <v>400</v>
      </c>
      <c r="E115">
        <v>100</v>
      </c>
      <c r="F115">
        <v>711</v>
      </c>
      <c r="G115">
        <v>1067</v>
      </c>
      <c r="H115">
        <v>0</v>
      </c>
      <c r="I115">
        <v>11.5</v>
      </c>
      <c r="J115">
        <v>145</v>
      </c>
      <c r="K115">
        <v>7</v>
      </c>
      <c r="L115" s="10">
        <v>39.25</v>
      </c>
      <c r="M115" s="2">
        <v>496.85820000000001</v>
      </c>
      <c r="N115" s="2">
        <f t="shared" si="2"/>
        <v>196.58625000000001</v>
      </c>
      <c r="O115">
        <v>0</v>
      </c>
    </row>
    <row r="116" spans="1:15" x14ac:dyDescent="0.25">
      <c r="A116" s="15"/>
      <c r="B116" s="15"/>
      <c r="C116">
        <v>20</v>
      </c>
      <c r="D116">
        <v>400</v>
      </c>
      <c r="E116">
        <v>100</v>
      </c>
      <c r="F116">
        <v>711</v>
      </c>
      <c r="G116">
        <v>1067</v>
      </c>
      <c r="H116">
        <v>0</v>
      </c>
      <c r="I116">
        <v>11.5</v>
      </c>
      <c r="J116">
        <v>145</v>
      </c>
      <c r="K116">
        <v>14</v>
      </c>
      <c r="L116" s="10">
        <v>36.96</v>
      </c>
      <c r="M116" s="2">
        <v>496.85820000000001</v>
      </c>
      <c r="N116" s="2">
        <f t="shared" si="2"/>
        <v>196.58625000000001</v>
      </c>
      <c r="O116">
        <v>0</v>
      </c>
    </row>
    <row r="117" spans="1:15" x14ac:dyDescent="0.25">
      <c r="A117" s="15"/>
      <c r="B117" s="15"/>
      <c r="C117">
        <v>20</v>
      </c>
      <c r="D117">
        <v>400</v>
      </c>
      <c r="E117">
        <v>100</v>
      </c>
      <c r="F117">
        <v>711</v>
      </c>
      <c r="G117">
        <v>1067</v>
      </c>
      <c r="H117">
        <v>0</v>
      </c>
      <c r="I117">
        <v>11.5</v>
      </c>
      <c r="J117">
        <v>145</v>
      </c>
      <c r="K117">
        <v>56</v>
      </c>
      <c r="L117" s="10">
        <v>42.29</v>
      </c>
      <c r="M117" s="2">
        <v>496.85820000000001</v>
      </c>
      <c r="N117" s="2">
        <f t="shared" si="2"/>
        <v>196.58625000000001</v>
      </c>
      <c r="O117">
        <v>0</v>
      </c>
    </row>
    <row r="118" spans="1:15" x14ac:dyDescent="0.25">
      <c r="A118" s="15"/>
      <c r="B118" s="15"/>
      <c r="C118">
        <v>20</v>
      </c>
      <c r="D118">
        <v>400</v>
      </c>
      <c r="E118">
        <v>100</v>
      </c>
      <c r="F118">
        <v>711</v>
      </c>
      <c r="G118">
        <v>1067</v>
      </c>
      <c r="H118">
        <v>0</v>
      </c>
      <c r="I118">
        <v>11.5</v>
      </c>
      <c r="J118">
        <v>145</v>
      </c>
      <c r="K118">
        <v>90</v>
      </c>
      <c r="L118" s="10">
        <v>44.66</v>
      </c>
      <c r="M118" s="2">
        <v>496.85820000000001</v>
      </c>
      <c r="N118" s="2">
        <f t="shared" si="2"/>
        <v>196.58625000000001</v>
      </c>
      <c r="O118">
        <v>0</v>
      </c>
    </row>
    <row r="119" spans="1:15" x14ac:dyDescent="0.25">
      <c r="A119" s="15"/>
      <c r="B119" s="15"/>
      <c r="C119">
        <v>25</v>
      </c>
      <c r="D119">
        <v>375</v>
      </c>
      <c r="E119">
        <v>125</v>
      </c>
      <c r="F119">
        <v>711</v>
      </c>
      <c r="G119">
        <v>1067</v>
      </c>
      <c r="H119">
        <v>0</v>
      </c>
      <c r="I119">
        <v>11.5</v>
      </c>
      <c r="J119">
        <v>145</v>
      </c>
      <c r="K119">
        <v>7</v>
      </c>
      <c r="L119" s="10">
        <v>30</v>
      </c>
      <c r="M119" s="2">
        <v>496.85820000000001</v>
      </c>
      <c r="N119" s="2">
        <f t="shared" si="2"/>
        <v>187.21125000000001</v>
      </c>
      <c r="O119">
        <v>0</v>
      </c>
    </row>
    <row r="120" spans="1:15" x14ac:dyDescent="0.25">
      <c r="A120" s="15"/>
      <c r="B120" s="15"/>
      <c r="C120">
        <v>25</v>
      </c>
      <c r="D120">
        <v>375</v>
      </c>
      <c r="E120">
        <v>125</v>
      </c>
      <c r="F120">
        <v>711</v>
      </c>
      <c r="G120">
        <v>1067</v>
      </c>
      <c r="H120">
        <v>0</v>
      </c>
      <c r="I120">
        <v>11.5</v>
      </c>
      <c r="J120">
        <v>145</v>
      </c>
      <c r="K120">
        <v>14</v>
      </c>
      <c r="L120" s="10">
        <v>33.67</v>
      </c>
      <c r="M120" s="2">
        <v>496.85820000000001</v>
      </c>
      <c r="N120" s="2">
        <f t="shared" si="2"/>
        <v>187.21125000000001</v>
      </c>
      <c r="O120">
        <v>0</v>
      </c>
    </row>
    <row r="121" spans="1:15" x14ac:dyDescent="0.25">
      <c r="A121" s="15"/>
      <c r="B121" s="15"/>
      <c r="C121">
        <v>25</v>
      </c>
      <c r="D121">
        <v>375</v>
      </c>
      <c r="E121">
        <v>125</v>
      </c>
      <c r="F121">
        <v>711</v>
      </c>
      <c r="G121">
        <v>1067</v>
      </c>
      <c r="H121">
        <v>0</v>
      </c>
      <c r="I121">
        <v>11.5</v>
      </c>
      <c r="J121">
        <v>145</v>
      </c>
      <c r="K121">
        <v>56</v>
      </c>
      <c r="L121" s="10">
        <v>35.86</v>
      </c>
      <c r="M121" s="2">
        <v>496.85820000000001</v>
      </c>
      <c r="N121" s="2">
        <f t="shared" si="2"/>
        <v>187.21125000000001</v>
      </c>
      <c r="O121">
        <v>0</v>
      </c>
    </row>
    <row r="122" spans="1:15" x14ac:dyDescent="0.25">
      <c r="A122" s="15"/>
      <c r="B122" s="15"/>
      <c r="C122">
        <v>25</v>
      </c>
      <c r="D122">
        <v>375</v>
      </c>
      <c r="E122">
        <v>125</v>
      </c>
      <c r="F122">
        <v>711</v>
      </c>
      <c r="G122">
        <v>1067</v>
      </c>
      <c r="H122">
        <v>0</v>
      </c>
      <c r="I122">
        <v>11.5</v>
      </c>
      <c r="J122">
        <v>145</v>
      </c>
      <c r="K122">
        <v>90</v>
      </c>
      <c r="L122" s="10">
        <v>38.450000000000003</v>
      </c>
      <c r="M122" s="2">
        <v>496.85820000000001</v>
      </c>
      <c r="N122" s="2">
        <f t="shared" si="2"/>
        <v>187.21125000000001</v>
      </c>
      <c r="O122">
        <v>0</v>
      </c>
    </row>
    <row r="123" spans="1:15" x14ac:dyDescent="0.25">
      <c r="A123" s="15"/>
      <c r="B123" s="15"/>
      <c r="C123">
        <v>30</v>
      </c>
      <c r="D123">
        <v>350</v>
      </c>
      <c r="E123">
        <v>150</v>
      </c>
      <c r="F123">
        <v>711</v>
      </c>
      <c r="G123">
        <v>1067</v>
      </c>
      <c r="H123">
        <v>0</v>
      </c>
      <c r="I123">
        <v>11.5</v>
      </c>
      <c r="J123">
        <v>145</v>
      </c>
      <c r="K123">
        <v>7</v>
      </c>
      <c r="L123" s="10">
        <v>31.57</v>
      </c>
      <c r="M123" s="2">
        <v>496.85820000000001</v>
      </c>
      <c r="N123" s="2">
        <f t="shared" si="2"/>
        <v>177.83625000000001</v>
      </c>
      <c r="O123">
        <v>0</v>
      </c>
    </row>
    <row r="124" spans="1:15" x14ac:dyDescent="0.25">
      <c r="A124" s="15"/>
      <c r="B124" s="15"/>
      <c r="C124">
        <v>30</v>
      </c>
      <c r="D124">
        <v>350</v>
      </c>
      <c r="E124">
        <v>150</v>
      </c>
      <c r="F124">
        <v>711</v>
      </c>
      <c r="G124">
        <v>1067</v>
      </c>
      <c r="H124">
        <v>0</v>
      </c>
      <c r="I124">
        <v>11.5</v>
      </c>
      <c r="J124">
        <v>145</v>
      </c>
      <c r="K124">
        <v>14</v>
      </c>
      <c r="L124" s="10">
        <v>30.17</v>
      </c>
      <c r="M124" s="2">
        <v>496.85820000000001</v>
      </c>
      <c r="N124" s="2">
        <f t="shared" si="2"/>
        <v>177.83625000000001</v>
      </c>
      <c r="O124">
        <v>0</v>
      </c>
    </row>
    <row r="125" spans="1:15" x14ac:dyDescent="0.25">
      <c r="A125" s="15"/>
      <c r="B125" s="15"/>
      <c r="C125">
        <v>30</v>
      </c>
      <c r="D125">
        <v>350</v>
      </c>
      <c r="E125">
        <v>150</v>
      </c>
      <c r="F125">
        <v>711</v>
      </c>
      <c r="G125">
        <v>1067</v>
      </c>
      <c r="H125">
        <v>0</v>
      </c>
      <c r="I125">
        <v>11.5</v>
      </c>
      <c r="J125">
        <v>145</v>
      </c>
      <c r="K125">
        <v>56</v>
      </c>
      <c r="L125" s="10">
        <v>39.549999999999997</v>
      </c>
      <c r="M125" s="2">
        <v>496.85820000000001</v>
      </c>
      <c r="N125" s="2">
        <f t="shared" si="2"/>
        <v>177.83625000000001</v>
      </c>
      <c r="O125">
        <v>0</v>
      </c>
    </row>
    <row r="126" spans="1:15" x14ac:dyDescent="0.25">
      <c r="A126" s="15"/>
      <c r="B126" s="15"/>
      <c r="C126">
        <v>30</v>
      </c>
      <c r="D126">
        <v>350</v>
      </c>
      <c r="E126">
        <v>150</v>
      </c>
      <c r="F126">
        <v>711</v>
      </c>
      <c r="G126">
        <v>1067</v>
      </c>
      <c r="H126">
        <v>0</v>
      </c>
      <c r="I126">
        <v>11.5</v>
      </c>
      <c r="J126">
        <v>145</v>
      </c>
      <c r="K126">
        <v>90</v>
      </c>
      <c r="L126" s="10">
        <v>40.630000000000003</v>
      </c>
      <c r="M126" s="2">
        <v>496.85820000000001</v>
      </c>
      <c r="N126" s="2">
        <f t="shared" si="2"/>
        <v>177.83625000000001</v>
      </c>
      <c r="O126">
        <v>0</v>
      </c>
    </row>
    <row r="127" spans="1:15" x14ac:dyDescent="0.25">
      <c r="A127" s="15"/>
      <c r="B127" s="15"/>
      <c r="C127">
        <v>35</v>
      </c>
      <c r="D127">
        <v>325</v>
      </c>
      <c r="E127">
        <v>175</v>
      </c>
      <c r="F127">
        <v>711</v>
      </c>
      <c r="G127">
        <v>1067</v>
      </c>
      <c r="H127">
        <v>0</v>
      </c>
      <c r="I127">
        <v>11.5</v>
      </c>
      <c r="J127">
        <v>145</v>
      </c>
      <c r="K127">
        <v>7</v>
      </c>
      <c r="L127" s="10">
        <v>27.02</v>
      </c>
      <c r="M127" s="2">
        <v>496.85820000000001</v>
      </c>
      <c r="N127" s="2">
        <f t="shared" si="2"/>
        <v>168.46125000000001</v>
      </c>
      <c r="O127">
        <v>0</v>
      </c>
    </row>
    <row r="128" spans="1:15" x14ac:dyDescent="0.25">
      <c r="A128" s="15"/>
      <c r="B128" s="15"/>
      <c r="C128">
        <v>35</v>
      </c>
      <c r="D128">
        <v>325</v>
      </c>
      <c r="E128">
        <v>175</v>
      </c>
      <c r="F128">
        <v>711</v>
      </c>
      <c r="G128">
        <v>1067</v>
      </c>
      <c r="H128">
        <v>0</v>
      </c>
      <c r="I128">
        <v>11.5</v>
      </c>
      <c r="J128">
        <v>145</v>
      </c>
      <c r="K128">
        <v>14</v>
      </c>
      <c r="L128" s="10">
        <v>32.409999999999997</v>
      </c>
      <c r="M128" s="2">
        <v>496.85820000000001</v>
      </c>
      <c r="N128" s="2">
        <f t="shared" si="2"/>
        <v>168.46125000000001</v>
      </c>
      <c r="O128">
        <v>0</v>
      </c>
    </row>
    <row r="129" spans="1:15" x14ac:dyDescent="0.25">
      <c r="A129" s="15"/>
      <c r="B129" s="15"/>
      <c r="C129">
        <v>35</v>
      </c>
      <c r="D129">
        <v>325</v>
      </c>
      <c r="E129">
        <v>175</v>
      </c>
      <c r="F129">
        <v>711</v>
      </c>
      <c r="G129">
        <v>1067</v>
      </c>
      <c r="H129">
        <v>0</v>
      </c>
      <c r="I129">
        <v>11.5</v>
      </c>
      <c r="J129">
        <v>145</v>
      </c>
      <c r="K129">
        <v>56</v>
      </c>
      <c r="L129" s="10">
        <v>37.17</v>
      </c>
      <c r="M129" s="2">
        <v>496.85820000000001</v>
      </c>
      <c r="N129" s="2">
        <f t="shared" si="2"/>
        <v>168.46125000000001</v>
      </c>
      <c r="O129">
        <v>0</v>
      </c>
    </row>
    <row r="130" spans="1:15" x14ac:dyDescent="0.25">
      <c r="A130" s="15"/>
      <c r="B130" s="15"/>
      <c r="C130">
        <v>35</v>
      </c>
      <c r="D130">
        <v>325</v>
      </c>
      <c r="E130">
        <v>175</v>
      </c>
      <c r="F130">
        <v>711</v>
      </c>
      <c r="G130">
        <v>1067</v>
      </c>
      <c r="H130">
        <v>0</v>
      </c>
      <c r="I130">
        <v>11.5</v>
      </c>
      <c r="J130">
        <v>145</v>
      </c>
      <c r="K130">
        <v>90</v>
      </c>
      <c r="L130" s="10">
        <v>40.43</v>
      </c>
      <c r="M130" s="2">
        <v>496.85820000000001</v>
      </c>
      <c r="N130" s="2">
        <f t="shared" si="2"/>
        <v>168.46125000000001</v>
      </c>
      <c r="O130">
        <v>0</v>
      </c>
    </row>
    <row r="131" spans="1:15" x14ac:dyDescent="0.25">
      <c r="A131" s="15"/>
      <c r="B131" s="15"/>
      <c r="C131">
        <v>40</v>
      </c>
      <c r="D131">
        <v>300</v>
      </c>
      <c r="E131">
        <v>200</v>
      </c>
      <c r="F131">
        <v>711</v>
      </c>
      <c r="G131">
        <v>1067</v>
      </c>
      <c r="H131">
        <v>0</v>
      </c>
      <c r="I131">
        <v>11.5</v>
      </c>
      <c r="J131">
        <v>145</v>
      </c>
      <c r="K131">
        <v>7</v>
      </c>
      <c r="L131" s="10">
        <v>27.01</v>
      </c>
      <c r="M131" s="2">
        <v>496.85820000000001</v>
      </c>
      <c r="N131" s="2">
        <f t="shared" ref="N131:N194" si="3">SUM((D131*5)+((F131*0.25)+(G131*0.2)+(I131*20)))*0.075</f>
        <v>159.08625000000001</v>
      </c>
      <c r="O131">
        <v>0</v>
      </c>
    </row>
    <row r="132" spans="1:15" x14ac:dyDescent="0.25">
      <c r="A132" s="15"/>
      <c r="B132" s="15"/>
      <c r="C132">
        <v>40</v>
      </c>
      <c r="D132">
        <v>300</v>
      </c>
      <c r="E132">
        <v>200</v>
      </c>
      <c r="F132">
        <v>711</v>
      </c>
      <c r="G132">
        <v>1067</v>
      </c>
      <c r="H132">
        <v>0</v>
      </c>
      <c r="I132">
        <v>11.5</v>
      </c>
      <c r="J132">
        <v>145</v>
      </c>
      <c r="K132">
        <v>14</v>
      </c>
      <c r="L132" s="10">
        <v>31.69</v>
      </c>
      <c r="M132" s="2">
        <v>496.85820000000001</v>
      </c>
      <c r="N132" s="2">
        <f t="shared" si="3"/>
        <v>159.08625000000001</v>
      </c>
      <c r="O132">
        <v>0</v>
      </c>
    </row>
    <row r="133" spans="1:15" x14ac:dyDescent="0.25">
      <c r="A133" s="15"/>
      <c r="B133" s="15"/>
      <c r="C133">
        <v>40</v>
      </c>
      <c r="D133">
        <v>300</v>
      </c>
      <c r="E133">
        <v>200</v>
      </c>
      <c r="F133">
        <v>711</v>
      </c>
      <c r="G133">
        <v>1067</v>
      </c>
      <c r="H133">
        <v>0</v>
      </c>
      <c r="I133">
        <v>11.5</v>
      </c>
      <c r="J133">
        <v>145</v>
      </c>
      <c r="K133">
        <v>56</v>
      </c>
      <c r="L133" s="10">
        <v>34.729999999999997</v>
      </c>
      <c r="M133" s="2">
        <v>496.85820000000001</v>
      </c>
      <c r="N133" s="2">
        <f t="shared" si="3"/>
        <v>159.08625000000001</v>
      </c>
      <c r="O133">
        <v>0</v>
      </c>
    </row>
    <row r="134" spans="1:15" x14ac:dyDescent="0.25">
      <c r="A134" s="15"/>
      <c r="B134" s="15"/>
      <c r="C134">
        <v>40</v>
      </c>
      <c r="D134">
        <v>300</v>
      </c>
      <c r="E134">
        <v>200</v>
      </c>
      <c r="F134">
        <v>711</v>
      </c>
      <c r="G134">
        <v>1067</v>
      </c>
      <c r="H134">
        <v>0</v>
      </c>
      <c r="I134">
        <v>11.5</v>
      </c>
      <c r="J134">
        <v>145</v>
      </c>
      <c r="K134">
        <v>90</v>
      </c>
      <c r="L134" s="10">
        <v>35.950000000000003</v>
      </c>
      <c r="M134" s="2">
        <v>496.85820000000001</v>
      </c>
      <c r="N134" s="2">
        <f t="shared" si="3"/>
        <v>159.08625000000001</v>
      </c>
      <c r="O134">
        <v>0</v>
      </c>
    </row>
    <row r="135" spans="1:15" x14ac:dyDescent="0.25">
      <c r="A135" s="15"/>
      <c r="B135" s="15"/>
      <c r="C135">
        <v>45</v>
      </c>
      <c r="D135">
        <v>275</v>
      </c>
      <c r="E135">
        <v>225</v>
      </c>
      <c r="F135">
        <v>711</v>
      </c>
      <c r="G135">
        <v>1067</v>
      </c>
      <c r="H135">
        <v>0</v>
      </c>
      <c r="I135">
        <v>11.5</v>
      </c>
      <c r="J135">
        <v>145</v>
      </c>
      <c r="K135">
        <v>7</v>
      </c>
      <c r="L135" s="10">
        <v>26.98</v>
      </c>
      <c r="M135" s="2">
        <v>496.85820000000001</v>
      </c>
      <c r="N135" s="2">
        <f t="shared" si="3"/>
        <v>149.71125000000001</v>
      </c>
      <c r="O135">
        <v>0</v>
      </c>
    </row>
    <row r="136" spans="1:15" x14ac:dyDescent="0.25">
      <c r="A136" s="15"/>
      <c r="B136" s="15"/>
      <c r="C136">
        <v>45</v>
      </c>
      <c r="D136">
        <v>275</v>
      </c>
      <c r="E136">
        <v>225</v>
      </c>
      <c r="F136">
        <v>711</v>
      </c>
      <c r="G136">
        <v>1067</v>
      </c>
      <c r="H136">
        <v>0</v>
      </c>
      <c r="I136">
        <v>11.5</v>
      </c>
      <c r="J136">
        <v>145</v>
      </c>
      <c r="K136">
        <v>14</v>
      </c>
      <c r="L136" s="10">
        <v>30.61</v>
      </c>
      <c r="M136" s="2">
        <v>496.85820000000001</v>
      </c>
      <c r="N136" s="2">
        <f t="shared" si="3"/>
        <v>149.71125000000001</v>
      </c>
      <c r="O136">
        <v>0</v>
      </c>
    </row>
    <row r="137" spans="1:15" x14ac:dyDescent="0.25">
      <c r="A137" s="15"/>
      <c r="B137" s="15"/>
      <c r="C137">
        <v>45</v>
      </c>
      <c r="D137">
        <v>275</v>
      </c>
      <c r="E137">
        <v>225</v>
      </c>
      <c r="F137">
        <v>711</v>
      </c>
      <c r="G137">
        <v>1067</v>
      </c>
      <c r="H137">
        <v>0</v>
      </c>
      <c r="I137">
        <v>11.5</v>
      </c>
      <c r="J137">
        <v>145</v>
      </c>
      <c r="K137">
        <v>56</v>
      </c>
      <c r="L137" s="10">
        <v>36.07</v>
      </c>
      <c r="M137" s="2">
        <v>496.85820000000001</v>
      </c>
      <c r="N137" s="2">
        <f t="shared" si="3"/>
        <v>149.71125000000001</v>
      </c>
      <c r="O137">
        <v>0</v>
      </c>
    </row>
    <row r="138" spans="1:15" x14ac:dyDescent="0.25">
      <c r="A138" s="15"/>
      <c r="B138" s="15"/>
      <c r="C138">
        <v>45</v>
      </c>
      <c r="D138">
        <v>275</v>
      </c>
      <c r="E138">
        <v>225</v>
      </c>
      <c r="F138">
        <v>711</v>
      </c>
      <c r="G138">
        <v>1067</v>
      </c>
      <c r="H138">
        <v>0</v>
      </c>
      <c r="I138">
        <v>11.5</v>
      </c>
      <c r="J138">
        <v>145</v>
      </c>
      <c r="K138">
        <v>90</v>
      </c>
      <c r="L138" s="10">
        <v>34.82</v>
      </c>
      <c r="M138" s="2">
        <v>496.85820000000001</v>
      </c>
      <c r="N138" s="2">
        <f t="shared" si="3"/>
        <v>149.71125000000001</v>
      </c>
      <c r="O138">
        <v>0</v>
      </c>
    </row>
    <row r="139" spans="1:15" x14ac:dyDescent="0.25">
      <c r="A139" s="15"/>
      <c r="B139" s="15"/>
      <c r="C139">
        <v>50</v>
      </c>
      <c r="D139">
        <v>250</v>
      </c>
      <c r="E139">
        <v>250</v>
      </c>
      <c r="F139">
        <v>711</v>
      </c>
      <c r="G139">
        <v>1067</v>
      </c>
      <c r="H139">
        <v>0</v>
      </c>
      <c r="I139">
        <v>11.5</v>
      </c>
      <c r="J139">
        <v>145</v>
      </c>
      <c r="K139">
        <v>7</v>
      </c>
      <c r="L139" s="10">
        <v>23.68</v>
      </c>
      <c r="M139" s="2">
        <v>496.85820000000001</v>
      </c>
      <c r="N139" s="2">
        <f t="shared" si="3"/>
        <v>140.33625000000001</v>
      </c>
      <c r="O139">
        <v>0</v>
      </c>
    </row>
    <row r="140" spans="1:15" x14ac:dyDescent="0.25">
      <c r="A140" s="15"/>
      <c r="B140" s="15"/>
      <c r="C140">
        <v>50</v>
      </c>
      <c r="D140">
        <v>250</v>
      </c>
      <c r="E140">
        <v>250</v>
      </c>
      <c r="F140">
        <v>711</v>
      </c>
      <c r="G140">
        <v>1067</v>
      </c>
      <c r="H140">
        <v>0</v>
      </c>
      <c r="I140">
        <v>11.5</v>
      </c>
      <c r="J140">
        <v>145</v>
      </c>
      <c r="K140">
        <v>14</v>
      </c>
      <c r="L140" s="10">
        <v>29.15</v>
      </c>
      <c r="M140" s="2">
        <v>496.85820000000001</v>
      </c>
      <c r="N140" s="2">
        <f t="shared" si="3"/>
        <v>140.33625000000001</v>
      </c>
      <c r="O140">
        <v>0</v>
      </c>
    </row>
    <row r="141" spans="1:15" x14ac:dyDescent="0.25">
      <c r="A141" s="15"/>
      <c r="B141" s="15"/>
      <c r="C141">
        <v>50</v>
      </c>
      <c r="D141">
        <v>250</v>
      </c>
      <c r="E141">
        <v>250</v>
      </c>
      <c r="F141">
        <v>711</v>
      </c>
      <c r="G141">
        <v>1067</v>
      </c>
      <c r="H141">
        <v>0</v>
      </c>
      <c r="I141">
        <v>11.5</v>
      </c>
      <c r="J141">
        <v>145</v>
      </c>
      <c r="K141">
        <v>56</v>
      </c>
      <c r="L141" s="10">
        <v>32.479999999999997</v>
      </c>
      <c r="M141" s="2">
        <v>496.85820000000001</v>
      </c>
      <c r="N141" s="2">
        <f t="shared" si="3"/>
        <v>140.33625000000001</v>
      </c>
      <c r="O141">
        <v>0</v>
      </c>
    </row>
    <row r="142" spans="1:15" x14ac:dyDescent="0.25">
      <c r="A142" s="15"/>
      <c r="B142" s="15"/>
      <c r="C142">
        <v>50</v>
      </c>
      <c r="D142">
        <v>250</v>
      </c>
      <c r="E142">
        <v>250</v>
      </c>
      <c r="F142">
        <v>711</v>
      </c>
      <c r="G142">
        <v>1067</v>
      </c>
      <c r="H142">
        <v>0</v>
      </c>
      <c r="I142">
        <v>11.5</v>
      </c>
      <c r="J142">
        <v>145</v>
      </c>
      <c r="K142">
        <v>90</v>
      </c>
      <c r="L142" s="10">
        <v>32.270000000000003</v>
      </c>
      <c r="M142" s="2">
        <v>496.85820000000001</v>
      </c>
      <c r="N142" s="2">
        <f t="shared" si="3"/>
        <v>140.33625000000001</v>
      </c>
      <c r="O142">
        <v>0</v>
      </c>
    </row>
    <row r="143" spans="1:15" x14ac:dyDescent="0.25">
      <c r="A143" s="15" t="s">
        <v>18</v>
      </c>
      <c r="B143" s="15" t="s">
        <v>19</v>
      </c>
      <c r="C143">
        <v>0</v>
      </c>
      <c r="D143">
        <v>404</v>
      </c>
      <c r="E143">
        <v>0</v>
      </c>
      <c r="F143">
        <v>527.25</v>
      </c>
      <c r="G143">
        <v>1140.98</v>
      </c>
      <c r="H143">
        <v>0</v>
      </c>
      <c r="I143">
        <v>0</v>
      </c>
      <c r="J143">
        <v>173.71</v>
      </c>
      <c r="K143">
        <v>7</v>
      </c>
      <c r="L143" s="10">
        <v>15.01</v>
      </c>
      <c r="M143" s="2">
        <v>395.48610500000001</v>
      </c>
      <c r="N143" s="2">
        <f t="shared" si="3"/>
        <v>178.50063749999998</v>
      </c>
      <c r="O143">
        <v>0</v>
      </c>
    </row>
    <row r="144" spans="1:15" x14ac:dyDescent="0.25">
      <c r="A144" s="15"/>
      <c r="B144" s="15"/>
      <c r="C144">
        <v>0</v>
      </c>
      <c r="D144">
        <v>404</v>
      </c>
      <c r="E144">
        <v>0</v>
      </c>
      <c r="F144">
        <v>527.25</v>
      </c>
      <c r="G144">
        <v>1140.98</v>
      </c>
      <c r="H144">
        <v>0</v>
      </c>
      <c r="I144">
        <v>0</v>
      </c>
      <c r="J144">
        <v>173.71</v>
      </c>
      <c r="K144">
        <v>14</v>
      </c>
      <c r="L144" s="10">
        <v>16.39</v>
      </c>
      <c r="M144" s="2">
        <v>395.48610500000001</v>
      </c>
      <c r="N144" s="2">
        <f t="shared" si="3"/>
        <v>178.50063749999998</v>
      </c>
      <c r="O144">
        <v>0</v>
      </c>
    </row>
    <row r="145" spans="1:15" x14ac:dyDescent="0.25">
      <c r="A145" s="15"/>
      <c r="B145" s="15"/>
      <c r="C145">
        <v>0</v>
      </c>
      <c r="D145">
        <v>404</v>
      </c>
      <c r="E145">
        <v>0</v>
      </c>
      <c r="F145">
        <v>527.25</v>
      </c>
      <c r="G145">
        <v>1140.98</v>
      </c>
      <c r="H145">
        <v>0</v>
      </c>
      <c r="I145">
        <v>0</v>
      </c>
      <c r="J145">
        <v>173.71</v>
      </c>
      <c r="K145">
        <v>56</v>
      </c>
      <c r="L145" s="10">
        <v>23.01</v>
      </c>
      <c r="M145" s="2">
        <v>395.48610500000001</v>
      </c>
      <c r="N145" s="2">
        <f t="shared" si="3"/>
        <v>178.50063749999998</v>
      </c>
      <c r="O145">
        <v>0</v>
      </c>
    </row>
    <row r="146" spans="1:15" x14ac:dyDescent="0.25">
      <c r="A146" s="15"/>
      <c r="B146" s="15"/>
      <c r="C146">
        <v>0</v>
      </c>
      <c r="D146">
        <v>404</v>
      </c>
      <c r="E146">
        <v>0</v>
      </c>
      <c r="F146">
        <v>527.25</v>
      </c>
      <c r="G146">
        <v>1140.98</v>
      </c>
      <c r="H146">
        <v>0</v>
      </c>
      <c r="I146">
        <v>0</v>
      </c>
      <c r="J146">
        <v>173.71</v>
      </c>
      <c r="K146">
        <v>90</v>
      </c>
      <c r="L146" s="10">
        <v>21.07</v>
      </c>
      <c r="M146" s="2">
        <v>395.48610500000001</v>
      </c>
      <c r="N146" s="2">
        <f t="shared" si="3"/>
        <v>178.50063749999998</v>
      </c>
      <c r="O146">
        <v>0</v>
      </c>
    </row>
    <row r="147" spans="1:15" x14ac:dyDescent="0.25">
      <c r="A147" s="15"/>
      <c r="B147" s="15"/>
      <c r="C147">
        <v>5</v>
      </c>
      <c r="D147">
        <v>383.8</v>
      </c>
      <c r="E147">
        <v>20.2</v>
      </c>
      <c r="F147">
        <v>527.25</v>
      </c>
      <c r="G147">
        <v>1140.98</v>
      </c>
      <c r="H147">
        <v>0</v>
      </c>
      <c r="I147">
        <v>0</v>
      </c>
      <c r="J147">
        <v>173.71</v>
      </c>
      <c r="K147">
        <v>7</v>
      </c>
      <c r="L147" s="10">
        <v>17</v>
      </c>
      <c r="M147" s="2">
        <v>395.48610500000001</v>
      </c>
      <c r="N147" s="2">
        <f t="shared" si="3"/>
        <v>170.92563749999999</v>
      </c>
      <c r="O147">
        <v>0</v>
      </c>
    </row>
    <row r="148" spans="1:15" x14ac:dyDescent="0.25">
      <c r="A148" s="15"/>
      <c r="B148" s="15"/>
      <c r="C148">
        <v>5</v>
      </c>
      <c r="D148">
        <v>383.8</v>
      </c>
      <c r="E148">
        <v>20.2</v>
      </c>
      <c r="F148">
        <v>527.25</v>
      </c>
      <c r="G148">
        <v>1140.98</v>
      </c>
      <c r="H148">
        <v>0</v>
      </c>
      <c r="I148">
        <v>0</v>
      </c>
      <c r="J148">
        <v>173.71</v>
      </c>
      <c r="K148">
        <v>14</v>
      </c>
      <c r="L148" s="10">
        <v>19.600000000000001</v>
      </c>
      <c r="M148" s="2">
        <v>395.48610500000001</v>
      </c>
      <c r="N148" s="2">
        <f t="shared" si="3"/>
        <v>170.92563749999999</v>
      </c>
      <c r="O148">
        <v>0</v>
      </c>
    </row>
    <row r="149" spans="1:15" x14ac:dyDescent="0.25">
      <c r="A149" s="15"/>
      <c r="B149" s="15"/>
      <c r="C149">
        <v>5</v>
      </c>
      <c r="D149">
        <v>383.8</v>
      </c>
      <c r="E149">
        <v>20.2</v>
      </c>
      <c r="F149">
        <v>527.25</v>
      </c>
      <c r="G149">
        <v>1140.98</v>
      </c>
      <c r="H149">
        <v>0</v>
      </c>
      <c r="I149">
        <v>0</v>
      </c>
      <c r="J149">
        <v>173.71</v>
      </c>
      <c r="K149">
        <v>56</v>
      </c>
      <c r="L149" s="10">
        <v>20.86</v>
      </c>
      <c r="M149" s="2">
        <v>395.48610500000001</v>
      </c>
      <c r="N149" s="2">
        <f t="shared" si="3"/>
        <v>170.92563749999999</v>
      </c>
      <c r="O149">
        <v>0</v>
      </c>
    </row>
    <row r="150" spans="1:15" x14ac:dyDescent="0.25">
      <c r="A150" s="15"/>
      <c r="B150" s="15"/>
      <c r="C150">
        <v>5</v>
      </c>
      <c r="D150">
        <v>383.8</v>
      </c>
      <c r="E150">
        <v>20.2</v>
      </c>
      <c r="F150">
        <v>527.25</v>
      </c>
      <c r="G150">
        <v>1140.98</v>
      </c>
      <c r="H150">
        <v>0</v>
      </c>
      <c r="I150">
        <v>0</v>
      </c>
      <c r="J150">
        <v>173.71</v>
      </c>
      <c r="K150">
        <v>90</v>
      </c>
      <c r="L150" s="10">
        <v>22.45</v>
      </c>
      <c r="M150" s="2">
        <v>395.48610500000001</v>
      </c>
      <c r="N150" s="2">
        <f t="shared" si="3"/>
        <v>170.92563749999999</v>
      </c>
      <c r="O150">
        <v>0</v>
      </c>
    </row>
    <row r="151" spans="1:15" x14ac:dyDescent="0.25">
      <c r="A151" s="15"/>
      <c r="B151" s="15"/>
      <c r="C151">
        <v>10</v>
      </c>
      <c r="D151">
        <v>363.6</v>
      </c>
      <c r="E151">
        <v>40.4</v>
      </c>
      <c r="F151">
        <v>527.25</v>
      </c>
      <c r="G151">
        <v>1140.98</v>
      </c>
      <c r="H151">
        <v>0</v>
      </c>
      <c r="I151">
        <v>0</v>
      </c>
      <c r="J151">
        <v>173.71</v>
      </c>
      <c r="K151">
        <v>7</v>
      </c>
      <c r="L151" s="10">
        <v>17.78</v>
      </c>
      <c r="M151" s="2">
        <v>395.48610500000001</v>
      </c>
      <c r="N151" s="2">
        <f t="shared" si="3"/>
        <v>163.35063749999998</v>
      </c>
      <c r="O151">
        <v>0</v>
      </c>
    </row>
    <row r="152" spans="1:15" x14ac:dyDescent="0.25">
      <c r="A152" s="15"/>
      <c r="B152" s="15"/>
      <c r="C152">
        <v>10</v>
      </c>
      <c r="D152">
        <v>363.6</v>
      </c>
      <c r="E152">
        <v>40.4</v>
      </c>
      <c r="F152">
        <v>527.25</v>
      </c>
      <c r="G152">
        <v>1140.98</v>
      </c>
      <c r="H152">
        <v>0</v>
      </c>
      <c r="I152">
        <v>0</v>
      </c>
      <c r="J152">
        <v>173.71</v>
      </c>
      <c r="K152">
        <v>14</v>
      </c>
      <c r="L152" s="10">
        <v>15.62</v>
      </c>
      <c r="M152" s="2">
        <v>395.48610500000001</v>
      </c>
      <c r="N152" s="2">
        <f t="shared" si="3"/>
        <v>163.35063749999998</v>
      </c>
      <c r="O152">
        <v>0</v>
      </c>
    </row>
    <row r="153" spans="1:15" x14ac:dyDescent="0.25">
      <c r="A153" s="15"/>
      <c r="B153" s="15"/>
      <c r="C153">
        <v>10</v>
      </c>
      <c r="D153">
        <v>363.6</v>
      </c>
      <c r="E153">
        <v>40.4</v>
      </c>
      <c r="F153">
        <v>527.25</v>
      </c>
      <c r="G153">
        <v>1140.98</v>
      </c>
      <c r="H153">
        <v>0</v>
      </c>
      <c r="I153">
        <v>0</v>
      </c>
      <c r="J153">
        <v>173.71</v>
      </c>
      <c r="K153">
        <v>56</v>
      </c>
      <c r="L153" s="10">
        <v>17.48</v>
      </c>
      <c r="M153" s="2">
        <v>395.48610500000001</v>
      </c>
      <c r="N153" s="2">
        <f t="shared" si="3"/>
        <v>163.35063749999998</v>
      </c>
      <c r="O153">
        <v>0</v>
      </c>
    </row>
    <row r="154" spans="1:15" x14ac:dyDescent="0.25">
      <c r="A154" s="15"/>
      <c r="B154" s="15"/>
      <c r="C154">
        <v>10</v>
      </c>
      <c r="D154">
        <v>363.6</v>
      </c>
      <c r="E154">
        <v>40.4</v>
      </c>
      <c r="F154">
        <v>527.25</v>
      </c>
      <c r="G154">
        <v>1140.98</v>
      </c>
      <c r="H154">
        <v>0</v>
      </c>
      <c r="I154">
        <v>0</v>
      </c>
      <c r="J154">
        <v>173.71</v>
      </c>
      <c r="K154">
        <v>90</v>
      </c>
      <c r="L154" s="10">
        <v>23.68</v>
      </c>
      <c r="M154" s="2">
        <v>395.48610500000001</v>
      </c>
      <c r="N154" s="2">
        <f t="shared" si="3"/>
        <v>163.35063749999998</v>
      </c>
      <c r="O154">
        <v>0</v>
      </c>
    </row>
    <row r="155" spans="1:15" x14ac:dyDescent="0.25">
      <c r="A155" s="15"/>
      <c r="B155" s="15"/>
      <c r="C155">
        <v>15</v>
      </c>
      <c r="D155">
        <v>343.4</v>
      </c>
      <c r="E155">
        <v>60.6</v>
      </c>
      <c r="F155">
        <v>527.25</v>
      </c>
      <c r="G155">
        <v>1140.98</v>
      </c>
      <c r="H155">
        <v>0</v>
      </c>
      <c r="I155">
        <v>0</v>
      </c>
      <c r="J155">
        <v>173.71</v>
      </c>
      <c r="K155">
        <v>7</v>
      </c>
      <c r="L155" s="10">
        <v>14.69</v>
      </c>
      <c r="M155" s="2">
        <v>395.48610500000001</v>
      </c>
      <c r="N155" s="2">
        <f t="shared" si="3"/>
        <v>155.77563749999999</v>
      </c>
      <c r="O155">
        <v>0</v>
      </c>
    </row>
    <row r="156" spans="1:15" x14ac:dyDescent="0.25">
      <c r="A156" s="15"/>
      <c r="B156" s="15"/>
      <c r="C156">
        <v>15</v>
      </c>
      <c r="D156">
        <v>343.4</v>
      </c>
      <c r="E156">
        <v>60.6</v>
      </c>
      <c r="F156">
        <v>527.25</v>
      </c>
      <c r="G156">
        <v>1140.98</v>
      </c>
      <c r="H156">
        <v>0</v>
      </c>
      <c r="I156">
        <v>0</v>
      </c>
      <c r="J156">
        <v>173.71</v>
      </c>
      <c r="K156">
        <v>14</v>
      </c>
      <c r="L156" s="10">
        <v>16.53</v>
      </c>
      <c r="M156" s="2">
        <v>395.48610500000001</v>
      </c>
      <c r="N156" s="2">
        <f t="shared" si="3"/>
        <v>155.77563749999999</v>
      </c>
      <c r="O156">
        <v>0</v>
      </c>
    </row>
    <row r="157" spans="1:15" x14ac:dyDescent="0.25">
      <c r="A157" s="15"/>
      <c r="B157" s="15"/>
      <c r="C157">
        <v>15</v>
      </c>
      <c r="D157">
        <v>343.4</v>
      </c>
      <c r="E157">
        <v>60.6</v>
      </c>
      <c r="F157">
        <v>527.25</v>
      </c>
      <c r="G157">
        <v>1140.98</v>
      </c>
      <c r="H157">
        <v>0</v>
      </c>
      <c r="I157">
        <v>0</v>
      </c>
      <c r="J157">
        <v>173.71</v>
      </c>
      <c r="K157">
        <v>56</v>
      </c>
      <c r="L157" s="10">
        <v>22.4</v>
      </c>
      <c r="M157" s="2">
        <v>395.48610500000001</v>
      </c>
      <c r="N157" s="2">
        <f t="shared" si="3"/>
        <v>155.77563749999999</v>
      </c>
      <c r="O157">
        <v>0</v>
      </c>
    </row>
    <row r="158" spans="1:15" x14ac:dyDescent="0.25">
      <c r="A158" s="15"/>
      <c r="B158" s="15"/>
      <c r="C158">
        <v>15</v>
      </c>
      <c r="D158">
        <v>343.4</v>
      </c>
      <c r="E158">
        <v>60.6</v>
      </c>
      <c r="F158">
        <v>527.25</v>
      </c>
      <c r="G158">
        <v>1140.98</v>
      </c>
      <c r="H158">
        <v>0</v>
      </c>
      <c r="I158">
        <v>0</v>
      </c>
      <c r="J158">
        <v>173.71</v>
      </c>
      <c r="K158">
        <v>90</v>
      </c>
      <c r="L158" s="10">
        <v>20.399999999999999</v>
      </c>
      <c r="M158" s="2">
        <v>395.48610500000001</v>
      </c>
      <c r="N158" s="2">
        <f t="shared" si="3"/>
        <v>155.77563749999999</v>
      </c>
      <c r="O158">
        <v>0</v>
      </c>
    </row>
    <row r="159" spans="1:15" x14ac:dyDescent="0.25">
      <c r="A159" s="15"/>
      <c r="B159" s="15"/>
      <c r="C159">
        <v>20</v>
      </c>
      <c r="D159">
        <v>323.2</v>
      </c>
      <c r="E159">
        <v>80.8</v>
      </c>
      <c r="F159">
        <v>527.25</v>
      </c>
      <c r="G159">
        <v>1140.98</v>
      </c>
      <c r="H159">
        <v>0</v>
      </c>
      <c r="I159">
        <v>0</v>
      </c>
      <c r="J159">
        <v>173.71</v>
      </c>
      <c r="K159">
        <v>7</v>
      </c>
      <c r="L159" s="10">
        <v>16.02</v>
      </c>
      <c r="M159" s="2">
        <v>395.48610500000001</v>
      </c>
      <c r="N159" s="2">
        <f t="shared" si="3"/>
        <v>148.2006375</v>
      </c>
      <c r="O159">
        <v>0</v>
      </c>
    </row>
    <row r="160" spans="1:15" x14ac:dyDescent="0.25">
      <c r="A160" s="15"/>
      <c r="B160" s="15"/>
      <c r="C160">
        <v>20</v>
      </c>
      <c r="D160">
        <v>323.2</v>
      </c>
      <c r="E160">
        <v>80.8</v>
      </c>
      <c r="F160">
        <v>527.25</v>
      </c>
      <c r="G160">
        <v>1140.98</v>
      </c>
      <c r="H160">
        <v>0</v>
      </c>
      <c r="I160">
        <v>0</v>
      </c>
      <c r="J160">
        <v>173.71</v>
      </c>
      <c r="K160">
        <v>14</v>
      </c>
      <c r="L160" s="10">
        <v>18.2</v>
      </c>
      <c r="M160" s="2">
        <v>395.48610500000001</v>
      </c>
      <c r="N160" s="2">
        <f t="shared" si="3"/>
        <v>148.2006375</v>
      </c>
      <c r="O160">
        <v>0</v>
      </c>
    </row>
    <row r="161" spans="1:15" x14ac:dyDescent="0.25">
      <c r="A161" s="15"/>
      <c r="B161" s="15"/>
      <c r="C161">
        <v>20</v>
      </c>
      <c r="D161">
        <v>323.2</v>
      </c>
      <c r="E161">
        <v>80.8</v>
      </c>
      <c r="F161">
        <v>527.25</v>
      </c>
      <c r="G161">
        <v>1140.98</v>
      </c>
      <c r="H161">
        <v>0</v>
      </c>
      <c r="I161">
        <v>0</v>
      </c>
      <c r="J161">
        <v>173.71</v>
      </c>
      <c r="K161">
        <v>56</v>
      </c>
      <c r="L161" s="10">
        <v>18.899999999999999</v>
      </c>
      <c r="M161" s="2">
        <v>395.48610500000001</v>
      </c>
      <c r="N161" s="2">
        <f t="shared" si="3"/>
        <v>148.2006375</v>
      </c>
      <c r="O161">
        <v>0</v>
      </c>
    </row>
    <row r="162" spans="1:15" x14ac:dyDescent="0.25">
      <c r="A162" s="15"/>
      <c r="B162" s="15"/>
      <c r="C162">
        <v>20</v>
      </c>
      <c r="D162">
        <v>323.2</v>
      </c>
      <c r="E162">
        <v>80.8</v>
      </c>
      <c r="F162">
        <v>527.25</v>
      </c>
      <c r="G162">
        <v>1140.98</v>
      </c>
      <c r="H162">
        <v>0</v>
      </c>
      <c r="I162">
        <v>0</v>
      </c>
      <c r="J162">
        <v>173.71</v>
      </c>
      <c r="K162">
        <v>90</v>
      </c>
      <c r="L162" s="10">
        <v>22.29</v>
      </c>
      <c r="M162" s="2">
        <v>395.48610500000001</v>
      </c>
      <c r="N162" s="2">
        <f t="shared" si="3"/>
        <v>148.2006375</v>
      </c>
      <c r="O162">
        <v>0</v>
      </c>
    </row>
    <row r="163" spans="1:15" x14ac:dyDescent="0.25">
      <c r="A163" s="15"/>
      <c r="B163" s="15"/>
      <c r="C163">
        <v>25</v>
      </c>
      <c r="D163">
        <v>303</v>
      </c>
      <c r="E163">
        <v>101</v>
      </c>
      <c r="F163">
        <v>527.25</v>
      </c>
      <c r="G163">
        <v>1140.98</v>
      </c>
      <c r="H163">
        <v>0</v>
      </c>
      <c r="I163">
        <v>0</v>
      </c>
      <c r="J163">
        <v>173.71</v>
      </c>
      <c r="K163">
        <v>7</v>
      </c>
      <c r="L163" s="10">
        <v>15.12</v>
      </c>
      <c r="M163" s="2">
        <v>395.48610500000001</v>
      </c>
      <c r="N163" s="2">
        <f t="shared" si="3"/>
        <v>140.62563749999998</v>
      </c>
      <c r="O163">
        <v>0</v>
      </c>
    </row>
    <row r="164" spans="1:15" x14ac:dyDescent="0.25">
      <c r="A164" s="15"/>
      <c r="B164" s="15"/>
      <c r="C164">
        <v>25</v>
      </c>
      <c r="D164">
        <v>303</v>
      </c>
      <c r="E164">
        <v>101</v>
      </c>
      <c r="F164">
        <v>527.25</v>
      </c>
      <c r="G164">
        <v>1140.98</v>
      </c>
      <c r="H164">
        <v>0</v>
      </c>
      <c r="I164">
        <v>0</v>
      </c>
      <c r="J164">
        <v>173.71</v>
      </c>
      <c r="K164">
        <v>14</v>
      </c>
      <c r="L164" s="10">
        <v>15.18</v>
      </c>
      <c r="M164" s="2">
        <v>395.48610500000001</v>
      </c>
      <c r="N164" s="2">
        <f t="shared" si="3"/>
        <v>140.62563749999998</v>
      </c>
      <c r="O164">
        <v>0</v>
      </c>
    </row>
    <row r="165" spans="1:15" x14ac:dyDescent="0.25">
      <c r="A165" s="15"/>
      <c r="B165" s="15"/>
      <c r="C165">
        <v>25</v>
      </c>
      <c r="D165">
        <v>303</v>
      </c>
      <c r="E165">
        <v>101</v>
      </c>
      <c r="F165">
        <v>527.25</v>
      </c>
      <c r="G165">
        <v>1140.98</v>
      </c>
      <c r="H165">
        <v>0</v>
      </c>
      <c r="I165">
        <v>0</v>
      </c>
      <c r="J165">
        <v>173.71</v>
      </c>
      <c r="K165">
        <v>56</v>
      </c>
      <c r="L165" s="10">
        <v>18.93</v>
      </c>
      <c r="M165" s="2">
        <v>395.48610500000001</v>
      </c>
      <c r="N165" s="2">
        <f t="shared" si="3"/>
        <v>140.62563749999998</v>
      </c>
      <c r="O165">
        <v>0</v>
      </c>
    </row>
    <row r="166" spans="1:15" x14ac:dyDescent="0.25">
      <c r="A166" s="15"/>
      <c r="B166" s="15"/>
      <c r="C166">
        <v>25</v>
      </c>
      <c r="D166">
        <v>303</v>
      </c>
      <c r="E166">
        <v>101</v>
      </c>
      <c r="F166">
        <v>527.25</v>
      </c>
      <c r="G166">
        <v>1140.98</v>
      </c>
      <c r="H166">
        <v>0</v>
      </c>
      <c r="I166">
        <v>0</v>
      </c>
      <c r="J166">
        <v>173.71</v>
      </c>
      <c r="K166">
        <v>90</v>
      </c>
      <c r="L166" s="10">
        <v>22.55</v>
      </c>
      <c r="M166" s="2">
        <v>395.48610500000001</v>
      </c>
      <c r="N166" s="2">
        <f t="shared" si="3"/>
        <v>140.62563749999998</v>
      </c>
      <c r="O166">
        <v>0</v>
      </c>
    </row>
    <row r="167" spans="1:15" x14ac:dyDescent="0.25">
      <c r="A167" s="15"/>
      <c r="B167" s="15"/>
      <c r="C167">
        <v>30</v>
      </c>
      <c r="D167">
        <v>282.8</v>
      </c>
      <c r="E167">
        <v>121.2</v>
      </c>
      <c r="F167">
        <v>527.25</v>
      </c>
      <c r="G167">
        <v>1140.98</v>
      </c>
      <c r="H167">
        <v>0</v>
      </c>
      <c r="I167">
        <v>0</v>
      </c>
      <c r="J167">
        <v>173.71</v>
      </c>
      <c r="K167">
        <v>7</v>
      </c>
      <c r="L167" s="10">
        <v>15.98</v>
      </c>
      <c r="M167" s="2">
        <v>395.48610500000001</v>
      </c>
      <c r="N167" s="2">
        <f t="shared" si="3"/>
        <v>133.05063749999999</v>
      </c>
      <c r="O167">
        <v>0</v>
      </c>
    </row>
    <row r="168" spans="1:15" x14ac:dyDescent="0.25">
      <c r="A168" s="15"/>
      <c r="B168" s="15"/>
      <c r="C168">
        <v>30</v>
      </c>
      <c r="D168">
        <v>282.8</v>
      </c>
      <c r="E168">
        <v>121.2</v>
      </c>
      <c r="F168">
        <v>527.25</v>
      </c>
      <c r="G168">
        <v>1140.98</v>
      </c>
      <c r="H168">
        <v>0</v>
      </c>
      <c r="I168">
        <v>0</v>
      </c>
      <c r="J168">
        <v>173.71</v>
      </c>
      <c r="K168">
        <v>14</v>
      </c>
      <c r="L168" s="10">
        <v>15.83</v>
      </c>
      <c r="M168" s="2">
        <v>395.48610500000001</v>
      </c>
      <c r="N168" s="2">
        <f t="shared" si="3"/>
        <v>133.05063749999999</v>
      </c>
      <c r="O168">
        <v>0</v>
      </c>
    </row>
    <row r="169" spans="1:15" x14ac:dyDescent="0.25">
      <c r="A169" s="15"/>
      <c r="B169" s="15"/>
      <c r="C169">
        <v>30</v>
      </c>
      <c r="D169">
        <v>282.8</v>
      </c>
      <c r="E169">
        <v>121.2</v>
      </c>
      <c r="F169">
        <v>527.25</v>
      </c>
      <c r="G169">
        <v>1140.98</v>
      </c>
      <c r="H169">
        <v>0</v>
      </c>
      <c r="I169">
        <v>0</v>
      </c>
      <c r="J169">
        <v>173.71</v>
      </c>
      <c r="K169">
        <v>56</v>
      </c>
      <c r="L169" s="10">
        <v>18.03</v>
      </c>
      <c r="M169" s="2">
        <v>395.48610500000001</v>
      </c>
      <c r="N169" s="2">
        <f t="shared" si="3"/>
        <v>133.05063749999999</v>
      </c>
      <c r="O169">
        <v>0</v>
      </c>
    </row>
    <row r="170" spans="1:15" x14ac:dyDescent="0.25">
      <c r="A170" s="15"/>
      <c r="B170" s="15"/>
      <c r="C170">
        <v>30</v>
      </c>
      <c r="D170">
        <v>282.8</v>
      </c>
      <c r="E170">
        <v>121.2</v>
      </c>
      <c r="F170">
        <v>527.25</v>
      </c>
      <c r="G170">
        <v>1140.98</v>
      </c>
      <c r="H170">
        <v>0</v>
      </c>
      <c r="I170">
        <v>0</v>
      </c>
      <c r="J170">
        <v>173.71</v>
      </c>
      <c r="K170">
        <v>90</v>
      </c>
      <c r="L170" s="10">
        <v>19.37</v>
      </c>
      <c r="M170" s="2">
        <v>395.48610500000001</v>
      </c>
      <c r="N170" s="2">
        <f t="shared" si="3"/>
        <v>133.05063749999999</v>
      </c>
      <c r="O170">
        <v>0</v>
      </c>
    </row>
    <row r="171" spans="1:15" x14ac:dyDescent="0.25">
      <c r="A171" s="15"/>
      <c r="B171" s="15"/>
      <c r="C171">
        <v>35</v>
      </c>
      <c r="D171">
        <v>262.60000000000002</v>
      </c>
      <c r="E171">
        <v>141.4</v>
      </c>
      <c r="F171">
        <v>527.25</v>
      </c>
      <c r="G171">
        <v>1140.98</v>
      </c>
      <c r="H171">
        <v>0</v>
      </c>
      <c r="I171">
        <v>0</v>
      </c>
      <c r="J171">
        <v>173.71</v>
      </c>
      <c r="K171">
        <v>7</v>
      </c>
      <c r="L171" s="10">
        <v>15.02</v>
      </c>
      <c r="M171" s="2">
        <v>395.48610500000001</v>
      </c>
      <c r="N171" s="2">
        <f t="shared" si="3"/>
        <v>125.47563749999999</v>
      </c>
      <c r="O171">
        <v>0</v>
      </c>
    </row>
    <row r="172" spans="1:15" x14ac:dyDescent="0.25">
      <c r="A172" s="15"/>
      <c r="B172" s="15"/>
      <c r="C172">
        <v>35</v>
      </c>
      <c r="D172">
        <v>262.60000000000002</v>
      </c>
      <c r="E172">
        <v>141.4</v>
      </c>
      <c r="F172">
        <v>527.25</v>
      </c>
      <c r="G172">
        <v>1140.98</v>
      </c>
      <c r="H172">
        <v>0</v>
      </c>
      <c r="I172">
        <v>0</v>
      </c>
      <c r="J172">
        <v>173.71</v>
      </c>
      <c r="K172">
        <v>14</v>
      </c>
      <c r="L172" s="10">
        <v>19.39</v>
      </c>
      <c r="M172" s="2">
        <v>395.48610500000001</v>
      </c>
      <c r="N172" s="2">
        <f t="shared" si="3"/>
        <v>125.47563749999999</v>
      </c>
      <c r="O172">
        <v>0</v>
      </c>
    </row>
    <row r="173" spans="1:15" x14ac:dyDescent="0.25">
      <c r="A173" s="15"/>
      <c r="B173" s="15"/>
      <c r="C173">
        <v>35</v>
      </c>
      <c r="D173">
        <v>262.60000000000002</v>
      </c>
      <c r="E173">
        <v>141.4</v>
      </c>
      <c r="F173">
        <v>527.25</v>
      </c>
      <c r="G173">
        <v>1140.98</v>
      </c>
      <c r="H173">
        <v>0</v>
      </c>
      <c r="I173">
        <v>0</v>
      </c>
      <c r="J173">
        <v>173.71</v>
      </c>
      <c r="K173">
        <v>56</v>
      </c>
      <c r="L173" s="10">
        <v>15.54</v>
      </c>
      <c r="M173" s="2">
        <v>395.48610500000001</v>
      </c>
      <c r="N173" s="2">
        <f t="shared" si="3"/>
        <v>125.47563749999999</v>
      </c>
      <c r="O173">
        <v>0</v>
      </c>
    </row>
    <row r="174" spans="1:15" x14ac:dyDescent="0.25">
      <c r="A174" s="15"/>
      <c r="B174" s="15"/>
      <c r="C174">
        <v>35</v>
      </c>
      <c r="D174">
        <v>262.60000000000002</v>
      </c>
      <c r="E174">
        <v>141.4</v>
      </c>
      <c r="F174">
        <v>527.25</v>
      </c>
      <c r="G174">
        <v>1140.98</v>
      </c>
      <c r="H174">
        <v>0</v>
      </c>
      <c r="I174">
        <v>0</v>
      </c>
      <c r="J174">
        <v>173.71</v>
      </c>
      <c r="K174">
        <v>90</v>
      </c>
      <c r="L174" s="10">
        <v>20.5</v>
      </c>
      <c r="M174" s="2">
        <v>395.48610500000001</v>
      </c>
      <c r="N174" s="2">
        <f t="shared" si="3"/>
        <v>125.47563749999999</v>
      </c>
      <c r="O174">
        <v>0</v>
      </c>
    </row>
    <row r="175" spans="1:15" x14ac:dyDescent="0.25">
      <c r="A175" s="15"/>
      <c r="B175" s="15"/>
      <c r="C175">
        <v>40</v>
      </c>
      <c r="D175">
        <v>242.4</v>
      </c>
      <c r="E175">
        <v>161.6</v>
      </c>
      <c r="F175">
        <v>527.25</v>
      </c>
      <c r="G175">
        <v>1140.98</v>
      </c>
      <c r="H175">
        <v>0</v>
      </c>
      <c r="I175">
        <v>0</v>
      </c>
      <c r="J175">
        <v>173.71</v>
      </c>
      <c r="K175">
        <v>7</v>
      </c>
      <c r="L175" s="10">
        <v>14.56</v>
      </c>
      <c r="M175" s="2">
        <v>395.48610500000001</v>
      </c>
      <c r="N175" s="2">
        <f t="shared" si="3"/>
        <v>117.90063749999999</v>
      </c>
      <c r="O175">
        <v>0</v>
      </c>
    </row>
    <row r="176" spans="1:15" x14ac:dyDescent="0.25">
      <c r="A176" s="15"/>
      <c r="B176" s="15"/>
      <c r="C176">
        <v>40</v>
      </c>
      <c r="D176">
        <v>242.4</v>
      </c>
      <c r="E176">
        <v>161.6</v>
      </c>
      <c r="F176">
        <v>527.25</v>
      </c>
      <c r="G176">
        <v>1140.98</v>
      </c>
      <c r="H176">
        <v>0</v>
      </c>
      <c r="I176">
        <v>0</v>
      </c>
      <c r="J176">
        <v>173.71</v>
      </c>
      <c r="K176">
        <v>14</v>
      </c>
      <c r="L176" s="10">
        <v>12.84</v>
      </c>
      <c r="M176" s="2">
        <v>395.48610500000001</v>
      </c>
      <c r="N176" s="2">
        <f t="shared" si="3"/>
        <v>117.90063749999999</v>
      </c>
      <c r="O176">
        <v>0</v>
      </c>
    </row>
    <row r="177" spans="1:15" x14ac:dyDescent="0.25">
      <c r="A177" s="15"/>
      <c r="B177" s="15"/>
      <c r="C177">
        <v>40</v>
      </c>
      <c r="D177">
        <v>242.4</v>
      </c>
      <c r="E177">
        <v>161.6</v>
      </c>
      <c r="F177">
        <v>527.25</v>
      </c>
      <c r="G177">
        <v>1140.98</v>
      </c>
      <c r="H177">
        <v>0</v>
      </c>
      <c r="I177">
        <v>0</v>
      </c>
      <c r="J177">
        <v>173.71</v>
      </c>
      <c r="K177">
        <v>56</v>
      </c>
      <c r="L177" s="10">
        <v>15.93</v>
      </c>
      <c r="M177" s="2">
        <v>395.48610500000001</v>
      </c>
      <c r="N177" s="2">
        <f t="shared" si="3"/>
        <v>117.90063749999999</v>
      </c>
      <c r="O177">
        <v>0</v>
      </c>
    </row>
    <row r="178" spans="1:15" x14ac:dyDescent="0.25">
      <c r="A178" s="15"/>
      <c r="B178" s="15"/>
      <c r="C178">
        <v>40</v>
      </c>
      <c r="D178">
        <v>242.4</v>
      </c>
      <c r="E178">
        <v>161.6</v>
      </c>
      <c r="F178">
        <v>527.25</v>
      </c>
      <c r="G178">
        <v>1140.98</v>
      </c>
      <c r="H178">
        <v>0</v>
      </c>
      <c r="I178">
        <v>0</v>
      </c>
      <c r="J178">
        <v>173.71</v>
      </c>
      <c r="K178">
        <v>90</v>
      </c>
      <c r="L178" s="10">
        <v>17.899999999999999</v>
      </c>
      <c r="M178" s="2">
        <v>395.48610500000001</v>
      </c>
      <c r="N178" s="2">
        <f t="shared" si="3"/>
        <v>117.90063749999999</v>
      </c>
      <c r="O178">
        <v>0</v>
      </c>
    </row>
    <row r="179" spans="1:15" x14ac:dyDescent="0.25">
      <c r="A179" s="15"/>
      <c r="B179" s="15"/>
      <c r="C179">
        <v>45</v>
      </c>
      <c r="D179">
        <v>222.2</v>
      </c>
      <c r="E179">
        <v>181.8</v>
      </c>
      <c r="F179">
        <v>527.25</v>
      </c>
      <c r="G179">
        <v>1140.98</v>
      </c>
      <c r="H179">
        <v>0</v>
      </c>
      <c r="I179">
        <v>0</v>
      </c>
      <c r="J179">
        <v>173.71</v>
      </c>
      <c r="K179">
        <v>7</v>
      </c>
      <c r="L179" s="10">
        <v>12.14</v>
      </c>
      <c r="M179" s="2">
        <v>395.48610500000001</v>
      </c>
      <c r="N179" s="2">
        <f t="shared" si="3"/>
        <v>110.32563749999998</v>
      </c>
      <c r="O179">
        <v>0</v>
      </c>
    </row>
    <row r="180" spans="1:15" x14ac:dyDescent="0.25">
      <c r="A180" s="15"/>
      <c r="B180" s="15"/>
      <c r="C180">
        <v>45</v>
      </c>
      <c r="D180">
        <v>222.2</v>
      </c>
      <c r="E180">
        <v>181.8</v>
      </c>
      <c r="F180">
        <v>527.25</v>
      </c>
      <c r="G180">
        <v>1140.98</v>
      </c>
      <c r="H180">
        <v>0</v>
      </c>
      <c r="I180">
        <v>0</v>
      </c>
      <c r="J180">
        <v>173.71</v>
      </c>
      <c r="K180">
        <v>14</v>
      </c>
      <c r="L180" s="10">
        <v>12.93</v>
      </c>
      <c r="M180" s="2">
        <v>395.48610500000001</v>
      </c>
      <c r="N180" s="2">
        <f t="shared" si="3"/>
        <v>110.32563749999998</v>
      </c>
      <c r="O180">
        <v>0</v>
      </c>
    </row>
    <row r="181" spans="1:15" x14ac:dyDescent="0.25">
      <c r="A181" s="15"/>
      <c r="B181" s="15"/>
      <c r="C181">
        <v>45</v>
      </c>
      <c r="D181">
        <v>222.2</v>
      </c>
      <c r="E181">
        <v>181.8</v>
      </c>
      <c r="F181">
        <v>527.25</v>
      </c>
      <c r="G181">
        <v>1140.98</v>
      </c>
      <c r="H181">
        <v>0</v>
      </c>
      <c r="I181">
        <v>0</v>
      </c>
      <c r="J181">
        <v>173.71</v>
      </c>
      <c r="K181">
        <v>56</v>
      </c>
      <c r="L181" s="10">
        <v>17.09</v>
      </c>
      <c r="M181" s="2">
        <v>395.48610500000001</v>
      </c>
      <c r="N181" s="2">
        <f t="shared" si="3"/>
        <v>110.32563749999998</v>
      </c>
      <c r="O181">
        <v>0</v>
      </c>
    </row>
    <row r="182" spans="1:15" x14ac:dyDescent="0.25">
      <c r="A182" s="15"/>
      <c r="B182" s="15"/>
      <c r="C182">
        <v>45</v>
      </c>
      <c r="D182">
        <v>222.2</v>
      </c>
      <c r="E182">
        <v>181.8</v>
      </c>
      <c r="F182">
        <v>527.25</v>
      </c>
      <c r="G182">
        <v>1140.98</v>
      </c>
      <c r="H182">
        <v>0</v>
      </c>
      <c r="I182">
        <v>0</v>
      </c>
      <c r="J182">
        <v>173.71</v>
      </c>
      <c r="K182">
        <v>90</v>
      </c>
      <c r="L182" s="10">
        <v>16.46</v>
      </c>
      <c r="M182" s="2">
        <v>395.48610500000001</v>
      </c>
      <c r="N182" s="2">
        <f t="shared" si="3"/>
        <v>110.32563749999998</v>
      </c>
      <c r="O182">
        <v>0</v>
      </c>
    </row>
    <row r="183" spans="1:15" x14ac:dyDescent="0.25">
      <c r="A183" s="15"/>
      <c r="B183" s="15"/>
      <c r="C183">
        <v>50</v>
      </c>
      <c r="D183">
        <v>202</v>
      </c>
      <c r="E183">
        <v>202</v>
      </c>
      <c r="F183">
        <v>527.25</v>
      </c>
      <c r="G183">
        <v>1140.98</v>
      </c>
      <c r="H183">
        <v>0</v>
      </c>
      <c r="I183">
        <v>0</v>
      </c>
      <c r="J183">
        <v>173.71</v>
      </c>
      <c r="K183">
        <v>7</v>
      </c>
      <c r="L183" s="10">
        <v>12.72</v>
      </c>
      <c r="M183" s="2">
        <v>395.48610500000001</v>
      </c>
      <c r="N183" s="2">
        <f t="shared" si="3"/>
        <v>102.7506375</v>
      </c>
      <c r="O183">
        <v>0</v>
      </c>
    </row>
    <row r="184" spans="1:15" x14ac:dyDescent="0.25">
      <c r="A184" s="15"/>
      <c r="B184" s="15"/>
      <c r="C184">
        <v>50</v>
      </c>
      <c r="D184">
        <v>202</v>
      </c>
      <c r="E184">
        <v>202</v>
      </c>
      <c r="F184">
        <v>527.25</v>
      </c>
      <c r="G184">
        <v>1140.98</v>
      </c>
      <c r="H184">
        <v>0</v>
      </c>
      <c r="I184">
        <v>0</v>
      </c>
      <c r="J184">
        <v>173.71</v>
      </c>
      <c r="K184">
        <v>14</v>
      </c>
      <c r="L184" s="10">
        <v>10.66</v>
      </c>
      <c r="M184" s="2">
        <v>395.48610500000001</v>
      </c>
      <c r="N184" s="2">
        <f t="shared" si="3"/>
        <v>102.7506375</v>
      </c>
      <c r="O184">
        <v>0</v>
      </c>
    </row>
    <row r="185" spans="1:15" x14ac:dyDescent="0.25">
      <c r="A185" s="15"/>
      <c r="B185" s="15"/>
      <c r="C185">
        <v>50</v>
      </c>
      <c r="D185">
        <v>202</v>
      </c>
      <c r="E185">
        <v>202</v>
      </c>
      <c r="F185">
        <v>527.25</v>
      </c>
      <c r="G185">
        <v>1140.98</v>
      </c>
      <c r="H185">
        <v>0</v>
      </c>
      <c r="I185">
        <v>0</v>
      </c>
      <c r="J185">
        <v>173.71</v>
      </c>
      <c r="K185">
        <v>56</v>
      </c>
      <c r="L185" s="10">
        <v>15.5</v>
      </c>
      <c r="M185" s="2">
        <v>395.48610500000001</v>
      </c>
      <c r="N185" s="2">
        <f t="shared" si="3"/>
        <v>102.7506375</v>
      </c>
      <c r="O185">
        <v>0</v>
      </c>
    </row>
    <row r="186" spans="1:15" x14ac:dyDescent="0.25">
      <c r="A186" s="15"/>
      <c r="B186" s="15"/>
      <c r="C186">
        <v>50</v>
      </c>
      <c r="D186">
        <v>202</v>
      </c>
      <c r="E186">
        <v>202</v>
      </c>
      <c r="F186">
        <v>527.25</v>
      </c>
      <c r="G186">
        <v>1140.98</v>
      </c>
      <c r="H186">
        <v>0</v>
      </c>
      <c r="I186">
        <v>0</v>
      </c>
      <c r="J186">
        <v>173.71</v>
      </c>
      <c r="K186">
        <v>90</v>
      </c>
      <c r="L186" s="10">
        <v>19.71</v>
      </c>
      <c r="M186" s="2">
        <v>395.48610500000001</v>
      </c>
      <c r="N186" s="2">
        <f t="shared" si="3"/>
        <v>102.7506375</v>
      </c>
      <c r="O186">
        <v>0</v>
      </c>
    </row>
    <row r="187" spans="1:15" x14ac:dyDescent="0.25">
      <c r="A187" s="18" t="s">
        <v>138</v>
      </c>
      <c r="B187" s="17" t="s">
        <v>139</v>
      </c>
      <c r="C187">
        <v>0</v>
      </c>
      <c r="D187" s="4">
        <v>550</v>
      </c>
      <c r="E187" s="5">
        <v>0</v>
      </c>
      <c r="F187">
        <v>741.2</v>
      </c>
      <c r="G187">
        <v>1033.5999999999999</v>
      </c>
      <c r="H187">
        <v>0</v>
      </c>
      <c r="I187">
        <v>55</v>
      </c>
      <c r="J187">
        <v>148.5</v>
      </c>
      <c r="K187" s="4">
        <v>1</v>
      </c>
      <c r="L187" s="12">
        <v>62.5</v>
      </c>
      <c r="M187" s="2">
        <f t="shared" ref="M187:M207" si="4">SUM((D187*0.83)+(E187*0.0023)+(F187*0.0139)+(G187*0.0459)+(I187*2))</f>
        <v>624.24491999999998</v>
      </c>
      <c r="N187" s="2">
        <f t="shared" si="3"/>
        <v>318.1515</v>
      </c>
      <c r="O187">
        <v>190</v>
      </c>
    </row>
    <row r="188" spans="1:15" x14ac:dyDescent="0.25">
      <c r="A188" s="18"/>
      <c r="B188" s="17"/>
      <c r="C188">
        <v>0</v>
      </c>
      <c r="D188" s="4">
        <v>550</v>
      </c>
      <c r="E188" s="4">
        <v>0</v>
      </c>
      <c r="F188">
        <v>741.2</v>
      </c>
      <c r="G188">
        <v>1033.5999999999999</v>
      </c>
      <c r="H188">
        <v>0</v>
      </c>
      <c r="I188">
        <v>55</v>
      </c>
      <c r="J188">
        <v>148.5</v>
      </c>
      <c r="K188" s="4">
        <v>7</v>
      </c>
      <c r="L188" s="12">
        <v>88</v>
      </c>
      <c r="M188" s="2">
        <f t="shared" si="4"/>
        <v>624.24491999999998</v>
      </c>
      <c r="N188" s="2">
        <f t="shared" si="3"/>
        <v>318.1515</v>
      </c>
      <c r="O188">
        <v>190</v>
      </c>
    </row>
    <row r="189" spans="1:15" x14ac:dyDescent="0.25">
      <c r="A189" s="18"/>
      <c r="B189" s="17"/>
      <c r="C189">
        <v>0</v>
      </c>
      <c r="D189" s="4">
        <v>550</v>
      </c>
      <c r="E189" s="4">
        <v>0</v>
      </c>
      <c r="F189">
        <v>741.2</v>
      </c>
      <c r="G189">
        <v>1033.5999999999999</v>
      </c>
      <c r="H189">
        <v>0</v>
      </c>
      <c r="I189">
        <v>55</v>
      </c>
      <c r="J189">
        <v>148.5</v>
      </c>
      <c r="K189" s="4">
        <v>28</v>
      </c>
      <c r="L189" s="12">
        <v>105</v>
      </c>
      <c r="M189" s="2">
        <f t="shared" si="4"/>
        <v>624.24491999999998</v>
      </c>
      <c r="N189" s="2">
        <f t="shared" si="3"/>
        <v>318.1515</v>
      </c>
      <c r="O189">
        <v>190</v>
      </c>
    </row>
    <row r="190" spans="1:15" x14ac:dyDescent="0.25">
      <c r="A190" s="18"/>
      <c r="B190" s="17"/>
      <c r="C190">
        <v>10</v>
      </c>
      <c r="D190" s="4">
        <v>495</v>
      </c>
      <c r="E190" s="4">
        <v>55</v>
      </c>
      <c r="F190">
        <v>730.3</v>
      </c>
      <c r="G190">
        <v>1033.5999999999999</v>
      </c>
      <c r="H190">
        <v>0</v>
      </c>
      <c r="I190">
        <v>55</v>
      </c>
      <c r="J190">
        <v>148.5</v>
      </c>
      <c r="K190" s="4">
        <v>1</v>
      </c>
      <c r="L190" s="12">
        <v>58.2</v>
      </c>
      <c r="M190" s="2">
        <f t="shared" si="4"/>
        <v>578.56990999999994</v>
      </c>
      <c r="N190" s="2">
        <f t="shared" si="3"/>
        <v>297.32212499999997</v>
      </c>
      <c r="O190">
        <v>210</v>
      </c>
    </row>
    <row r="191" spans="1:15" x14ac:dyDescent="0.25">
      <c r="A191" s="18"/>
      <c r="B191" s="17"/>
      <c r="C191">
        <v>10</v>
      </c>
      <c r="D191" s="4">
        <v>495</v>
      </c>
      <c r="E191" s="4">
        <v>55</v>
      </c>
      <c r="F191">
        <v>730.3</v>
      </c>
      <c r="G191">
        <v>1033.5999999999999</v>
      </c>
      <c r="H191">
        <v>0</v>
      </c>
      <c r="I191">
        <v>55</v>
      </c>
      <c r="J191">
        <v>148.5</v>
      </c>
      <c r="K191" s="4">
        <v>7</v>
      </c>
      <c r="L191" s="12">
        <v>87</v>
      </c>
      <c r="M191" s="2">
        <f t="shared" si="4"/>
        <v>578.56990999999994</v>
      </c>
      <c r="N191" s="2">
        <f t="shared" si="3"/>
        <v>297.32212499999997</v>
      </c>
      <c r="O191">
        <v>210</v>
      </c>
    </row>
    <row r="192" spans="1:15" x14ac:dyDescent="0.25">
      <c r="A192" s="18"/>
      <c r="B192" s="17"/>
      <c r="C192">
        <v>10</v>
      </c>
      <c r="D192" s="4">
        <v>495</v>
      </c>
      <c r="E192" s="4">
        <v>55</v>
      </c>
      <c r="F192">
        <v>730.3</v>
      </c>
      <c r="G192">
        <v>1033.5999999999999</v>
      </c>
      <c r="H192">
        <v>0</v>
      </c>
      <c r="I192">
        <v>55</v>
      </c>
      <c r="J192">
        <v>148.5</v>
      </c>
      <c r="K192" s="4">
        <v>28</v>
      </c>
      <c r="L192" s="12">
        <v>95</v>
      </c>
      <c r="M192" s="2">
        <f t="shared" si="4"/>
        <v>578.56990999999994</v>
      </c>
      <c r="N192" s="2">
        <f t="shared" si="3"/>
        <v>297.32212499999997</v>
      </c>
      <c r="O192">
        <v>210</v>
      </c>
    </row>
    <row r="193" spans="1:15" x14ac:dyDescent="0.25">
      <c r="A193" s="18"/>
      <c r="B193" s="17"/>
      <c r="C193">
        <v>20</v>
      </c>
      <c r="D193" s="4">
        <v>440</v>
      </c>
      <c r="E193" s="4">
        <v>110</v>
      </c>
      <c r="F193">
        <v>719.4</v>
      </c>
      <c r="G193">
        <v>1033.5999999999999</v>
      </c>
      <c r="H193">
        <v>0</v>
      </c>
      <c r="I193">
        <v>55</v>
      </c>
      <c r="J193">
        <v>148.5</v>
      </c>
      <c r="K193" s="4">
        <v>1</v>
      </c>
      <c r="L193" s="12">
        <v>43</v>
      </c>
      <c r="M193" s="2">
        <f t="shared" si="4"/>
        <v>532.89490000000001</v>
      </c>
      <c r="N193" s="2">
        <f t="shared" si="3"/>
        <v>276.49274999999994</v>
      </c>
      <c r="O193">
        <v>210</v>
      </c>
    </row>
    <row r="194" spans="1:15" x14ac:dyDescent="0.25">
      <c r="A194" s="18"/>
      <c r="B194" s="17"/>
      <c r="C194">
        <v>20</v>
      </c>
      <c r="D194" s="4">
        <v>440</v>
      </c>
      <c r="E194" s="4">
        <v>110</v>
      </c>
      <c r="F194">
        <v>719.4</v>
      </c>
      <c r="G194">
        <v>1033.5999999999999</v>
      </c>
      <c r="H194">
        <v>0</v>
      </c>
      <c r="I194">
        <v>55</v>
      </c>
      <c r="J194">
        <v>148.5</v>
      </c>
      <c r="K194" s="4">
        <v>7</v>
      </c>
      <c r="L194" s="12">
        <v>86</v>
      </c>
      <c r="M194" s="2">
        <f t="shared" si="4"/>
        <v>532.89490000000001</v>
      </c>
      <c r="N194" s="2">
        <f t="shared" si="3"/>
        <v>276.49274999999994</v>
      </c>
      <c r="O194">
        <v>210</v>
      </c>
    </row>
    <row r="195" spans="1:15" x14ac:dyDescent="0.25">
      <c r="A195" s="18"/>
      <c r="B195" s="17"/>
      <c r="C195">
        <v>20</v>
      </c>
      <c r="D195" s="4">
        <v>440</v>
      </c>
      <c r="E195" s="4">
        <v>110</v>
      </c>
      <c r="F195">
        <v>719.4</v>
      </c>
      <c r="G195">
        <v>1033.5999999999999</v>
      </c>
      <c r="H195">
        <v>0</v>
      </c>
      <c r="I195">
        <v>55</v>
      </c>
      <c r="J195">
        <v>148.5</v>
      </c>
      <c r="K195" s="4">
        <v>28</v>
      </c>
      <c r="L195" s="12">
        <v>98</v>
      </c>
      <c r="M195" s="2">
        <f t="shared" si="4"/>
        <v>532.89490000000001</v>
      </c>
      <c r="N195" s="2">
        <f t="shared" ref="N195:N258" si="5">SUM((D195*5)+((F195*0.25)+(G195*0.2)+(I195*20)))*0.075</f>
        <v>276.49274999999994</v>
      </c>
      <c r="O195">
        <v>210</v>
      </c>
    </row>
    <row r="196" spans="1:15" x14ac:dyDescent="0.25">
      <c r="A196" s="18"/>
      <c r="B196" s="17"/>
      <c r="C196">
        <v>30</v>
      </c>
      <c r="D196" s="4">
        <v>385</v>
      </c>
      <c r="E196" s="4">
        <v>165</v>
      </c>
      <c r="F196">
        <v>708.5</v>
      </c>
      <c r="G196">
        <v>1033.5999999999999</v>
      </c>
      <c r="H196">
        <v>0</v>
      </c>
      <c r="I196">
        <v>55</v>
      </c>
      <c r="J196">
        <v>148.5</v>
      </c>
      <c r="K196" s="4">
        <v>1</v>
      </c>
      <c r="L196" s="12">
        <v>39</v>
      </c>
      <c r="M196" s="2">
        <f t="shared" si="4"/>
        <v>487.21988999999996</v>
      </c>
      <c r="N196" s="2">
        <f t="shared" si="5"/>
        <v>255.663375</v>
      </c>
      <c r="O196">
        <v>220</v>
      </c>
    </row>
    <row r="197" spans="1:15" x14ac:dyDescent="0.25">
      <c r="A197" s="18"/>
      <c r="B197" s="17"/>
      <c r="C197">
        <v>30</v>
      </c>
      <c r="D197" s="4">
        <v>385</v>
      </c>
      <c r="E197" s="4">
        <v>165</v>
      </c>
      <c r="F197">
        <v>708.5</v>
      </c>
      <c r="G197">
        <v>1033.5999999999999</v>
      </c>
      <c r="H197">
        <v>0</v>
      </c>
      <c r="I197">
        <v>55</v>
      </c>
      <c r="J197">
        <v>148.5</v>
      </c>
      <c r="K197" s="4">
        <v>7</v>
      </c>
      <c r="L197" s="12">
        <v>83</v>
      </c>
      <c r="M197" s="2">
        <f t="shared" si="4"/>
        <v>487.21988999999996</v>
      </c>
      <c r="N197" s="2">
        <f t="shared" si="5"/>
        <v>255.663375</v>
      </c>
      <c r="O197">
        <v>220</v>
      </c>
    </row>
    <row r="198" spans="1:15" x14ac:dyDescent="0.25">
      <c r="A198" s="18"/>
      <c r="B198" s="17"/>
      <c r="C198">
        <v>30</v>
      </c>
      <c r="D198" s="4">
        <v>385</v>
      </c>
      <c r="E198" s="4">
        <v>165</v>
      </c>
      <c r="F198">
        <v>708.5</v>
      </c>
      <c r="G198">
        <v>1033.5999999999999</v>
      </c>
      <c r="H198">
        <v>0</v>
      </c>
      <c r="I198">
        <v>55</v>
      </c>
      <c r="J198">
        <v>148.5</v>
      </c>
      <c r="K198" s="4">
        <v>28</v>
      </c>
      <c r="L198" s="12">
        <v>99</v>
      </c>
      <c r="M198" s="2">
        <f t="shared" si="4"/>
        <v>487.21988999999996</v>
      </c>
      <c r="N198" s="2">
        <f t="shared" si="5"/>
        <v>255.663375</v>
      </c>
      <c r="O198">
        <v>220</v>
      </c>
    </row>
    <row r="199" spans="1:15" x14ac:dyDescent="0.25">
      <c r="A199" s="18"/>
      <c r="B199" s="17"/>
      <c r="C199">
        <v>40</v>
      </c>
      <c r="D199" s="4">
        <v>330</v>
      </c>
      <c r="E199" s="4">
        <v>220</v>
      </c>
      <c r="F199">
        <v>697.6</v>
      </c>
      <c r="G199">
        <v>1033.5999999999999</v>
      </c>
      <c r="H199">
        <v>0</v>
      </c>
      <c r="I199">
        <v>55</v>
      </c>
      <c r="J199">
        <v>148.5</v>
      </c>
      <c r="K199" s="4">
        <v>1</v>
      </c>
      <c r="L199" s="12">
        <v>37</v>
      </c>
      <c r="M199" s="2">
        <f t="shared" si="4"/>
        <v>441.54487999999992</v>
      </c>
      <c r="N199" s="2">
        <f t="shared" si="5"/>
        <v>234.83399999999997</v>
      </c>
      <c r="O199">
        <v>225</v>
      </c>
    </row>
    <row r="200" spans="1:15" x14ac:dyDescent="0.25">
      <c r="A200" s="18"/>
      <c r="B200" s="17"/>
      <c r="C200">
        <v>40</v>
      </c>
      <c r="D200" s="4">
        <v>330</v>
      </c>
      <c r="E200" s="4">
        <v>220</v>
      </c>
      <c r="F200">
        <v>697.6</v>
      </c>
      <c r="G200">
        <v>1033.5999999999999</v>
      </c>
      <c r="H200">
        <v>0</v>
      </c>
      <c r="I200">
        <v>55</v>
      </c>
      <c r="J200">
        <v>148.5</v>
      </c>
      <c r="K200" s="4">
        <v>7</v>
      </c>
      <c r="L200" s="12">
        <v>82</v>
      </c>
      <c r="M200" s="2">
        <f t="shared" si="4"/>
        <v>441.54487999999992</v>
      </c>
      <c r="N200" s="2">
        <f t="shared" si="5"/>
        <v>234.83399999999997</v>
      </c>
      <c r="O200">
        <v>225</v>
      </c>
    </row>
    <row r="201" spans="1:15" x14ac:dyDescent="0.25">
      <c r="A201" s="18"/>
      <c r="B201" s="17"/>
      <c r="C201">
        <v>40</v>
      </c>
      <c r="D201" s="4">
        <v>330</v>
      </c>
      <c r="E201" s="4">
        <v>220</v>
      </c>
      <c r="F201">
        <v>697.6</v>
      </c>
      <c r="G201">
        <v>1033.5999999999999</v>
      </c>
      <c r="H201">
        <v>0</v>
      </c>
      <c r="I201">
        <v>55</v>
      </c>
      <c r="J201">
        <v>148.5</v>
      </c>
      <c r="K201" s="4">
        <v>28</v>
      </c>
      <c r="L201" s="12">
        <v>105</v>
      </c>
      <c r="M201" s="2">
        <f t="shared" si="4"/>
        <v>441.54487999999992</v>
      </c>
      <c r="N201" s="2">
        <f t="shared" si="5"/>
        <v>234.83399999999997</v>
      </c>
      <c r="O201">
        <v>225</v>
      </c>
    </row>
    <row r="202" spans="1:15" x14ac:dyDescent="0.25">
      <c r="A202" s="18"/>
      <c r="B202" s="17"/>
      <c r="C202">
        <v>50</v>
      </c>
      <c r="D202" s="4">
        <v>275</v>
      </c>
      <c r="E202" s="4">
        <v>275</v>
      </c>
      <c r="F202">
        <v>686.7</v>
      </c>
      <c r="G202">
        <v>1033.5999999999999</v>
      </c>
      <c r="H202">
        <v>0</v>
      </c>
      <c r="I202">
        <v>55</v>
      </c>
      <c r="J202">
        <v>148.5</v>
      </c>
      <c r="K202" s="4">
        <v>1</v>
      </c>
      <c r="L202" s="12">
        <v>33</v>
      </c>
      <c r="M202" s="2">
        <f t="shared" si="4"/>
        <v>395.86986999999999</v>
      </c>
      <c r="N202" s="2">
        <f t="shared" si="5"/>
        <v>214.004625</v>
      </c>
      <c r="O202">
        <v>228</v>
      </c>
    </row>
    <row r="203" spans="1:15" x14ac:dyDescent="0.25">
      <c r="A203" s="18"/>
      <c r="B203" s="17"/>
      <c r="C203">
        <v>50</v>
      </c>
      <c r="D203" s="4">
        <v>275</v>
      </c>
      <c r="E203" s="4">
        <v>275</v>
      </c>
      <c r="F203">
        <v>686.7</v>
      </c>
      <c r="G203">
        <v>1033.5999999999999</v>
      </c>
      <c r="H203">
        <v>0</v>
      </c>
      <c r="I203">
        <v>55</v>
      </c>
      <c r="J203">
        <v>148.5</v>
      </c>
      <c r="K203" s="4">
        <v>7</v>
      </c>
      <c r="L203" s="12">
        <v>81</v>
      </c>
      <c r="M203" s="2">
        <f t="shared" si="4"/>
        <v>395.86986999999999</v>
      </c>
      <c r="N203" s="2">
        <f t="shared" si="5"/>
        <v>214.004625</v>
      </c>
      <c r="O203">
        <v>228</v>
      </c>
    </row>
    <row r="204" spans="1:15" x14ac:dyDescent="0.25">
      <c r="A204" s="18"/>
      <c r="B204" s="17"/>
      <c r="C204">
        <v>50</v>
      </c>
      <c r="D204" s="4">
        <v>275</v>
      </c>
      <c r="E204" s="4">
        <v>275</v>
      </c>
      <c r="F204">
        <v>686.7</v>
      </c>
      <c r="G204">
        <v>1033.5999999999999</v>
      </c>
      <c r="H204">
        <v>0</v>
      </c>
      <c r="I204">
        <v>55</v>
      </c>
      <c r="J204">
        <v>148.5</v>
      </c>
      <c r="K204" s="4">
        <v>28</v>
      </c>
      <c r="L204" s="12">
        <v>97</v>
      </c>
      <c r="M204" s="2">
        <f t="shared" si="4"/>
        <v>395.86986999999999</v>
      </c>
      <c r="N204" s="2">
        <f t="shared" si="5"/>
        <v>214.004625</v>
      </c>
      <c r="O204">
        <v>228</v>
      </c>
    </row>
    <row r="205" spans="1:15" x14ac:dyDescent="0.25">
      <c r="A205" s="18"/>
      <c r="B205" s="17"/>
      <c r="C205">
        <v>60</v>
      </c>
      <c r="D205" s="4">
        <v>220</v>
      </c>
      <c r="E205" s="4">
        <v>330</v>
      </c>
      <c r="F205">
        <v>675.8</v>
      </c>
      <c r="G205">
        <v>1033.5999999999999</v>
      </c>
      <c r="H205">
        <v>0</v>
      </c>
      <c r="I205">
        <v>55</v>
      </c>
      <c r="J205">
        <v>148.5</v>
      </c>
      <c r="K205" s="4">
        <v>1</v>
      </c>
      <c r="L205" s="12">
        <v>24</v>
      </c>
      <c r="M205" s="2">
        <f t="shared" si="4"/>
        <v>350.19485999999995</v>
      </c>
      <c r="N205" s="2">
        <f t="shared" si="5"/>
        <v>193.17525000000001</v>
      </c>
      <c r="O205">
        <v>230</v>
      </c>
    </row>
    <row r="206" spans="1:15" x14ac:dyDescent="0.25">
      <c r="A206" s="18"/>
      <c r="B206" s="17"/>
      <c r="C206">
        <v>60</v>
      </c>
      <c r="D206" s="4">
        <v>220</v>
      </c>
      <c r="E206" s="4">
        <v>330</v>
      </c>
      <c r="F206">
        <v>675.8</v>
      </c>
      <c r="G206">
        <v>1033.5999999999999</v>
      </c>
      <c r="H206">
        <v>0</v>
      </c>
      <c r="I206">
        <v>55</v>
      </c>
      <c r="J206">
        <v>148.5</v>
      </c>
      <c r="K206" s="4">
        <v>7</v>
      </c>
      <c r="L206" s="12">
        <v>80</v>
      </c>
      <c r="M206" s="2">
        <f t="shared" si="4"/>
        <v>350.19485999999995</v>
      </c>
      <c r="N206" s="2">
        <f t="shared" si="5"/>
        <v>193.17525000000001</v>
      </c>
      <c r="O206">
        <v>230</v>
      </c>
    </row>
    <row r="207" spans="1:15" x14ac:dyDescent="0.25">
      <c r="A207" s="18"/>
      <c r="B207" s="17"/>
      <c r="C207">
        <v>60</v>
      </c>
      <c r="D207" s="4">
        <v>220</v>
      </c>
      <c r="E207" s="4">
        <v>330</v>
      </c>
      <c r="F207">
        <v>675.8</v>
      </c>
      <c r="G207">
        <v>1033.5999999999999</v>
      </c>
      <c r="H207">
        <v>0</v>
      </c>
      <c r="I207">
        <v>55</v>
      </c>
      <c r="J207">
        <v>148.5</v>
      </c>
      <c r="K207" s="4">
        <v>28</v>
      </c>
      <c r="L207" s="12">
        <v>99</v>
      </c>
      <c r="M207" s="2">
        <f t="shared" si="4"/>
        <v>350.19485999999995</v>
      </c>
      <c r="N207" s="2">
        <f t="shared" si="5"/>
        <v>193.17525000000001</v>
      </c>
      <c r="O207">
        <v>230</v>
      </c>
    </row>
    <row r="208" spans="1:15" x14ac:dyDescent="0.25">
      <c r="A208" s="15" t="s">
        <v>21</v>
      </c>
      <c r="B208" s="15" t="s">
        <v>22</v>
      </c>
      <c r="C208">
        <v>0</v>
      </c>
      <c r="D208">
        <v>400</v>
      </c>
      <c r="E208">
        <v>0</v>
      </c>
      <c r="F208">
        <v>760</v>
      </c>
      <c r="G208">
        <v>910</v>
      </c>
      <c r="H208">
        <v>0</v>
      </c>
      <c r="I208">
        <v>4</v>
      </c>
      <c r="J208">
        <v>136</v>
      </c>
      <c r="K208">
        <v>7</v>
      </c>
      <c r="L208" s="10">
        <v>28.28</v>
      </c>
      <c r="M208" s="2">
        <v>392.33300000000003</v>
      </c>
      <c r="N208" s="2">
        <f t="shared" si="5"/>
        <v>183.9</v>
      </c>
      <c r="O208">
        <v>0</v>
      </c>
    </row>
    <row r="209" spans="1:15" x14ac:dyDescent="0.25">
      <c r="A209" s="15"/>
      <c r="B209" s="15"/>
      <c r="C209">
        <v>0</v>
      </c>
      <c r="D209">
        <v>400</v>
      </c>
      <c r="E209">
        <v>0</v>
      </c>
      <c r="F209">
        <v>760</v>
      </c>
      <c r="G209">
        <v>910</v>
      </c>
      <c r="H209">
        <v>0</v>
      </c>
      <c r="I209">
        <v>4</v>
      </c>
      <c r="J209">
        <v>136</v>
      </c>
      <c r="K209">
        <v>14</v>
      </c>
      <c r="L209" s="10">
        <v>30.99</v>
      </c>
      <c r="M209" s="2">
        <v>392.33300000000003</v>
      </c>
      <c r="N209" s="2">
        <f t="shared" si="5"/>
        <v>183.9</v>
      </c>
      <c r="O209">
        <v>0</v>
      </c>
    </row>
    <row r="210" spans="1:15" x14ac:dyDescent="0.25">
      <c r="A210" s="15"/>
      <c r="B210" s="15"/>
      <c r="C210">
        <v>0</v>
      </c>
      <c r="D210">
        <v>400</v>
      </c>
      <c r="E210">
        <v>0</v>
      </c>
      <c r="F210">
        <v>760</v>
      </c>
      <c r="G210">
        <v>910</v>
      </c>
      <c r="H210">
        <v>0</v>
      </c>
      <c r="I210">
        <v>4</v>
      </c>
      <c r="J210">
        <v>136</v>
      </c>
      <c r="K210">
        <v>56</v>
      </c>
      <c r="L210" s="10">
        <v>38.17</v>
      </c>
      <c r="M210" s="2">
        <v>392.33300000000003</v>
      </c>
      <c r="N210" s="2">
        <f t="shared" si="5"/>
        <v>183.9</v>
      </c>
      <c r="O210">
        <v>0</v>
      </c>
    </row>
    <row r="211" spans="1:15" x14ac:dyDescent="0.25">
      <c r="A211" s="15"/>
      <c r="B211" s="15"/>
      <c r="C211">
        <v>0</v>
      </c>
      <c r="D211">
        <v>400</v>
      </c>
      <c r="E211">
        <v>0</v>
      </c>
      <c r="F211">
        <v>760</v>
      </c>
      <c r="G211">
        <v>910</v>
      </c>
      <c r="H211">
        <v>0</v>
      </c>
      <c r="I211">
        <v>4</v>
      </c>
      <c r="J211">
        <v>136</v>
      </c>
      <c r="K211">
        <v>90</v>
      </c>
      <c r="L211" s="10">
        <v>36.880000000000003</v>
      </c>
      <c r="M211" s="2">
        <v>392.33300000000003</v>
      </c>
      <c r="N211" s="2">
        <f t="shared" si="5"/>
        <v>183.9</v>
      </c>
      <c r="O211">
        <v>0</v>
      </c>
    </row>
    <row r="212" spans="1:15" x14ac:dyDescent="0.25">
      <c r="A212" s="15"/>
      <c r="B212" s="15"/>
      <c r="C212">
        <v>5</v>
      </c>
      <c r="D212">
        <v>380</v>
      </c>
      <c r="E212">
        <v>20</v>
      </c>
      <c r="F212">
        <v>760</v>
      </c>
      <c r="G212">
        <v>910</v>
      </c>
      <c r="H212">
        <v>0</v>
      </c>
      <c r="I212">
        <v>4</v>
      </c>
      <c r="J212">
        <v>136</v>
      </c>
      <c r="K212">
        <v>7</v>
      </c>
      <c r="L212" s="10">
        <v>25.38</v>
      </c>
      <c r="M212" s="2">
        <v>392.33300000000003</v>
      </c>
      <c r="N212" s="2">
        <f t="shared" si="5"/>
        <v>176.4</v>
      </c>
      <c r="O212">
        <v>0</v>
      </c>
    </row>
    <row r="213" spans="1:15" x14ac:dyDescent="0.25">
      <c r="A213" s="15"/>
      <c r="B213" s="15"/>
      <c r="C213">
        <v>5</v>
      </c>
      <c r="D213">
        <v>380</v>
      </c>
      <c r="E213">
        <v>20</v>
      </c>
      <c r="F213">
        <v>760</v>
      </c>
      <c r="G213">
        <v>910</v>
      </c>
      <c r="H213">
        <v>0</v>
      </c>
      <c r="I213">
        <v>4</v>
      </c>
      <c r="J213">
        <v>136</v>
      </c>
      <c r="K213">
        <v>14</v>
      </c>
      <c r="L213" s="10">
        <v>32.15</v>
      </c>
      <c r="M213" s="2">
        <v>392.33300000000003</v>
      </c>
      <c r="N213" s="2">
        <f t="shared" si="5"/>
        <v>176.4</v>
      </c>
      <c r="O213">
        <v>0</v>
      </c>
    </row>
    <row r="214" spans="1:15" x14ac:dyDescent="0.25">
      <c r="A214" s="15"/>
      <c r="B214" s="15"/>
      <c r="C214">
        <v>5</v>
      </c>
      <c r="D214">
        <v>380</v>
      </c>
      <c r="E214">
        <v>20</v>
      </c>
      <c r="F214">
        <v>760</v>
      </c>
      <c r="G214">
        <v>910</v>
      </c>
      <c r="H214">
        <v>0</v>
      </c>
      <c r="I214">
        <v>4</v>
      </c>
      <c r="J214">
        <v>136</v>
      </c>
      <c r="K214">
        <v>56</v>
      </c>
      <c r="L214" s="10">
        <v>36.729999999999997</v>
      </c>
      <c r="M214" s="2">
        <v>392.33300000000003</v>
      </c>
      <c r="N214" s="2">
        <f t="shared" si="5"/>
        <v>176.4</v>
      </c>
      <c r="O214">
        <v>0</v>
      </c>
    </row>
    <row r="215" spans="1:15" x14ac:dyDescent="0.25">
      <c r="A215" s="15"/>
      <c r="B215" s="15"/>
      <c r="C215">
        <v>5</v>
      </c>
      <c r="D215">
        <v>380</v>
      </c>
      <c r="E215">
        <v>20</v>
      </c>
      <c r="F215">
        <v>760</v>
      </c>
      <c r="G215">
        <v>910</v>
      </c>
      <c r="H215">
        <v>0</v>
      </c>
      <c r="I215">
        <v>4</v>
      </c>
      <c r="J215">
        <v>136</v>
      </c>
      <c r="K215">
        <v>90</v>
      </c>
      <c r="L215" s="10">
        <v>36.020000000000003</v>
      </c>
      <c r="M215" s="2">
        <v>392.33300000000003</v>
      </c>
      <c r="N215" s="2">
        <f t="shared" si="5"/>
        <v>176.4</v>
      </c>
      <c r="O215">
        <v>0</v>
      </c>
    </row>
    <row r="216" spans="1:15" x14ac:dyDescent="0.25">
      <c r="A216" s="15"/>
      <c r="B216" s="15"/>
      <c r="C216">
        <v>10</v>
      </c>
      <c r="D216">
        <v>360</v>
      </c>
      <c r="E216">
        <v>40</v>
      </c>
      <c r="F216">
        <v>760</v>
      </c>
      <c r="G216">
        <v>910</v>
      </c>
      <c r="H216">
        <v>0</v>
      </c>
      <c r="I216">
        <v>4</v>
      </c>
      <c r="J216">
        <v>136</v>
      </c>
      <c r="K216">
        <v>7</v>
      </c>
      <c r="L216" s="10">
        <v>24.57</v>
      </c>
      <c r="M216" s="2">
        <v>392.33300000000003</v>
      </c>
      <c r="N216" s="2">
        <f t="shared" si="5"/>
        <v>168.9</v>
      </c>
      <c r="O216">
        <v>0</v>
      </c>
    </row>
    <row r="217" spans="1:15" x14ac:dyDescent="0.25">
      <c r="A217" s="15"/>
      <c r="B217" s="15"/>
      <c r="C217">
        <v>10</v>
      </c>
      <c r="D217">
        <v>360</v>
      </c>
      <c r="E217">
        <v>40</v>
      </c>
      <c r="F217">
        <v>760</v>
      </c>
      <c r="G217">
        <v>910</v>
      </c>
      <c r="H217">
        <v>0</v>
      </c>
      <c r="I217">
        <v>4</v>
      </c>
      <c r="J217">
        <v>136</v>
      </c>
      <c r="K217">
        <v>14</v>
      </c>
      <c r="L217" s="10">
        <v>26.91</v>
      </c>
      <c r="M217" s="2">
        <v>392.33300000000003</v>
      </c>
      <c r="N217" s="2">
        <f t="shared" si="5"/>
        <v>168.9</v>
      </c>
      <c r="O217">
        <v>0</v>
      </c>
    </row>
    <row r="218" spans="1:15" x14ac:dyDescent="0.25">
      <c r="A218" s="15"/>
      <c r="B218" s="15"/>
      <c r="C218">
        <v>10</v>
      </c>
      <c r="D218">
        <v>360</v>
      </c>
      <c r="E218">
        <v>40</v>
      </c>
      <c r="F218">
        <v>760</v>
      </c>
      <c r="G218">
        <v>910</v>
      </c>
      <c r="H218">
        <v>0</v>
      </c>
      <c r="I218">
        <v>4</v>
      </c>
      <c r="J218">
        <v>136</v>
      </c>
      <c r="K218">
        <v>56</v>
      </c>
      <c r="L218" s="10">
        <v>34.69</v>
      </c>
      <c r="M218" s="2">
        <v>392.33300000000003</v>
      </c>
      <c r="N218" s="2">
        <f t="shared" si="5"/>
        <v>168.9</v>
      </c>
      <c r="O218">
        <v>0</v>
      </c>
    </row>
    <row r="219" spans="1:15" x14ac:dyDescent="0.25">
      <c r="A219" s="15"/>
      <c r="B219" s="15"/>
      <c r="C219">
        <v>10</v>
      </c>
      <c r="D219">
        <v>360</v>
      </c>
      <c r="E219">
        <v>40</v>
      </c>
      <c r="F219">
        <v>760</v>
      </c>
      <c r="G219">
        <v>910</v>
      </c>
      <c r="H219">
        <v>0</v>
      </c>
      <c r="I219">
        <v>4</v>
      </c>
      <c r="J219">
        <v>136</v>
      </c>
      <c r="K219">
        <v>90</v>
      </c>
      <c r="L219" s="10">
        <v>36.869999999999997</v>
      </c>
      <c r="M219" s="2">
        <v>392.33300000000003</v>
      </c>
      <c r="N219" s="2">
        <f t="shared" si="5"/>
        <v>168.9</v>
      </c>
      <c r="O219">
        <v>0</v>
      </c>
    </row>
    <row r="220" spans="1:15" x14ac:dyDescent="0.25">
      <c r="A220" s="15"/>
      <c r="B220" s="15"/>
      <c r="C220">
        <v>15</v>
      </c>
      <c r="D220">
        <v>340</v>
      </c>
      <c r="E220">
        <v>60</v>
      </c>
      <c r="F220">
        <v>760</v>
      </c>
      <c r="G220">
        <v>910</v>
      </c>
      <c r="H220">
        <v>0</v>
      </c>
      <c r="I220">
        <v>4</v>
      </c>
      <c r="J220">
        <v>136</v>
      </c>
      <c r="K220">
        <v>7</v>
      </c>
      <c r="L220" s="10">
        <v>25.35</v>
      </c>
      <c r="M220" s="2">
        <v>392.33300000000003</v>
      </c>
      <c r="N220" s="2">
        <f t="shared" si="5"/>
        <v>161.4</v>
      </c>
      <c r="O220">
        <v>0</v>
      </c>
    </row>
    <row r="221" spans="1:15" x14ac:dyDescent="0.25">
      <c r="A221" s="15"/>
      <c r="B221" s="15"/>
      <c r="C221">
        <v>15</v>
      </c>
      <c r="D221">
        <v>340</v>
      </c>
      <c r="E221">
        <v>60</v>
      </c>
      <c r="F221">
        <v>760</v>
      </c>
      <c r="G221">
        <v>910</v>
      </c>
      <c r="H221">
        <v>0</v>
      </c>
      <c r="I221">
        <v>4</v>
      </c>
      <c r="J221">
        <v>136</v>
      </c>
      <c r="K221">
        <v>14</v>
      </c>
      <c r="L221" s="10">
        <v>29.88</v>
      </c>
      <c r="M221" s="2">
        <v>392.33300000000003</v>
      </c>
      <c r="N221" s="2">
        <f t="shared" si="5"/>
        <v>161.4</v>
      </c>
      <c r="O221">
        <v>0</v>
      </c>
    </row>
    <row r="222" spans="1:15" x14ac:dyDescent="0.25">
      <c r="A222" s="15"/>
      <c r="B222" s="15"/>
      <c r="C222">
        <v>15</v>
      </c>
      <c r="D222">
        <v>340</v>
      </c>
      <c r="E222">
        <v>60</v>
      </c>
      <c r="F222">
        <v>760</v>
      </c>
      <c r="G222">
        <v>910</v>
      </c>
      <c r="H222">
        <v>0</v>
      </c>
      <c r="I222">
        <v>4</v>
      </c>
      <c r="J222">
        <v>136</v>
      </c>
      <c r="K222">
        <v>56</v>
      </c>
      <c r="L222" s="10">
        <v>32.36</v>
      </c>
      <c r="M222" s="2">
        <v>392.33300000000003</v>
      </c>
      <c r="N222" s="2">
        <f t="shared" si="5"/>
        <v>161.4</v>
      </c>
      <c r="O222">
        <v>0</v>
      </c>
    </row>
    <row r="223" spans="1:15" x14ac:dyDescent="0.25">
      <c r="A223" s="15"/>
      <c r="B223" s="15"/>
      <c r="C223">
        <v>15</v>
      </c>
      <c r="D223">
        <v>340</v>
      </c>
      <c r="E223">
        <v>60</v>
      </c>
      <c r="F223">
        <v>760</v>
      </c>
      <c r="G223">
        <v>910</v>
      </c>
      <c r="H223">
        <v>0</v>
      </c>
      <c r="I223">
        <v>4</v>
      </c>
      <c r="J223">
        <v>136</v>
      </c>
      <c r="K223">
        <v>90</v>
      </c>
      <c r="L223" s="10">
        <v>30.67</v>
      </c>
      <c r="M223" s="2">
        <v>392.33300000000003</v>
      </c>
      <c r="N223" s="2">
        <f t="shared" si="5"/>
        <v>161.4</v>
      </c>
      <c r="O223">
        <v>0</v>
      </c>
    </row>
    <row r="224" spans="1:15" x14ac:dyDescent="0.25">
      <c r="A224" s="15"/>
      <c r="B224" s="15"/>
      <c r="C224">
        <v>20</v>
      </c>
      <c r="D224">
        <v>320</v>
      </c>
      <c r="E224">
        <v>80</v>
      </c>
      <c r="F224">
        <v>760</v>
      </c>
      <c r="G224">
        <v>910</v>
      </c>
      <c r="H224">
        <v>0</v>
      </c>
      <c r="I224">
        <v>4</v>
      </c>
      <c r="J224">
        <v>136</v>
      </c>
      <c r="K224">
        <v>7</v>
      </c>
      <c r="L224" s="10">
        <v>27.68</v>
      </c>
      <c r="M224" s="2">
        <v>392.33300000000003</v>
      </c>
      <c r="N224" s="2">
        <f t="shared" si="5"/>
        <v>153.9</v>
      </c>
      <c r="O224">
        <v>0</v>
      </c>
    </row>
    <row r="225" spans="1:15" x14ac:dyDescent="0.25">
      <c r="A225" s="15"/>
      <c r="B225" s="15"/>
      <c r="C225">
        <v>20</v>
      </c>
      <c r="D225">
        <v>320</v>
      </c>
      <c r="E225">
        <v>80</v>
      </c>
      <c r="F225">
        <v>760</v>
      </c>
      <c r="G225">
        <v>910</v>
      </c>
      <c r="H225">
        <v>0</v>
      </c>
      <c r="I225">
        <v>4</v>
      </c>
      <c r="J225">
        <v>136</v>
      </c>
      <c r="K225">
        <v>14</v>
      </c>
      <c r="L225" s="10">
        <v>26.93</v>
      </c>
      <c r="M225" s="2">
        <v>392.33300000000003</v>
      </c>
      <c r="N225" s="2">
        <f t="shared" si="5"/>
        <v>153.9</v>
      </c>
      <c r="O225">
        <v>0</v>
      </c>
    </row>
    <row r="226" spans="1:15" x14ac:dyDescent="0.25">
      <c r="A226" s="15"/>
      <c r="B226" s="15"/>
      <c r="C226">
        <v>20</v>
      </c>
      <c r="D226">
        <v>320</v>
      </c>
      <c r="E226">
        <v>80</v>
      </c>
      <c r="F226">
        <v>760</v>
      </c>
      <c r="G226">
        <v>910</v>
      </c>
      <c r="H226">
        <v>0</v>
      </c>
      <c r="I226">
        <v>4</v>
      </c>
      <c r="J226">
        <v>136</v>
      </c>
      <c r="K226">
        <v>56</v>
      </c>
      <c r="L226" s="10">
        <v>33.03</v>
      </c>
      <c r="M226" s="2">
        <v>392.33300000000003</v>
      </c>
      <c r="N226" s="2">
        <f t="shared" si="5"/>
        <v>153.9</v>
      </c>
      <c r="O226">
        <v>0</v>
      </c>
    </row>
    <row r="227" spans="1:15" x14ac:dyDescent="0.25">
      <c r="A227" s="15"/>
      <c r="B227" s="15"/>
      <c r="C227">
        <v>20</v>
      </c>
      <c r="D227">
        <v>320</v>
      </c>
      <c r="E227">
        <v>80</v>
      </c>
      <c r="F227">
        <v>760</v>
      </c>
      <c r="G227">
        <v>910</v>
      </c>
      <c r="H227">
        <v>0</v>
      </c>
      <c r="I227">
        <v>4</v>
      </c>
      <c r="J227">
        <v>136</v>
      </c>
      <c r="K227">
        <v>90</v>
      </c>
      <c r="L227" s="10">
        <v>36.35</v>
      </c>
      <c r="M227" s="2">
        <v>392.33300000000003</v>
      </c>
      <c r="N227" s="2">
        <f t="shared" si="5"/>
        <v>153.9</v>
      </c>
      <c r="O227">
        <v>0</v>
      </c>
    </row>
    <row r="228" spans="1:15" x14ac:dyDescent="0.25">
      <c r="A228" s="15"/>
      <c r="B228" s="15"/>
      <c r="C228">
        <v>25</v>
      </c>
      <c r="D228">
        <v>300</v>
      </c>
      <c r="E228">
        <v>100</v>
      </c>
      <c r="F228">
        <v>760</v>
      </c>
      <c r="G228">
        <v>910</v>
      </c>
      <c r="H228">
        <v>0</v>
      </c>
      <c r="I228">
        <v>4</v>
      </c>
      <c r="J228">
        <v>136</v>
      </c>
      <c r="K228">
        <v>7</v>
      </c>
      <c r="L228" s="10">
        <v>22.18</v>
      </c>
      <c r="M228" s="2">
        <v>392.33300000000003</v>
      </c>
      <c r="N228" s="2">
        <f t="shared" si="5"/>
        <v>146.4</v>
      </c>
      <c r="O228">
        <v>0</v>
      </c>
    </row>
    <row r="229" spans="1:15" x14ac:dyDescent="0.25">
      <c r="A229" s="15"/>
      <c r="B229" s="15"/>
      <c r="C229">
        <v>25</v>
      </c>
      <c r="D229">
        <v>300</v>
      </c>
      <c r="E229">
        <v>100</v>
      </c>
      <c r="F229">
        <v>760</v>
      </c>
      <c r="G229">
        <v>910</v>
      </c>
      <c r="H229">
        <v>0</v>
      </c>
      <c r="I229">
        <v>4</v>
      </c>
      <c r="J229">
        <v>136</v>
      </c>
      <c r="K229">
        <v>14</v>
      </c>
      <c r="L229" s="10">
        <v>26.9</v>
      </c>
      <c r="M229" s="2">
        <v>392.33300000000003</v>
      </c>
      <c r="N229" s="2">
        <f t="shared" si="5"/>
        <v>146.4</v>
      </c>
      <c r="O229">
        <v>0</v>
      </c>
    </row>
    <row r="230" spans="1:15" x14ac:dyDescent="0.25">
      <c r="A230" s="15"/>
      <c r="B230" s="15"/>
      <c r="C230">
        <v>25</v>
      </c>
      <c r="D230">
        <v>300</v>
      </c>
      <c r="E230">
        <v>100</v>
      </c>
      <c r="F230">
        <v>760</v>
      </c>
      <c r="G230">
        <v>910</v>
      </c>
      <c r="H230">
        <v>0</v>
      </c>
      <c r="I230">
        <v>4</v>
      </c>
      <c r="J230">
        <v>136</v>
      </c>
      <c r="K230">
        <v>56</v>
      </c>
      <c r="L230" s="10">
        <v>28.46</v>
      </c>
      <c r="M230" s="2">
        <v>392.33300000000003</v>
      </c>
      <c r="N230" s="2">
        <f t="shared" si="5"/>
        <v>146.4</v>
      </c>
      <c r="O230">
        <v>0</v>
      </c>
    </row>
    <row r="231" spans="1:15" x14ac:dyDescent="0.25">
      <c r="A231" s="15"/>
      <c r="B231" s="15"/>
      <c r="C231">
        <v>25</v>
      </c>
      <c r="D231">
        <v>300</v>
      </c>
      <c r="E231">
        <v>100</v>
      </c>
      <c r="F231">
        <v>760</v>
      </c>
      <c r="G231">
        <v>910</v>
      </c>
      <c r="H231">
        <v>0</v>
      </c>
      <c r="I231">
        <v>4</v>
      </c>
      <c r="J231">
        <v>136</v>
      </c>
      <c r="K231">
        <v>90</v>
      </c>
      <c r="L231" s="10">
        <v>30.79</v>
      </c>
      <c r="M231" s="2">
        <v>392.33300000000003</v>
      </c>
      <c r="N231" s="2">
        <f t="shared" si="5"/>
        <v>146.4</v>
      </c>
      <c r="O231">
        <v>0</v>
      </c>
    </row>
    <row r="232" spans="1:15" x14ac:dyDescent="0.25">
      <c r="A232" s="15"/>
      <c r="B232" s="15"/>
      <c r="C232">
        <v>30</v>
      </c>
      <c r="D232">
        <v>280</v>
      </c>
      <c r="E232">
        <v>120</v>
      </c>
      <c r="F232">
        <v>760</v>
      </c>
      <c r="G232">
        <v>910</v>
      </c>
      <c r="H232">
        <v>0</v>
      </c>
      <c r="I232">
        <v>4</v>
      </c>
      <c r="J232">
        <v>136</v>
      </c>
      <c r="K232">
        <v>7</v>
      </c>
      <c r="L232" s="10">
        <v>25.01</v>
      </c>
      <c r="M232" s="2">
        <v>392.33300000000003</v>
      </c>
      <c r="N232" s="2">
        <f t="shared" si="5"/>
        <v>138.9</v>
      </c>
      <c r="O232">
        <v>0</v>
      </c>
    </row>
    <row r="233" spans="1:15" x14ac:dyDescent="0.25">
      <c r="A233" s="15"/>
      <c r="B233" s="15"/>
      <c r="C233">
        <v>30</v>
      </c>
      <c r="D233">
        <v>280</v>
      </c>
      <c r="E233">
        <v>120</v>
      </c>
      <c r="F233">
        <v>760</v>
      </c>
      <c r="G233">
        <v>910</v>
      </c>
      <c r="H233">
        <v>0</v>
      </c>
      <c r="I233">
        <v>4</v>
      </c>
      <c r="J233">
        <v>136</v>
      </c>
      <c r="K233">
        <v>14</v>
      </c>
      <c r="L233" s="10">
        <v>28.52</v>
      </c>
      <c r="M233" s="2">
        <v>392.33300000000003</v>
      </c>
      <c r="N233" s="2">
        <f t="shared" si="5"/>
        <v>138.9</v>
      </c>
      <c r="O233">
        <v>0</v>
      </c>
    </row>
    <row r="234" spans="1:15" x14ac:dyDescent="0.25">
      <c r="A234" s="15"/>
      <c r="B234" s="15"/>
      <c r="C234">
        <v>30</v>
      </c>
      <c r="D234">
        <v>280</v>
      </c>
      <c r="E234">
        <v>120</v>
      </c>
      <c r="F234">
        <v>760</v>
      </c>
      <c r="G234">
        <v>910</v>
      </c>
      <c r="H234">
        <v>0</v>
      </c>
      <c r="I234">
        <v>4</v>
      </c>
      <c r="J234">
        <v>136</v>
      </c>
      <c r="K234">
        <v>56</v>
      </c>
      <c r="L234" s="10">
        <v>28.48</v>
      </c>
      <c r="M234" s="2">
        <v>392.33300000000003</v>
      </c>
      <c r="N234" s="2">
        <f t="shared" si="5"/>
        <v>138.9</v>
      </c>
      <c r="O234">
        <v>0</v>
      </c>
    </row>
    <row r="235" spans="1:15" x14ac:dyDescent="0.25">
      <c r="A235" s="15"/>
      <c r="B235" s="15"/>
      <c r="C235">
        <v>30</v>
      </c>
      <c r="D235">
        <v>280</v>
      </c>
      <c r="E235">
        <v>120</v>
      </c>
      <c r="F235">
        <v>760</v>
      </c>
      <c r="G235">
        <v>910</v>
      </c>
      <c r="H235">
        <v>0</v>
      </c>
      <c r="I235">
        <v>4</v>
      </c>
      <c r="J235">
        <v>136</v>
      </c>
      <c r="K235">
        <v>90</v>
      </c>
      <c r="L235" s="10">
        <v>32.86</v>
      </c>
      <c r="M235" s="2">
        <v>392.33300000000003</v>
      </c>
      <c r="N235" s="2">
        <f t="shared" si="5"/>
        <v>138.9</v>
      </c>
      <c r="O235">
        <v>0</v>
      </c>
    </row>
    <row r="236" spans="1:15" x14ac:dyDescent="0.25">
      <c r="A236" s="15"/>
      <c r="B236" s="15"/>
      <c r="C236">
        <v>35</v>
      </c>
      <c r="D236">
        <v>260</v>
      </c>
      <c r="E236">
        <v>140</v>
      </c>
      <c r="F236">
        <v>760</v>
      </c>
      <c r="G236">
        <v>910</v>
      </c>
      <c r="H236">
        <v>0</v>
      </c>
      <c r="I236">
        <v>4</v>
      </c>
      <c r="J236">
        <v>136</v>
      </c>
      <c r="K236">
        <v>7</v>
      </c>
      <c r="L236" s="10">
        <v>22.01</v>
      </c>
      <c r="M236" s="2">
        <v>392.33300000000003</v>
      </c>
      <c r="N236" s="2">
        <f t="shared" si="5"/>
        <v>131.4</v>
      </c>
      <c r="O236">
        <v>0</v>
      </c>
    </row>
    <row r="237" spans="1:15" x14ac:dyDescent="0.25">
      <c r="A237" s="15"/>
      <c r="B237" s="15"/>
      <c r="C237">
        <v>35</v>
      </c>
      <c r="D237">
        <v>260</v>
      </c>
      <c r="E237">
        <v>140</v>
      </c>
      <c r="F237">
        <v>760</v>
      </c>
      <c r="G237">
        <v>910</v>
      </c>
      <c r="H237">
        <v>0</v>
      </c>
      <c r="I237">
        <v>4</v>
      </c>
      <c r="J237">
        <v>136</v>
      </c>
      <c r="K237">
        <v>14</v>
      </c>
      <c r="L237" s="10">
        <v>21.86</v>
      </c>
      <c r="M237" s="2">
        <v>392.33300000000003</v>
      </c>
      <c r="N237" s="2">
        <f t="shared" si="5"/>
        <v>131.4</v>
      </c>
      <c r="O237">
        <v>0</v>
      </c>
    </row>
    <row r="238" spans="1:15" x14ac:dyDescent="0.25">
      <c r="A238" s="15"/>
      <c r="B238" s="15"/>
      <c r="C238">
        <v>35</v>
      </c>
      <c r="D238">
        <v>260</v>
      </c>
      <c r="E238">
        <v>140</v>
      </c>
      <c r="F238">
        <v>760</v>
      </c>
      <c r="G238">
        <v>910</v>
      </c>
      <c r="H238">
        <v>0</v>
      </c>
      <c r="I238">
        <v>4</v>
      </c>
      <c r="J238">
        <v>136</v>
      </c>
      <c r="K238">
        <v>56</v>
      </c>
      <c r="L238" s="10">
        <v>32.909999999999997</v>
      </c>
      <c r="M238" s="2">
        <v>392.33300000000003</v>
      </c>
      <c r="N238" s="2">
        <f t="shared" si="5"/>
        <v>131.4</v>
      </c>
      <c r="O238">
        <v>0</v>
      </c>
    </row>
    <row r="239" spans="1:15" x14ac:dyDescent="0.25">
      <c r="A239" s="15"/>
      <c r="B239" s="15"/>
      <c r="C239">
        <v>35</v>
      </c>
      <c r="D239">
        <v>260</v>
      </c>
      <c r="E239">
        <v>140</v>
      </c>
      <c r="F239">
        <v>760</v>
      </c>
      <c r="G239">
        <v>910</v>
      </c>
      <c r="H239">
        <v>0</v>
      </c>
      <c r="I239">
        <v>4</v>
      </c>
      <c r="J239">
        <v>136</v>
      </c>
      <c r="K239">
        <v>90</v>
      </c>
      <c r="L239" s="10">
        <v>31.75</v>
      </c>
      <c r="M239" s="2">
        <v>392.33300000000003</v>
      </c>
      <c r="N239" s="2">
        <f t="shared" si="5"/>
        <v>131.4</v>
      </c>
      <c r="O239">
        <v>0</v>
      </c>
    </row>
    <row r="240" spans="1:15" x14ac:dyDescent="0.25">
      <c r="A240" s="15"/>
      <c r="B240" s="15"/>
      <c r="C240">
        <v>40</v>
      </c>
      <c r="D240">
        <v>240</v>
      </c>
      <c r="E240">
        <v>160</v>
      </c>
      <c r="F240">
        <v>760</v>
      </c>
      <c r="G240">
        <v>910</v>
      </c>
      <c r="H240">
        <v>0</v>
      </c>
      <c r="I240">
        <v>4</v>
      </c>
      <c r="J240">
        <v>136</v>
      </c>
      <c r="K240">
        <v>7</v>
      </c>
      <c r="L240" s="10">
        <v>20.57</v>
      </c>
      <c r="M240" s="2">
        <v>392.33300000000003</v>
      </c>
      <c r="N240" s="2">
        <f t="shared" si="5"/>
        <v>123.89999999999999</v>
      </c>
      <c r="O240">
        <v>0</v>
      </c>
    </row>
    <row r="241" spans="1:15" x14ac:dyDescent="0.25">
      <c r="A241" s="15"/>
      <c r="B241" s="15"/>
      <c r="C241">
        <v>40</v>
      </c>
      <c r="D241">
        <v>240</v>
      </c>
      <c r="E241">
        <v>160</v>
      </c>
      <c r="F241">
        <v>760</v>
      </c>
      <c r="G241">
        <v>910</v>
      </c>
      <c r="H241">
        <v>0</v>
      </c>
      <c r="I241">
        <v>4</v>
      </c>
      <c r="J241">
        <v>136</v>
      </c>
      <c r="K241">
        <v>14</v>
      </c>
      <c r="L241" s="10">
        <v>21.96</v>
      </c>
      <c r="M241" s="2">
        <v>392.33300000000003</v>
      </c>
      <c r="N241" s="2">
        <f t="shared" si="5"/>
        <v>123.89999999999999</v>
      </c>
      <c r="O241">
        <v>0</v>
      </c>
    </row>
    <row r="242" spans="1:15" x14ac:dyDescent="0.25">
      <c r="A242" s="15"/>
      <c r="B242" s="15"/>
      <c r="C242">
        <v>40</v>
      </c>
      <c r="D242">
        <v>240</v>
      </c>
      <c r="E242">
        <v>160</v>
      </c>
      <c r="F242">
        <v>760</v>
      </c>
      <c r="G242">
        <v>910</v>
      </c>
      <c r="H242">
        <v>0</v>
      </c>
      <c r="I242">
        <v>4</v>
      </c>
      <c r="J242">
        <v>136</v>
      </c>
      <c r="K242">
        <v>56</v>
      </c>
      <c r="L242" s="10">
        <v>26.33</v>
      </c>
      <c r="M242" s="2">
        <v>392.33300000000003</v>
      </c>
      <c r="N242" s="2">
        <f t="shared" si="5"/>
        <v>123.89999999999999</v>
      </c>
      <c r="O242">
        <v>0</v>
      </c>
    </row>
    <row r="243" spans="1:15" x14ac:dyDescent="0.25">
      <c r="A243" s="15"/>
      <c r="B243" s="15"/>
      <c r="C243">
        <v>40</v>
      </c>
      <c r="D243">
        <v>240</v>
      </c>
      <c r="E243">
        <v>160</v>
      </c>
      <c r="F243">
        <v>760</v>
      </c>
      <c r="G243">
        <v>910</v>
      </c>
      <c r="H243">
        <v>0</v>
      </c>
      <c r="I243">
        <v>4</v>
      </c>
      <c r="J243">
        <v>136</v>
      </c>
      <c r="K243">
        <v>90</v>
      </c>
      <c r="L243" s="10">
        <v>29.36</v>
      </c>
      <c r="M243" s="2">
        <v>392.33300000000003</v>
      </c>
      <c r="N243" s="2">
        <f t="shared" si="5"/>
        <v>123.89999999999999</v>
      </c>
      <c r="O243">
        <v>0</v>
      </c>
    </row>
    <row r="244" spans="1:15" x14ac:dyDescent="0.25">
      <c r="A244" s="15"/>
      <c r="B244" s="15"/>
      <c r="C244">
        <v>45</v>
      </c>
      <c r="D244">
        <v>220</v>
      </c>
      <c r="E244">
        <v>180</v>
      </c>
      <c r="F244">
        <v>760</v>
      </c>
      <c r="G244">
        <v>910</v>
      </c>
      <c r="H244">
        <v>0</v>
      </c>
      <c r="I244">
        <v>4</v>
      </c>
      <c r="J244">
        <v>136</v>
      </c>
      <c r="K244">
        <v>7</v>
      </c>
      <c r="L244" s="10">
        <v>18.88</v>
      </c>
      <c r="M244" s="2">
        <v>392.33300000000003</v>
      </c>
      <c r="N244" s="2">
        <f t="shared" si="5"/>
        <v>116.39999999999999</v>
      </c>
      <c r="O244">
        <v>0</v>
      </c>
    </row>
    <row r="245" spans="1:15" x14ac:dyDescent="0.25">
      <c r="A245" s="15"/>
      <c r="B245" s="15"/>
      <c r="C245">
        <v>45</v>
      </c>
      <c r="D245">
        <v>220</v>
      </c>
      <c r="E245">
        <v>180</v>
      </c>
      <c r="F245">
        <v>760</v>
      </c>
      <c r="G245">
        <v>910</v>
      </c>
      <c r="H245">
        <v>0</v>
      </c>
      <c r="I245">
        <v>4</v>
      </c>
      <c r="J245">
        <v>136</v>
      </c>
      <c r="K245">
        <v>14</v>
      </c>
      <c r="L245" s="10">
        <v>24.27</v>
      </c>
      <c r="M245" s="2">
        <v>392.33300000000003</v>
      </c>
      <c r="N245" s="2">
        <f t="shared" si="5"/>
        <v>116.39999999999999</v>
      </c>
      <c r="O245">
        <v>0</v>
      </c>
    </row>
    <row r="246" spans="1:15" x14ac:dyDescent="0.25">
      <c r="A246" s="15"/>
      <c r="B246" s="15"/>
      <c r="C246">
        <v>45</v>
      </c>
      <c r="D246">
        <v>220</v>
      </c>
      <c r="E246">
        <v>180</v>
      </c>
      <c r="F246">
        <v>760</v>
      </c>
      <c r="G246">
        <v>910</v>
      </c>
      <c r="H246">
        <v>0</v>
      </c>
      <c r="I246">
        <v>4</v>
      </c>
      <c r="J246">
        <v>136</v>
      </c>
      <c r="K246">
        <v>56</v>
      </c>
      <c r="L246" s="10">
        <v>24.93</v>
      </c>
      <c r="M246" s="2">
        <v>392.33300000000003</v>
      </c>
      <c r="N246" s="2">
        <f t="shared" si="5"/>
        <v>116.39999999999999</v>
      </c>
      <c r="O246">
        <v>0</v>
      </c>
    </row>
    <row r="247" spans="1:15" x14ac:dyDescent="0.25">
      <c r="A247" s="15"/>
      <c r="B247" s="15"/>
      <c r="C247">
        <v>45</v>
      </c>
      <c r="D247">
        <v>220</v>
      </c>
      <c r="E247">
        <v>180</v>
      </c>
      <c r="F247">
        <v>760</v>
      </c>
      <c r="G247">
        <v>910</v>
      </c>
      <c r="H247">
        <v>0</v>
      </c>
      <c r="I247">
        <v>4</v>
      </c>
      <c r="J247">
        <v>136</v>
      </c>
      <c r="K247">
        <v>90</v>
      </c>
      <c r="L247" s="10">
        <v>29.8</v>
      </c>
      <c r="M247" s="2">
        <v>392.33300000000003</v>
      </c>
      <c r="N247" s="2">
        <f t="shared" si="5"/>
        <v>116.39999999999999</v>
      </c>
      <c r="O247">
        <v>0</v>
      </c>
    </row>
    <row r="248" spans="1:15" x14ac:dyDescent="0.25">
      <c r="A248" s="15"/>
      <c r="B248" s="15"/>
      <c r="C248">
        <v>50</v>
      </c>
      <c r="D248">
        <v>200</v>
      </c>
      <c r="E248">
        <v>200</v>
      </c>
      <c r="F248">
        <v>760</v>
      </c>
      <c r="G248">
        <v>910</v>
      </c>
      <c r="H248">
        <v>0</v>
      </c>
      <c r="I248">
        <v>4</v>
      </c>
      <c r="J248">
        <v>136</v>
      </c>
      <c r="K248">
        <v>7</v>
      </c>
      <c r="L248" s="10">
        <v>20.93</v>
      </c>
      <c r="M248" s="2">
        <v>392.33300000000003</v>
      </c>
      <c r="N248" s="2">
        <f t="shared" si="5"/>
        <v>108.89999999999999</v>
      </c>
      <c r="O248">
        <v>0</v>
      </c>
    </row>
    <row r="249" spans="1:15" x14ac:dyDescent="0.25">
      <c r="A249" s="15"/>
      <c r="B249" s="15"/>
      <c r="C249">
        <v>50</v>
      </c>
      <c r="D249">
        <v>200</v>
      </c>
      <c r="E249">
        <v>200</v>
      </c>
      <c r="F249">
        <v>760</v>
      </c>
      <c r="G249">
        <v>910</v>
      </c>
      <c r="H249">
        <v>0</v>
      </c>
      <c r="I249">
        <v>4</v>
      </c>
      <c r="J249">
        <v>136</v>
      </c>
      <c r="K249">
        <v>14</v>
      </c>
      <c r="L249" s="10">
        <v>22.96</v>
      </c>
      <c r="M249" s="2">
        <v>392.33300000000003</v>
      </c>
      <c r="N249" s="2">
        <f t="shared" si="5"/>
        <v>108.89999999999999</v>
      </c>
      <c r="O249">
        <v>0</v>
      </c>
    </row>
    <row r="250" spans="1:15" x14ac:dyDescent="0.25">
      <c r="A250" s="15"/>
      <c r="B250" s="15"/>
      <c r="C250">
        <v>50</v>
      </c>
      <c r="D250">
        <v>200</v>
      </c>
      <c r="E250">
        <v>200</v>
      </c>
      <c r="F250">
        <v>760</v>
      </c>
      <c r="G250">
        <v>910</v>
      </c>
      <c r="H250">
        <v>0</v>
      </c>
      <c r="I250">
        <v>4</v>
      </c>
      <c r="J250">
        <v>136</v>
      </c>
      <c r="K250">
        <v>56</v>
      </c>
      <c r="L250" s="10">
        <v>22.17</v>
      </c>
      <c r="M250" s="2">
        <v>392.33300000000003</v>
      </c>
      <c r="N250" s="2">
        <f t="shared" si="5"/>
        <v>108.89999999999999</v>
      </c>
      <c r="O250">
        <v>0</v>
      </c>
    </row>
    <row r="251" spans="1:15" x14ac:dyDescent="0.25">
      <c r="A251" s="15"/>
      <c r="B251" s="15"/>
      <c r="C251">
        <v>50</v>
      </c>
      <c r="D251">
        <v>200</v>
      </c>
      <c r="E251">
        <v>200</v>
      </c>
      <c r="F251">
        <v>760</v>
      </c>
      <c r="G251">
        <v>910</v>
      </c>
      <c r="H251">
        <v>0</v>
      </c>
      <c r="I251">
        <v>4</v>
      </c>
      <c r="J251">
        <v>136</v>
      </c>
      <c r="K251">
        <v>90</v>
      </c>
      <c r="L251" s="10">
        <v>27.23</v>
      </c>
      <c r="M251" s="2">
        <v>392.33300000000003</v>
      </c>
      <c r="N251" s="2">
        <f t="shared" si="5"/>
        <v>108.89999999999999</v>
      </c>
      <c r="O251">
        <v>0</v>
      </c>
    </row>
    <row r="252" spans="1:15" x14ac:dyDescent="0.25">
      <c r="A252" s="15" t="s">
        <v>23</v>
      </c>
      <c r="B252" s="15" t="s">
        <v>20</v>
      </c>
      <c r="C252">
        <v>0</v>
      </c>
      <c r="D252">
        <v>450</v>
      </c>
      <c r="E252">
        <v>0</v>
      </c>
      <c r="F252">
        <v>682</v>
      </c>
      <c r="G252">
        <v>1023</v>
      </c>
      <c r="H252">
        <v>0</v>
      </c>
      <c r="I252">
        <v>16.5</v>
      </c>
      <c r="J252">
        <v>103.5</v>
      </c>
      <c r="K252">
        <v>7</v>
      </c>
      <c r="L252" s="10">
        <v>17.37</v>
      </c>
      <c r="M252" s="2">
        <v>462.93549999999999</v>
      </c>
      <c r="N252" s="2">
        <f t="shared" si="5"/>
        <v>221.63249999999999</v>
      </c>
      <c r="O252">
        <v>0</v>
      </c>
    </row>
    <row r="253" spans="1:15" x14ac:dyDescent="0.25">
      <c r="A253" s="15"/>
      <c r="B253" s="15"/>
      <c r="C253">
        <v>0</v>
      </c>
      <c r="D253">
        <v>450</v>
      </c>
      <c r="E253">
        <v>0</v>
      </c>
      <c r="F253">
        <v>682</v>
      </c>
      <c r="G253">
        <v>1023</v>
      </c>
      <c r="H253">
        <v>0</v>
      </c>
      <c r="I253">
        <v>16.5</v>
      </c>
      <c r="J253">
        <v>103.5</v>
      </c>
      <c r="K253">
        <v>14</v>
      </c>
      <c r="L253" s="10">
        <v>17.760000000000002</v>
      </c>
      <c r="M253" s="2">
        <v>462.93549999999999</v>
      </c>
      <c r="N253" s="2">
        <f t="shared" si="5"/>
        <v>221.63249999999999</v>
      </c>
      <c r="O253">
        <v>0</v>
      </c>
    </row>
    <row r="254" spans="1:15" x14ac:dyDescent="0.25">
      <c r="A254" s="15"/>
      <c r="B254" s="15"/>
      <c r="C254">
        <v>0</v>
      </c>
      <c r="D254">
        <v>450</v>
      </c>
      <c r="E254">
        <v>0</v>
      </c>
      <c r="F254">
        <v>682</v>
      </c>
      <c r="G254">
        <v>1023</v>
      </c>
      <c r="H254">
        <v>0</v>
      </c>
      <c r="I254">
        <v>16.5</v>
      </c>
      <c r="J254">
        <v>103.5</v>
      </c>
      <c r="K254">
        <v>56</v>
      </c>
      <c r="L254" s="10">
        <v>22.49</v>
      </c>
      <c r="M254" s="2">
        <v>462.93549999999999</v>
      </c>
      <c r="N254" s="2">
        <f t="shared" si="5"/>
        <v>221.63249999999999</v>
      </c>
      <c r="O254">
        <v>0</v>
      </c>
    </row>
    <row r="255" spans="1:15" x14ac:dyDescent="0.25">
      <c r="A255" s="15"/>
      <c r="B255" s="15"/>
      <c r="C255">
        <v>0</v>
      </c>
      <c r="D255">
        <v>450</v>
      </c>
      <c r="E255">
        <v>0</v>
      </c>
      <c r="F255">
        <v>682</v>
      </c>
      <c r="G255">
        <v>1023</v>
      </c>
      <c r="H255">
        <v>0</v>
      </c>
      <c r="I255">
        <v>16.5</v>
      </c>
      <c r="J255">
        <v>103.5</v>
      </c>
      <c r="K255">
        <v>90</v>
      </c>
      <c r="L255" s="10">
        <v>26.32</v>
      </c>
      <c r="M255" s="2">
        <v>462.93549999999999</v>
      </c>
      <c r="N255" s="2">
        <f t="shared" si="5"/>
        <v>221.63249999999999</v>
      </c>
      <c r="O255">
        <v>0</v>
      </c>
    </row>
    <row r="256" spans="1:15" x14ac:dyDescent="0.25">
      <c r="A256" s="15"/>
      <c r="B256" s="15"/>
      <c r="C256">
        <v>5</v>
      </c>
      <c r="D256">
        <v>427.5</v>
      </c>
      <c r="E256">
        <v>22.5</v>
      </c>
      <c r="F256">
        <v>682</v>
      </c>
      <c r="G256">
        <v>1023</v>
      </c>
      <c r="H256">
        <v>0</v>
      </c>
      <c r="I256">
        <v>16.5</v>
      </c>
      <c r="J256">
        <v>103.5</v>
      </c>
      <c r="K256">
        <v>7</v>
      </c>
      <c r="L256" s="10">
        <v>17.829999999999998</v>
      </c>
      <c r="M256" s="2">
        <v>462.93549999999999</v>
      </c>
      <c r="N256" s="2">
        <f t="shared" si="5"/>
        <v>213.19499999999999</v>
      </c>
      <c r="O256">
        <v>0</v>
      </c>
    </row>
    <row r="257" spans="1:15" x14ac:dyDescent="0.25">
      <c r="A257" s="15"/>
      <c r="B257" s="15"/>
      <c r="C257">
        <v>5</v>
      </c>
      <c r="D257">
        <v>427.5</v>
      </c>
      <c r="E257">
        <v>22.5</v>
      </c>
      <c r="F257">
        <v>682</v>
      </c>
      <c r="G257">
        <v>1023</v>
      </c>
      <c r="H257">
        <v>0</v>
      </c>
      <c r="I257">
        <v>16.5</v>
      </c>
      <c r="J257">
        <v>103.5</v>
      </c>
      <c r="K257">
        <v>14</v>
      </c>
      <c r="L257" s="10">
        <v>19.3</v>
      </c>
      <c r="M257" s="2">
        <v>462.93549999999999</v>
      </c>
      <c r="N257" s="2">
        <f t="shared" si="5"/>
        <v>213.19499999999999</v>
      </c>
      <c r="O257">
        <v>0</v>
      </c>
    </row>
    <row r="258" spans="1:15" x14ac:dyDescent="0.25">
      <c r="A258" s="15"/>
      <c r="B258" s="15"/>
      <c r="C258">
        <v>5</v>
      </c>
      <c r="D258">
        <v>427.5</v>
      </c>
      <c r="E258">
        <v>22.5</v>
      </c>
      <c r="F258">
        <v>682</v>
      </c>
      <c r="G258">
        <v>1023</v>
      </c>
      <c r="H258">
        <v>0</v>
      </c>
      <c r="I258">
        <v>16.5</v>
      </c>
      <c r="J258">
        <v>103.5</v>
      </c>
      <c r="K258">
        <v>56</v>
      </c>
      <c r="L258" s="10">
        <v>21.91</v>
      </c>
      <c r="M258" s="2">
        <v>462.93549999999999</v>
      </c>
      <c r="N258" s="2">
        <f t="shared" si="5"/>
        <v>213.19499999999999</v>
      </c>
      <c r="O258">
        <v>0</v>
      </c>
    </row>
    <row r="259" spans="1:15" x14ac:dyDescent="0.25">
      <c r="A259" s="15"/>
      <c r="B259" s="15"/>
      <c r="C259">
        <v>5</v>
      </c>
      <c r="D259">
        <v>427.5</v>
      </c>
      <c r="E259">
        <v>22.5</v>
      </c>
      <c r="F259">
        <v>682</v>
      </c>
      <c r="G259">
        <v>1023</v>
      </c>
      <c r="H259">
        <v>0</v>
      </c>
      <c r="I259">
        <v>16.5</v>
      </c>
      <c r="J259">
        <v>103.5</v>
      </c>
      <c r="K259">
        <v>90</v>
      </c>
      <c r="L259" s="10">
        <v>28.32</v>
      </c>
      <c r="M259" s="2">
        <v>462.93549999999999</v>
      </c>
      <c r="N259" s="2">
        <f t="shared" ref="N259:N322" si="6">SUM((D259*5)+((F259*0.25)+(G259*0.2)+(I259*20)))*0.075</f>
        <v>213.19499999999999</v>
      </c>
      <c r="O259">
        <v>0</v>
      </c>
    </row>
    <row r="260" spans="1:15" x14ac:dyDescent="0.25">
      <c r="A260" s="15"/>
      <c r="B260" s="15"/>
      <c r="C260">
        <v>10</v>
      </c>
      <c r="D260">
        <v>405</v>
      </c>
      <c r="E260">
        <v>45</v>
      </c>
      <c r="F260">
        <v>682</v>
      </c>
      <c r="G260">
        <v>1023</v>
      </c>
      <c r="H260">
        <v>0</v>
      </c>
      <c r="I260">
        <v>16.5</v>
      </c>
      <c r="J260">
        <v>103.5</v>
      </c>
      <c r="K260">
        <v>7</v>
      </c>
      <c r="L260" s="10">
        <v>16.43</v>
      </c>
      <c r="M260" s="2">
        <v>462.93549999999999</v>
      </c>
      <c r="N260" s="2">
        <f t="shared" si="6"/>
        <v>204.75749999999999</v>
      </c>
      <c r="O260">
        <v>0</v>
      </c>
    </row>
    <row r="261" spans="1:15" x14ac:dyDescent="0.25">
      <c r="A261" s="15"/>
      <c r="B261" s="15"/>
      <c r="C261">
        <v>10</v>
      </c>
      <c r="D261">
        <v>405</v>
      </c>
      <c r="E261">
        <v>45</v>
      </c>
      <c r="F261">
        <v>682</v>
      </c>
      <c r="G261">
        <v>1023</v>
      </c>
      <c r="H261">
        <v>0</v>
      </c>
      <c r="I261">
        <v>16.5</v>
      </c>
      <c r="J261">
        <v>103.5</v>
      </c>
      <c r="K261">
        <v>14</v>
      </c>
      <c r="L261" s="10">
        <v>19.420000000000002</v>
      </c>
      <c r="M261" s="2">
        <v>462.93549999999999</v>
      </c>
      <c r="N261" s="2">
        <f t="shared" si="6"/>
        <v>204.75749999999999</v>
      </c>
      <c r="O261">
        <v>0</v>
      </c>
    </row>
    <row r="262" spans="1:15" x14ac:dyDescent="0.25">
      <c r="A262" s="15"/>
      <c r="B262" s="15"/>
      <c r="C262">
        <v>10</v>
      </c>
      <c r="D262">
        <v>405</v>
      </c>
      <c r="E262">
        <v>45</v>
      </c>
      <c r="F262">
        <v>682</v>
      </c>
      <c r="G262">
        <v>1023</v>
      </c>
      <c r="H262">
        <v>0</v>
      </c>
      <c r="I262">
        <v>16.5</v>
      </c>
      <c r="J262">
        <v>103.5</v>
      </c>
      <c r="K262">
        <v>56</v>
      </c>
      <c r="L262" s="10">
        <v>22.21</v>
      </c>
      <c r="M262" s="2">
        <v>462.93549999999999</v>
      </c>
      <c r="N262" s="2">
        <f t="shared" si="6"/>
        <v>204.75749999999999</v>
      </c>
      <c r="O262">
        <v>0</v>
      </c>
    </row>
    <row r="263" spans="1:15" x14ac:dyDescent="0.25">
      <c r="A263" s="15"/>
      <c r="B263" s="15"/>
      <c r="C263">
        <v>10</v>
      </c>
      <c r="D263">
        <v>405</v>
      </c>
      <c r="E263">
        <v>45</v>
      </c>
      <c r="F263">
        <v>682</v>
      </c>
      <c r="G263">
        <v>1023</v>
      </c>
      <c r="H263">
        <v>0</v>
      </c>
      <c r="I263">
        <v>16.5</v>
      </c>
      <c r="J263">
        <v>103.5</v>
      </c>
      <c r="K263">
        <v>90</v>
      </c>
      <c r="L263" s="10">
        <v>24.34</v>
      </c>
      <c r="M263" s="2">
        <v>462.93549999999999</v>
      </c>
      <c r="N263" s="2">
        <f t="shared" si="6"/>
        <v>204.75749999999999</v>
      </c>
      <c r="O263">
        <v>0</v>
      </c>
    </row>
    <row r="264" spans="1:15" x14ac:dyDescent="0.25">
      <c r="A264" s="15"/>
      <c r="B264" s="15"/>
      <c r="C264">
        <v>15</v>
      </c>
      <c r="D264">
        <v>382.5</v>
      </c>
      <c r="E264">
        <v>67.5</v>
      </c>
      <c r="F264">
        <v>682</v>
      </c>
      <c r="G264">
        <v>1023</v>
      </c>
      <c r="H264">
        <v>0</v>
      </c>
      <c r="I264">
        <v>16.5</v>
      </c>
      <c r="J264">
        <v>103.5</v>
      </c>
      <c r="K264">
        <v>7</v>
      </c>
      <c r="L264" s="10">
        <v>17.96</v>
      </c>
      <c r="M264" s="2">
        <v>462.93549999999999</v>
      </c>
      <c r="N264" s="2">
        <f t="shared" si="6"/>
        <v>196.32</v>
      </c>
      <c r="O264">
        <v>0</v>
      </c>
    </row>
    <row r="265" spans="1:15" x14ac:dyDescent="0.25">
      <c r="A265" s="15"/>
      <c r="B265" s="15"/>
      <c r="C265">
        <v>15</v>
      </c>
      <c r="D265">
        <v>382.5</v>
      </c>
      <c r="E265">
        <v>67.5</v>
      </c>
      <c r="F265">
        <v>682</v>
      </c>
      <c r="G265">
        <v>1023</v>
      </c>
      <c r="H265">
        <v>0</v>
      </c>
      <c r="I265">
        <v>16.5</v>
      </c>
      <c r="J265">
        <v>103.5</v>
      </c>
      <c r="K265">
        <v>14</v>
      </c>
      <c r="L265" s="10">
        <v>18.37</v>
      </c>
      <c r="M265" s="2">
        <v>462.93549999999999</v>
      </c>
      <c r="N265" s="2">
        <f t="shared" si="6"/>
        <v>196.32</v>
      </c>
      <c r="O265">
        <v>0</v>
      </c>
    </row>
    <row r="266" spans="1:15" x14ac:dyDescent="0.25">
      <c r="A266" s="15"/>
      <c r="B266" s="15"/>
      <c r="C266">
        <v>15</v>
      </c>
      <c r="D266">
        <v>382.5</v>
      </c>
      <c r="E266">
        <v>67.5</v>
      </c>
      <c r="F266">
        <v>682</v>
      </c>
      <c r="G266">
        <v>1023</v>
      </c>
      <c r="H266">
        <v>0</v>
      </c>
      <c r="I266">
        <v>16.5</v>
      </c>
      <c r="J266">
        <v>103.5</v>
      </c>
      <c r="K266">
        <v>56</v>
      </c>
      <c r="L266" s="10">
        <v>21.81</v>
      </c>
      <c r="M266" s="2">
        <v>462.93549999999999</v>
      </c>
      <c r="N266" s="2">
        <f t="shared" si="6"/>
        <v>196.32</v>
      </c>
      <c r="O266">
        <v>0</v>
      </c>
    </row>
    <row r="267" spans="1:15" x14ac:dyDescent="0.25">
      <c r="A267" s="15"/>
      <c r="B267" s="15"/>
      <c r="C267">
        <v>15</v>
      </c>
      <c r="D267">
        <v>382.5</v>
      </c>
      <c r="E267">
        <v>67.5</v>
      </c>
      <c r="F267">
        <v>682</v>
      </c>
      <c r="G267">
        <v>1023</v>
      </c>
      <c r="H267">
        <v>0</v>
      </c>
      <c r="I267">
        <v>16.5</v>
      </c>
      <c r="J267">
        <v>103.5</v>
      </c>
      <c r="K267">
        <v>90</v>
      </c>
      <c r="L267" s="10">
        <v>23.02</v>
      </c>
      <c r="M267" s="2">
        <v>462.93549999999999</v>
      </c>
      <c r="N267" s="2">
        <f t="shared" si="6"/>
        <v>196.32</v>
      </c>
      <c r="O267">
        <v>0</v>
      </c>
    </row>
    <row r="268" spans="1:15" x14ac:dyDescent="0.25">
      <c r="A268" s="15"/>
      <c r="B268" s="15"/>
      <c r="C268">
        <v>20</v>
      </c>
      <c r="D268">
        <v>360</v>
      </c>
      <c r="E268">
        <v>90</v>
      </c>
      <c r="F268">
        <v>682</v>
      </c>
      <c r="G268">
        <v>1023</v>
      </c>
      <c r="H268">
        <v>0</v>
      </c>
      <c r="I268">
        <v>16.5</v>
      </c>
      <c r="J268">
        <v>103.5</v>
      </c>
      <c r="K268">
        <v>7</v>
      </c>
      <c r="L268" s="10">
        <v>21.02</v>
      </c>
      <c r="M268" s="2">
        <v>462.93549999999999</v>
      </c>
      <c r="N268" s="2">
        <f t="shared" si="6"/>
        <v>187.88249999999999</v>
      </c>
      <c r="O268">
        <v>0</v>
      </c>
    </row>
    <row r="269" spans="1:15" x14ac:dyDescent="0.25">
      <c r="A269" s="15"/>
      <c r="B269" s="15"/>
      <c r="C269">
        <v>20</v>
      </c>
      <c r="D269">
        <v>360</v>
      </c>
      <c r="E269">
        <v>90</v>
      </c>
      <c r="F269">
        <v>682</v>
      </c>
      <c r="G269">
        <v>1023</v>
      </c>
      <c r="H269">
        <v>0</v>
      </c>
      <c r="I269">
        <v>16.5</v>
      </c>
      <c r="J269">
        <v>103.5</v>
      </c>
      <c r="K269">
        <v>14</v>
      </c>
      <c r="L269" s="10">
        <v>17.899999999999999</v>
      </c>
      <c r="M269" s="2">
        <v>462.93549999999999</v>
      </c>
      <c r="N269" s="2">
        <f t="shared" si="6"/>
        <v>187.88249999999999</v>
      </c>
      <c r="O269">
        <v>0</v>
      </c>
    </row>
    <row r="270" spans="1:15" x14ac:dyDescent="0.25">
      <c r="A270" s="15"/>
      <c r="B270" s="15"/>
      <c r="C270">
        <v>20</v>
      </c>
      <c r="D270">
        <v>360</v>
      </c>
      <c r="E270">
        <v>90</v>
      </c>
      <c r="F270">
        <v>682</v>
      </c>
      <c r="G270">
        <v>1023</v>
      </c>
      <c r="H270">
        <v>0</v>
      </c>
      <c r="I270">
        <v>16.5</v>
      </c>
      <c r="J270">
        <v>103.5</v>
      </c>
      <c r="K270">
        <v>56</v>
      </c>
      <c r="L270" s="10">
        <v>21.11</v>
      </c>
      <c r="M270" s="2">
        <v>462.93549999999999</v>
      </c>
      <c r="N270" s="2">
        <f t="shared" si="6"/>
        <v>187.88249999999999</v>
      </c>
      <c r="O270">
        <v>0</v>
      </c>
    </row>
    <row r="271" spans="1:15" x14ac:dyDescent="0.25">
      <c r="A271" s="15"/>
      <c r="B271" s="15"/>
      <c r="C271">
        <v>20</v>
      </c>
      <c r="D271">
        <v>360</v>
      </c>
      <c r="E271">
        <v>90</v>
      </c>
      <c r="F271">
        <v>682</v>
      </c>
      <c r="G271">
        <v>1023</v>
      </c>
      <c r="H271">
        <v>0</v>
      </c>
      <c r="I271">
        <v>16.5</v>
      </c>
      <c r="J271">
        <v>103.5</v>
      </c>
      <c r="K271">
        <v>90</v>
      </c>
      <c r="L271" s="10">
        <v>21.06</v>
      </c>
      <c r="M271" s="2">
        <v>462.93549999999999</v>
      </c>
      <c r="N271" s="2">
        <f t="shared" si="6"/>
        <v>187.88249999999999</v>
      </c>
      <c r="O271">
        <v>0</v>
      </c>
    </row>
    <row r="272" spans="1:15" x14ac:dyDescent="0.25">
      <c r="A272" s="15"/>
      <c r="B272" s="15"/>
      <c r="C272">
        <v>25</v>
      </c>
      <c r="D272">
        <v>337.5</v>
      </c>
      <c r="E272">
        <v>112.5</v>
      </c>
      <c r="F272">
        <v>682</v>
      </c>
      <c r="G272">
        <v>1023</v>
      </c>
      <c r="H272">
        <v>0</v>
      </c>
      <c r="I272">
        <v>16.5</v>
      </c>
      <c r="J272">
        <v>103.5</v>
      </c>
      <c r="K272">
        <v>7</v>
      </c>
      <c r="L272" s="10">
        <v>15.59</v>
      </c>
      <c r="M272" s="2">
        <v>462.93549999999999</v>
      </c>
      <c r="N272" s="2">
        <f t="shared" si="6"/>
        <v>179.44499999999999</v>
      </c>
      <c r="O272">
        <v>0</v>
      </c>
    </row>
    <row r="273" spans="1:15" x14ac:dyDescent="0.25">
      <c r="A273" s="15"/>
      <c r="B273" s="15"/>
      <c r="C273">
        <v>25</v>
      </c>
      <c r="D273">
        <v>337.5</v>
      </c>
      <c r="E273">
        <v>112.5</v>
      </c>
      <c r="F273">
        <v>682</v>
      </c>
      <c r="G273">
        <v>1023</v>
      </c>
      <c r="H273">
        <v>0</v>
      </c>
      <c r="I273">
        <v>16.5</v>
      </c>
      <c r="J273">
        <v>103.5</v>
      </c>
      <c r="K273">
        <v>14</v>
      </c>
      <c r="L273" s="10">
        <v>21.28</v>
      </c>
      <c r="M273" s="2">
        <v>462.93549999999999</v>
      </c>
      <c r="N273" s="2">
        <f t="shared" si="6"/>
        <v>179.44499999999999</v>
      </c>
      <c r="O273">
        <v>0</v>
      </c>
    </row>
    <row r="274" spans="1:15" x14ac:dyDescent="0.25">
      <c r="A274" s="15"/>
      <c r="B274" s="15"/>
      <c r="C274">
        <v>25</v>
      </c>
      <c r="D274">
        <v>337.5</v>
      </c>
      <c r="E274">
        <v>112.5</v>
      </c>
      <c r="F274">
        <v>682</v>
      </c>
      <c r="G274">
        <v>1023</v>
      </c>
      <c r="H274">
        <v>0</v>
      </c>
      <c r="I274">
        <v>16.5</v>
      </c>
      <c r="J274">
        <v>103.5</v>
      </c>
      <c r="K274">
        <v>56</v>
      </c>
      <c r="L274" s="10">
        <v>20.74</v>
      </c>
      <c r="M274" s="2">
        <v>462.93549999999999</v>
      </c>
      <c r="N274" s="2">
        <f t="shared" si="6"/>
        <v>179.44499999999999</v>
      </c>
      <c r="O274">
        <v>0</v>
      </c>
    </row>
    <row r="275" spans="1:15" x14ac:dyDescent="0.25">
      <c r="A275" s="15"/>
      <c r="B275" s="15"/>
      <c r="C275">
        <v>25</v>
      </c>
      <c r="D275">
        <v>337.5</v>
      </c>
      <c r="E275">
        <v>112.5</v>
      </c>
      <c r="F275">
        <v>682</v>
      </c>
      <c r="G275">
        <v>1023</v>
      </c>
      <c r="H275">
        <v>0</v>
      </c>
      <c r="I275">
        <v>16.5</v>
      </c>
      <c r="J275">
        <v>103.5</v>
      </c>
      <c r="K275">
        <v>90</v>
      </c>
      <c r="L275" s="10">
        <v>17.87</v>
      </c>
      <c r="M275" s="2">
        <v>462.93549999999999</v>
      </c>
      <c r="N275" s="2">
        <f t="shared" si="6"/>
        <v>179.44499999999999</v>
      </c>
      <c r="O275">
        <v>0</v>
      </c>
    </row>
    <row r="276" spans="1:15" x14ac:dyDescent="0.25">
      <c r="A276" s="15"/>
      <c r="B276" s="15"/>
      <c r="C276">
        <v>30</v>
      </c>
      <c r="D276">
        <v>315</v>
      </c>
      <c r="E276">
        <v>135</v>
      </c>
      <c r="F276">
        <v>682</v>
      </c>
      <c r="G276">
        <v>1023</v>
      </c>
      <c r="H276">
        <v>0</v>
      </c>
      <c r="I276">
        <v>16.5</v>
      </c>
      <c r="J276">
        <v>103.5</v>
      </c>
      <c r="K276">
        <v>7</v>
      </c>
      <c r="L276" s="10">
        <v>17.260000000000002</v>
      </c>
      <c r="M276" s="2">
        <v>462.93549999999999</v>
      </c>
      <c r="N276" s="2">
        <f t="shared" si="6"/>
        <v>171.00749999999999</v>
      </c>
      <c r="O276">
        <v>0</v>
      </c>
    </row>
    <row r="277" spans="1:15" x14ac:dyDescent="0.25">
      <c r="A277" s="15"/>
      <c r="B277" s="15"/>
      <c r="C277">
        <v>30</v>
      </c>
      <c r="D277">
        <v>315</v>
      </c>
      <c r="E277">
        <v>135</v>
      </c>
      <c r="F277">
        <v>682</v>
      </c>
      <c r="G277">
        <v>1023</v>
      </c>
      <c r="H277">
        <v>0</v>
      </c>
      <c r="I277">
        <v>16.5</v>
      </c>
      <c r="J277">
        <v>103.5</v>
      </c>
      <c r="K277">
        <v>14</v>
      </c>
      <c r="L277" s="10">
        <v>19.579999999999998</v>
      </c>
      <c r="M277" s="2">
        <v>462.93549999999999</v>
      </c>
      <c r="N277" s="2">
        <f t="shared" si="6"/>
        <v>171.00749999999999</v>
      </c>
      <c r="O277">
        <v>0</v>
      </c>
    </row>
    <row r="278" spans="1:15" x14ac:dyDescent="0.25">
      <c r="A278" s="15"/>
      <c r="B278" s="15"/>
      <c r="C278">
        <v>30</v>
      </c>
      <c r="D278">
        <v>315</v>
      </c>
      <c r="E278">
        <v>135</v>
      </c>
      <c r="F278">
        <v>682</v>
      </c>
      <c r="G278">
        <v>1023</v>
      </c>
      <c r="H278">
        <v>0</v>
      </c>
      <c r="I278">
        <v>16.5</v>
      </c>
      <c r="J278">
        <v>103.5</v>
      </c>
      <c r="K278">
        <v>56</v>
      </c>
      <c r="L278" s="10">
        <v>19.600000000000001</v>
      </c>
      <c r="M278" s="2">
        <v>462.93549999999999</v>
      </c>
      <c r="N278" s="2">
        <f t="shared" si="6"/>
        <v>171.00749999999999</v>
      </c>
      <c r="O278">
        <v>0</v>
      </c>
    </row>
    <row r="279" spans="1:15" x14ac:dyDescent="0.25">
      <c r="A279" s="15"/>
      <c r="B279" s="15"/>
      <c r="C279">
        <v>30</v>
      </c>
      <c r="D279">
        <v>315</v>
      </c>
      <c r="E279">
        <v>135</v>
      </c>
      <c r="F279">
        <v>682</v>
      </c>
      <c r="G279">
        <v>1023</v>
      </c>
      <c r="H279">
        <v>0</v>
      </c>
      <c r="I279">
        <v>16.5</v>
      </c>
      <c r="J279">
        <v>103.5</v>
      </c>
      <c r="K279">
        <v>90</v>
      </c>
      <c r="L279" s="10">
        <v>26.04</v>
      </c>
      <c r="M279" s="2">
        <v>462.93549999999999</v>
      </c>
      <c r="N279" s="2">
        <f t="shared" si="6"/>
        <v>171.00749999999999</v>
      </c>
      <c r="O279">
        <v>0</v>
      </c>
    </row>
    <row r="280" spans="1:15" x14ac:dyDescent="0.25">
      <c r="A280" s="15"/>
      <c r="B280" s="15"/>
      <c r="C280">
        <v>35</v>
      </c>
      <c r="D280">
        <v>292.5</v>
      </c>
      <c r="E280">
        <v>157.5</v>
      </c>
      <c r="F280">
        <v>682</v>
      </c>
      <c r="G280">
        <v>1023</v>
      </c>
      <c r="H280">
        <v>0</v>
      </c>
      <c r="I280">
        <v>16.5</v>
      </c>
      <c r="J280">
        <v>103.5</v>
      </c>
      <c r="K280">
        <v>7</v>
      </c>
      <c r="L280" s="10">
        <v>15.64</v>
      </c>
      <c r="M280" s="2">
        <v>462.93549999999999</v>
      </c>
      <c r="N280" s="2">
        <f t="shared" si="6"/>
        <v>162.57</v>
      </c>
      <c r="O280">
        <v>0</v>
      </c>
    </row>
    <row r="281" spans="1:15" x14ac:dyDescent="0.25">
      <c r="A281" s="15"/>
      <c r="B281" s="15"/>
      <c r="C281">
        <v>35</v>
      </c>
      <c r="D281">
        <v>292.5</v>
      </c>
      <c r="E281">
        <v>157.5</v>
      </c>
      <c r="F281">
        <v>682</v>
      </c>
      <c r="G281">
        <v>1023</v>
      </c>
      <c r="H281">
        <v>0</v>
      </c>
      <c r="I281">
        <v>16.5</v>
      </c>
      <c r="J281">
        <v>103.5</v>
      </c>
      <c r="K281">
        <v>14</v>
      </c>
      <c r="L281" s="10">
        <v>14.96</v>
      </c>
      <c r="M281" s="2">
        <v>462.93549999999999</v>
      </c>
      <c r="N281" s="2">
        <f t="shared" si="6"/>
        <v>162.57</v>
      </c>
      <c r="O281">
        <v>0</v>
      </c>
    </row>
    <row r="282" spans="1:15" x14ac:dyDescent="0.25">
      <c r="A282" s="15"/>
      <c r="B282" s="15"/>
      <c r="C282">
        <v>35</v>
      </c>
      <c r="D282">
        <v>292.5</v>
      </c>
      <c r="E282">
        <v>157.5</v>
      </c>
      <c r="F282">
        <v>682</v>
      </c>
      <c r="G282">
        <v>1023</v>
      </c>
      <c r="H282">
        <v>0</v>
      </c>
      <c r="I282">
        <v>16.5</v>
      </c>
      <c r="J282">
        <v>103.5</v>
      </c>
      <c r="K282">
        <v>56</v>
      </c>
      <c r="L282" s="10">
        <v>17.97</v>
      </c>
      <c r="M282" s="2">
        <v>462.93549999999999</v>
      </c>
      <c r="N282" s="2">
        <f t="shared" si="6"/>
        <v>162.57</v>
      </c>
      <c r="O282">
        <v>0</v>
      </c>
    </row>
    <row r="283" spans="1:15" x14ac:dyDescent="0.25">
      <c r="A283" s="15"/>
      <c r="B283" s="15"/>
      <c r="C283">
        <v>35</v>
      </c>
      <c r="D283">
        <v>292.5</v>
      </c>
      <c r="E283">
        <v>157.5</v>
      </c>
      <c r="F283">
        <v>682</v>
      </c>
      <c r="G283">
        <v>1023</v>
      </c>
      <c r="H283">
        <v>0</v>
      </c>
      <c r="I283">
        <v>16.5</v>
      </c>
      <c r="J283">
        <v>103.5</v>
      </c>
      <c r="K283">
        <v>90</v>
      </c>
      <c r="L283" s="10">
        <v>19.760000000000002</v>
      </c>
      <c r="M283" s="2">
        <v>462.93549999999999</v>
      </c>
      <c r="N283" s="2">
        <f t="shared" si="6"/>
        <v>162.57</v>
      </c>
      <c r="O283">
        <v>0</v>
      </c>
    </row>
    <row r="284" spans="1:15" x14ac:dyDescent="0.25">
      <c r="A284" s="15"/>
      <c r="B284" s="15"/>
      <c r="C284">
        <v>40</v>
      </c>
      <c r="D284">
        <v>270</v>
      </c>
      <c r="E284">
        <v>180</v>
      </c>
      <c r="F284">
        <v>682</v>
      </c>
      <c r="G284">
        <v>1023</v>
      </c>
      <c r="H284">
        <v>0</v>
      </c>
      <c r="I284">
        <v>16.5</v>
      </c>
      <c r="J284">
        <v>103.5</v>
      </c>
      <c r="K284">
        <v>7</v>
      </c>
      <c r="L284" s="10">
        <v>15.24</v>
      </c>
      <c r="M284" s="2">
        <v>462.93549999999999</v>
      </c>
      <c r="N284" s="2">
        <f t="shared" si="6"/>
        <v>154.13249999999999</v>
      </c>
      <c r="O284">
        <v>0</v>
      </c>
    </row>
    <row r="285" spans="1:15" x14ac:dyDescent="0.25">
      <c r="A285" s="15"/>
      <c r="B285" s="15"/>
      <c r="C285">
        <v>40</v>
      </c>
      <c r="D285">
        <v>270</v>
      </c>
      <c r="E285">
        <v>180</v>
      </c>
      <c r="F285">
        <v>682</v>
      </c>
      <c r="G285">
        <v>1023</v>
      </c>
      <c r="H285">
        <v>0</v>
      </c>
      <c r="I285">
        <v>16.5</v>
      </c>
      <c r="J285">
        <v>103.5</v>
      </c>
      <c r="K285">
        <v>14</v>
      </c>
      <c r="L285" s="10">
        <v>15.01</v>
      </c>
      <c r="M285" s="2">
        <v>462.93549999999999</v>
      </c>
      <c r="N285" s="2">
        <f t="shared" si="6"/>
        <v>154.13249999999999</v>
      </c>
      <c r="O285">
        <v>0</v>
      </c>
    </row>
    <row r="286" spans="1:15" x14ac:dyDescent="0.25">
      <c r="A286" s="15"/>
      <c r="B286" s="15"/>
      <c r="C286">
        <v>40</v>
      </c>
      <c r="D286">
        <v>270</v>
      </c>
      <c r="E286">
        <v>180</v>
      </c>
      <c r="F286">
        <v>682</v>
      </c>
      <c r="G286">
        <v>1023</v>
      </c>
      <c r="H286">
        <v>0</v>
      </c>
      <c r="I286">
        <v>16.5</v>
      </c>
      <c r="J286">
        <v>103.5</v>
      </c>
      <c r="K286">
        <v>56</v>
      </c>
      <c r="L286" s="10">
        <v>16.98</v>
      </c>
      <c r="M286" s="2">
        <v>462.93549999999999</v>
      </c>
      <c r="N286" s="2">
        <f t="shared" si="6"/>
        <v>154.13249999999999</v>
      </c>
      <c r="O286">
        <v>0</v>
      </c>
    </row>
    <row r="287" spans="1:15" x14ac:dyDescent="0.25">
      <c r="A287" s="15"/>
      <c r="B287" s="15"/>
      <c r="C287">
        <v>40</v>
      </c>
      <c r="D287">
        <v>270</v>
      </c>
      <c r="E287">
        <v>180</v>
      </c>
      <c r="F287">
        <v>682</v>
      </c>
      <c r="G287">
        <v>1023</v>
      </c>
      <c r="H287">
        <v>0</v>
      </c>
      <c r="I287">
        <v>16.5</v>
      </c>
      <c r="J287">
        <v>103.5</v>
      </c>
      <c r="K287">
        <v>90</v>
      </c>
      <c r="L287" s="10">
        <v>20.68</v>
      </c>
      <c r="M287" s="2">
        <v>462.93549999999999</v>
      </c>
      <c r="N287" s="2">
        <f t="shared" si="6"/>
        <v>154.13249999999999</v>
      </c>
      <c r="O287">
        <v>0</v>
      </c>
    </row>
    <row r="288" spans="1:15" x14ac:dyDescent="0.25">
      <c r="A288" s="15"/>
      <c r="B288" s="15"/>
      <c r="C288">
        <v>45</v>
      </c>
      <c r="D288">
        <v>247.5</v>
      </c>
      <c r="E288">
        <v>202.5</v>
      </c>
      <c r="F288">
        <v>682</v>
      </c>
      <c r="G288">
        <v>1023</v>
      </c>
      <c r="H288">
        <v>0</v>
      </c>
      <c r="I288">
        <v>16.5</v>
      </c>
      <c r="J288">
        <v>103.5</v>
      </c>
      <c r="K288">
        <v>7</v>
      </c>
      <c r="L288" s="10">
        <v>12.15</v>
      </c>
      <c r="M288" s="2">
        <v>462.93549999999999</v>
      </c>
      <c r="N288" s="2">
        <f t="shared" si="6"/>
        <v>145.69499999999999</v>
      </c>
      <c r="O288">
        <v>0</v>
      </c>
    </row>
    <row r="289" spans="1:15" x14ac:dyDescent="0.25">
      <c r="A289" s="15"/>
      <c r="B289" s="15"/>
      <c r="C289">
        <v>45</v>
      </c>
      <c r="D289">
        <v>247.5</v>
      </c>
      <c r="E289">
        <v>202.5</v>
      </c>
      <c r="F289">
        <v>682</v>
      </c>
      <c r="G289">
        <v>1023</v>
      </c>
      <c r="H289">
        <v>0</v>
      </c>
      <c r="I289">
        <v>16.5</v>
      </c>
      <c r="J289">
        <v>103.5</v>
      </c>
      <c r="K289">
        <v>14</v>
      </c>
      <c r="L289" s="10">
        <v>18.100000000000001</v>
      </c>
      <c r="M289" s="2">
        <v>462.93549999999999</v>
      </c>
      <c r="N289" s="2">
        <f t="shared" si="6"/>
        <v>145.69499999999999</v>
      </c>
      <c r="O289">
        <v>0</v>
      </c>
    </row>
    <row r="290" spans="1:15" x14ac:dyDescent="0.25">
      <c r="A290" s="15"/>
      <c r="B290" s="15"/>
      <c r="C290">
        <v>45</v>
      </c>
      <c r="D290">
        <v>247.5</v>
      </c>
      <c r="E290">
        <v>202.5</v>
      </c>
      <c r="F290">
        <v>682</v>
      </c>
      <c r="G290">
        <v>1023</v>
      </c>
      <c r="H290">
        <v>0</v>
      </c>
      <c r="I290">
        <v>16.5</v>
      </c>
      <c r="J290">
        <v>103.5</v>
      </c>
      <c r="K290">
        <v>56</v>
      </c>
      <c r="L290" s="10">
        <v>21.94</v>
      </c>
      <c r="M290" s="2">
        <v>462.93549999999999</v>
      </c>
      <c r="N290" s="2">
        <f t="shared" si="6"/>
        <v>145.69499999999999</v>
      </c>
      <c r="O290">
        <v>0</v>
      </c>
    </row>
    <row r="291" spans="1:15" x14ac:dyDescent="0.25">
      <c r="A291" s="15"/>
      <c r="B291" s="15"/>
      <c r="C291">
        <v>45</v>
      </c>
      <c r="D291">
        <v>247.5</v>
      </c>
      <c r="E291">
        <v>202.5</v>
      </c>
      <c r="F291">
        <v>682</v>
      </c>
      <c r="G291">
        <v>1023</v>
      </c>
      <c r="H291">
        <v>0</v>
      </c>
      <c r="I291">
        <v>16.5</v>
      </c>
      <c r="J291">
        <v>103.5</v>
      </c>
      <c r="K291">
        <v>90</v>
      </c>
      <c r="L291" s="10">
        <v>16.649999999999999</v>
      </c>
      <c r="M291" s="2">
        <v>462.93549999999999</v>
      </c>
      <c r="N291" s="2">
        <f t="shared" si="6"/>
        <v>145.69499999999999</v>
      </c>
      <c r="O291">
        <v>0</v>
      </c>
    </row>
    <row r="292" spans="1:15" x14ac:dyDescent="0.25">
      <c r="A292" s="15"/>
      <c r="B292" s="15"/>
      <c r="C292">
        <v>50</v>
      </c>
      <c r="D292">
        <v>225</v>
      </c>
      <c r="E292">
        <v>225</v>
      </c>
      <c r="F292">
        <v>682</v>
      </c>
      <c r="G292">
        <v>1023</v>
      </c>
      <c r="H292">
        <v>0</v>
      </c>
      <c r="I292">
        <v>16.5</v>
      </c>
      <c r="J292">
        <v>103.5</v>
      </c>
      <c r="K292">
        <v>7</v>
      </c>
      <c r="L292" s="10">
        <v>16.41</v>
      </c>
      <c r="M292" s="2">
        <v>462.93549999999999</v>
      </c>
      <c r="N292" s="2">
        <f t="shared" si="6"/>
        <v>137.25749999999999</v>
      </c>
      <c r="O292">
        <v>0</v>
      </c>
    </row>
    <row r="293" spans="1:15" x14ac:dyDescent="0.25">
      <c r="A293" s="15"/>
      <c r="B293" s="15"/>
      <c r="C293">
        <v>50</v>
      </c>
      <c r="D293">
        <v>225</v>
      </c>
      <c r="E293">
        <v>225</v>
      </c>
      <c r="F293">
        <v>682</v>
      </c>
      <c r="G293">
        <v>1023</v>
      </c>
      <c r="H293">
        <v>0</v>
      </c>
      <c r="I293">
        <v>16.5</v>
      </c>
      <c r="J293">
        <v>103.5</v>
      </c>
      <c r="K293">
        <v>14</v>
      </c>
      <c r="L293" s="10">
        <v>14.65</v>
      </c>
      <c r="M293" s="2">
        <v>462.93549999999999</v>
      </c>
      <c r="N293" s="2">
        <f t="shared" si="6"/>
        <v>137.25749999999999</v>
      </c>
      <c r="O293">
        <v>0</v>
      </c>
    </row>
    <row r="294" spans="1:15" x14ac:dyDescent="0.25">
      <c r="A294" s="15"/>
      <c r="B294" s="15"/>
      <c r="C294">
        <v>50</v>
      </c>
      <c r="D294">
        <v>225</v>
      </c>
      <c r="E294">
        <v>225</v>
      </c>
      <c r="F294">
        <v>682</v>
      </c>
      <c r="G294">
        <v>1023</v>
      </c>
      <c r="H294">
        <v>0</v>
      </c>
      <c r="I294">
        <v>16.5</v>
      </c>
      <c r="J294">
        <v>103.5</v>
      </c>
      <c r="K294">
        <v>56</v>
      </c>
      <c r="L294" s="10">
        <v>15.19</v>
      </c>
      <c r="M294" s="2">
        <v>462.93549999999999</v>
      </c>
      <c r="N294" s="2">
        <f t="shared" si="6"/>
        <v>137.25749999999999</v>
      </c>
      <c r="O294">
        <v>0</v>
      </c>
    </row>
    <row r="295" spans="1:15" x14ac:dyDescent="0.25">
      <c r="A295" s="15"/>
      <c r="B295" s="15"/>
      <c r="C295">
        <v>50</v>
      </c>
      <c r="D295">
        <v>225</v>
      </c>
      <c r="E295">
        <v>225</v>
      </c>
      <c r="F295">
        <v>682</v>
      </c>
      <c r="G295">
        <v>1023</v>
      </c>
      <c r="H295">
        <v>0</v>
      </c>
      <c r="I295">
        <v>16.5</v>
      </c>
      <c r="J295">
        <v>103.5</v>
      </c>
      <c r="K295">
        <v>90</v>
      </c>
      <c r="L295" s="10">
        <v>18.61</v>
      </c>
      <c r="M295" s="2">
        <v>462.93549999999999</v>
      </c>
      <c r="N295" s="2">
        <f t="shared" si="6"/>
        <v>137.25749999999999</v>
      </c>
      <c r="O295">
        <v>0</v>
      </c>
    </row>
    <row r="296" spans="1:15" x14ac:dyDescent="0.25">
      <c r="A296" s="15" t="s">
        <v>24</v>
      </c>
      <c r="B296" s="15" t="s">
        <v>25</v>
      </c>
      <c r="C296">
        <v>0</v>
      </c>
      <c r="D296">
        <v>565</v>
      </c>
      <c r="E296">
        <v>0</v>
      </c>
      <c r="F296">
        <v>368</v>
      </c>
      <c r="G296">
        <v>960</v>
      </c>
      <c r="H296">
        <v>0</v>
      </c>
      <c r="I296">
        <v>3.4</v>
      </c>
      <c r="J296">
        <v>170</v>
      </c>
      <c r="K296">
        <v>7</v>
      </c>
      <c r="L296" s="10">
        <v>34.299999999999997</v>
      </c>
      <c r="M296" s="2">
        <v>524.92919999999992</v>
      </c>
      <c r="N296" s="2">
        <f t="shared" si="6"/>
        <v>238.27499999999998</v>
      </c>
      <c r="O296">
        <v>0</v>
      </c>
    </row>
    <row r="297" spans="1:15" x14ac:dyDescent="0.25">
      <c r="A297" s="15"/>
      <c r="B297" s="15"/>
      <c r="C297">
        <v>0</v>
      </c>
      <c r="D297">
        <v>565</v>
      </c>
      <c r="E297">
        <v>0</v>
      </c>
      <c r="F297">
        <v>368</v>
      </c>
      <c r="G297">
        <v>960</v>
      </c>
      <c r="H297">
        <v>0</v>
      </c>
      <c r="I297">
        <v>3.4</v>
      </c>
      <c r="J297">
        <v>170</v>
      </c>
      <c r="K297">
        <v>14</v>
      </c>
      <c r="L297" s="10">
        <v>36.57</v>
      </c>
      <c r="M297" s="2">
        <v>524.92919999999992</v>
      </c>
      <c r="N297" s="2">
        <f t="shared" si="6"/>
        <v>238.27499999999998</v>
      </c>
      <c r="O297">
        <v>0</v>
      </c>
    </row>
    <row r="298" spans="1:15" x14ac:dyDescent="0.25">
      <c r="A298" s="15"/>
      <c r="B298" s="15"/>
      <c r="C298">
        <v>0</v>
      </c>
      <c r="D298">
        <v>565</v>
      </c>
      <c r="E298">
        <v>0</v>
      </c>
      <c r="F298">
        <v>368</v>
      </c>
      <c r="G298">
        <v>960</v>
      </c>
      <c r="H298">
        <v>0</v>
      </c>
      <c r="I298">
        <v>3.4</v>
      </c>
      <c r="J298">
        <v>170</v>
      </c>
      <c r="K298">
        <v>56</v>
      </c>
      <c r="L298" s="10">
        <v>43.62</v>
      </c>
      <c r="M298" s="2">
        <v>524.92919999999992</v>
      </c>
      <c r="N298" s="2">
        <f t="shared" si="6"/>
        <v>238.27499999999998</v>
      </c>
      <c r="O298">
        <v>0</v>
      </c>
    </row>
    <row r="299" spans="1:15" x14ac:dyDescent="0.25">
      <c r="A299" s="15"/>
      <c r="B299" s="15"/>
      <c r="C299">
        <v>0</v>
      </c>
      <c r="D299">
        <v>565</v>
      </c>
      <c r="E299">
        <v>0</v>
      </c>
      <c r="F299">
        <v>368</v>
      </c>
      <c r="G299">
        <v>960</v>
      </c>
      <c r="H299">
        <v>0</v>
      </c>
      <c r="I299">
        <v>3.4</v>
      </c>
      <c r="J299">
        <v>170</v>
      </c>
      <c r="K299">
        <v>90</v>
      </c>
      <c r="L299" s="10">
        <v>47.61</v>
      </c>
      <c r="M299" s="2">
        <v>524.92919999999992</v>
      </c>
      <c r="N299" s="2">
        <f t="shared" si="6"/>
        <v>238.27499999999998</v>
      </c>
      <c r="O299">
        <v>0</v>
      </c>
    </row>
    <row r="300" spans="1:15" x14ac:dyDescent="0.25">
      <c r="A300" s="15"/>
      <c r="B300" s="15"/>
      <c r="C300">
        <v>5</v>
      </c>
      <c r="D300">
        <v>536.75</v>
      </c>
      <c r="E300">
        <v>28.25</v>
      </c>
      <c r="F300">
        <v>368</v>
      </c>
      <c r="G300">
        <v>960</v>
      </c>
      <c r="H300">
        <v>0</v>
      </c>
      <c r="I300">
        <v>3.4</v>
      </c>
      <c r="J300">
        <v>170</v>
      </c>
      <c r="K300">
        <v>7</v>
      </c>
      <c r="L300" s="10">
        <v>30.84</v>
      </c>
      <c r="M300" s="2">
        <v>524.92919999999992</v>
      </c>
      <c r="N300" s="2">
        <f t="shared" si="6"/>
        <v>227.68125000000001</v>
      </c>
      <c r="O300">
        <v>0</v>
      </c>
    </row>
    <row r="301" spans="1:15" x14ac:dyDescent="0.25">
      <c r="A301" s="15"/>
      <c r="B301" s="15"/>
      <c r="C301">
        <v>5</v>
      </c>
      <c r="D301">
        <v>536.75</v>
      </c>
      <c r="E301">
        <v>28.25</v>
      </c>
      <c r="F301">
        <v>368</v>
      </c>
      <c r="G301">
        <v>960</v>
      </c>
      <c r="H301">
        <v>0</v>
      </c>
      <c r="I301">
        <v>3.4</v>
      </c>
      <c r="J301">
        <v>170</v>
      </c>
      <c r="K301">
        <v>14</v>
      </c>
      <c r="L301" s="10">
        <v>34.79</v>
      </c>
      <c r="M301" s="2">
        <v>524.92919999999992</v>
      </c>
      <c r="N301" s="2">
        <f t="shared" si="6"/>
        <v>227.68125000000001</v>
      </c>
      <c r="O301">
        <v>0</v>
      </c>
    </row>
    <row r="302" spans="1:15" x14ac:dyDescent="0.25">
      <c r="A302" s="15"/>
      <c r="B302" s="15"/>
      <c r="C302">
        <v>5</v>
      </c>
      <c r="D302">
        <v>536.75</v>
      </c>
      <c r="E302">
        <v>28.25</v>
      </c>
      <c r="F302">
        <v>368</v>
      </c>
      <c r="G302">
        <v>960</v>
      </c>
      <c r="H302">
        <v>0</v>
      </c>
      <c r="I302">
        <v>3.4</v>
      </c>
      <c r="J302">
        <v>170</v>
      </c>
      <c r="K302">
        <v>56</v>
      </c>
      <c r="L302" s="10">
        <v>43.59</v>
      </c>
      <c r="M302" s="2">
        <v>524.92919999999992</v>
      </c>
      <c r="N302" s="2">
        <f t="shared" si="6"/>
        <v>227.68125000000001</v>
      </c>
      <c r="O302">
        <v>0</v>
      </c>
    </row>
    <row r="303" spans="1:15" x14ac:dyDescent="0.25">
      <c r="A303" s="15"/>
      <c r="B303" s="15"/>
      <c r="C303">
        <v>5</v>
      </c>
      <c r="D303">
        <v>536.75</v>
      </c>
      <c r="E303">
        <v>28.25</v>
      </c>
      <c r="F303">
        <v>368</v>
      </c>
      <c r="G303">
        <v>960</v>
      </c>
      <c r="H303">
        <v>0</v>
      </c>
      <c r="I303">
        <v>3.4</v>
      </c>
      <c r="J303">
        <v>170</v>
      </c>
      <c r="K303">
        <v>90</v>
      </c>
      <c r="L303" s="10">
        <v>46.63</v>
      </c>
      <c r="M303" s="2">
        <v>524.92919999999992</v>
      </c>
      <c r="N303" s="2">
        <f t="shared" si="6"/>
        <v>227.68125000000001</v>
      </c>
      <c r="O303">
        <v>0</v>
      </c>
    </row>
    <row r="304" spans="1:15" x14ac:dyDescent="0.25">
      <c r="A304" s="15"/>
      <c r="B304" s="15"/>
      <c r="C304">
        <v>10</v>
      </c>
      <c r="D304">
        <v>508.5</v>
      </c>
      <c r="E304">
        <v>56.5</v>
      </c>
      <c r="F304">
        <v>368</v>
      </c>
      <c r="G304">
        <v>960</v>
      </c>
      <c r="H304">
        <v>0</v>
      </c>
      <c r="I304">
        <v>3.4</v>
      </c>
      <c r="J304">
        <v>170</v>
      </c>
      <c r="K304">
        <v>7</v>
      </c>
      <c r="L304" s="10">
        <v>30.02</v>
      </c>
      <c r="M304" s="2">
        <v>524.92919999999992</v>
      </c>
      <c r="N304" s="2">
        <f t="shared" si="6"/>
        <v>217.08750000000001</v>
      </c>
      <c r="O304">
        <v>0</v>
      </c>
    </row>
    <row r="305" spans="1:15" x14ac:dyDescent="0.25">
      <c r="A305" s="15"/>
      <c r="B305" s="15"/>
      <c r="C305">
        <v>10</v>
      </c>
      <c r="D305">
        <v>508.5</v>
      </c>
      <c r="E305">
        <v>56.5</v>
      </c>
      <c r="F305">
        <v>368</v>
      </c>
      <c r="G305">
        <v>960</v>
      </c>
      <c r="H305">
        <v>0</v>
      </c>
      <c r="I305">
        <v>3.4</v>
      </c>
      <c r="J305">
        <v>170</v>
      </c>
      <c r="K305">
        <v>14</v>
      </c>
      <c r="L305" s="10">
        <v>30.65</v>
      </c>
      <c r="M305" s="2">
        <v>524.92919999999992</v>
      </c>
      <c r="N305" s="2">
        <f t="shared" si="6"/>
        <v>217.08750000000001</v>
      </c>
      <c r="O305">
        <v>0</v>
      </c>
    </row>
    <row r="306" spans="1:15" x14ac:dyDescent="0.25">
      <c r="A306" s="15"/>
      <c r="B306" s="15"/>
      <c r="C306">
        <v>10</v>
      </c>
      <c r="D306">
        <v>508.5</v>
      </c>
      <c r="E306">
        <v>56.5</v>
      </c>
      <c r="F306">
        <v>368</v>
      </c>
      <c r="G306">
        <v>960</v>
      </c>
      <c r="H306">
        <v>0</v>
      </c>
      <c r="I306">
        <v>3.4</v>
      </c>
      <c r="J306">
        <v>170</v>
      </c>
      <c r="K306">
        <v>56</v>
      </c>
      <c r="L306" s="10">
        <v>40.26</v>
      </c>
      <c r="M306" s="2">
        <v>524.92919999999992</v>
      </c>
      <c r="N306" s="2">
        <f t="shared" si="6"/>
        <v>217.08750000000001</v>
      </c>
      <c r="O306">
        <v>0</v>
      </c>
    </row>
    <row r="307" spans="1:15" x14ac:dyDescent="0.25">
      <c r="A307" s="15"/>
      <c r="B307" s="15"/>
      <c r="C307">
        <v>10</v>
      </c>
      <c r="D307">
        <v>508.5</v>
      </c>
      <c r="E307">
        <v>56.5</v>
      </c>
      <c r="F307">
        <v>368</v>
      </c>
      <c r="G307">
        <v>960</v>
      </c>
      <c r="H307">
        <v>0</v>
      </c>
      <c r="I307">
        <v>3.4</v>
      </c>
      <c r="J307">
        <v>170</v>
      </c>
      <c r="K307">
        <v>90</v>
      </c>
      <c r="L307" s="10">
        <v>39.64</v>
      </c>
      <c r="M307" s="2">
        <v>524.92919999999992</v>
      </c>
      <c r="N307" s="2">
        <f t="shared" si="6"/>
        <v>217.08750000000001</v>
      </c>
      <c r="O307">
        <v>0</v>
      </c>
    </row>
    <row r="308" spans="1:15" x14ac:dyDescent="0.25">
      <c r="A308" s="15"/>
      <c r="B308" s="15"/>
      <c r="C308">
        <v>15</v>
      </c>
      <c r="D308">
        <v>480.25</v>
      </c>
      <c r="E308">
        <v>84.75</v>
      </c>
      <c r="F308">
        <v>368</v>
      </c>
      <c r="G308">
        <v>960</v>
      </c>
      <c r="H308">
        <v>0</v>
      </c>
      <c r="I308">
        <v>3.4</v>
      </c>
      <c r="J308">
        <v>170</v>
      </c>
      <c r="K308">
        <v>7</v>
      </c>
      <c r="L308" s="10">
        <v>33.229999999999997</v>
      </c>
      <c r="M308" s="2">
        <v>524.92919999999992</v>
      </c>
      <c r="N308" s="2">
        <f t="shared" si="6"/>
        <v>206.49375000000001</v>
      </c>
      <c r="O308">
        <v>0</v>
      </c>
    </row>
    <row r="309" spans="1:15" x14ac:dyDescent="0.25">
      <c r="A309" s="15"/>
      <c r="B309" s="15"/>
      <c r="C309">
        <v>15</v>
      </c>
      <c r="D309">
        <v>480.25</v>
      </c>
      <c r="E309">
        <v>84.75</v>
      </c>
      <c r="F309">
        <v>368</v>
      </c>
      <c r="G309">
        <v>960</v>
      </c>
      <c r="H309">
        <v>0</v>
      </c>
      <c r="I309">
        <v>3.4</v>
      </c>
      <c r="J309">
        <v>170</v>
      </c>
      <c r="K309">
        <v>14</v>
      </c>
      <c r="L309" s="10">
        <v>29.87</v>
      </c>
      <c r="M309" s="2">
        <v>524.92919999999992</v>
      </c>
      <c r="N309" s="2">
        <f t="shared" si="6"/>
        <v>206.49375000000001</v>
      </c>
      <c r="O309">
        <v>0</v>
      </c>
    </row>
    <row r="310" spans="1:15" x14ac:dyDescent="0.25">
      <c r="A310" s="15"/>
      <c r="B310" s="15"/>
      <c r="C310">
        <v>15</v>
      </c>
      <c r="D310">
        <v>480.25</v>
      </c>
      <c r="E310">
        <v>84.75</v>
      </c>
      <c r="F310">
        <v>368</v>
      </c>
      <c r="G310">
        <v>960</v>
      </c>
      <c r="H310">
        <v>0</v>
      </c>
      <c r="I310">
        <v>3.4</v>
      </c>
      <c r="J310">
        <v>170</v>
      </c>
      <c r="K310">
        <v>56</v>
      </c>
      <c r="L310" s="10">
        <v>38.29</v>
      </c>
      <c r="M310" s="2">
        <v>524.92919999999992</v>
      </c>
      <c r="N310" s="2">
        <f t="shared" si="6"/>
        <v>206.49375000000001</v>
      </c>
      <c r="O310">
        <v>0</v>
      </c>
    </row>
    <row r="311" spans="1:15" x14ac:dyDescent="0.25">
      <c r="A311" s="15"/>
      <c r="B311" s="15"/>
      <c r="C311">
        <v>15</v>
      </c>
      <c r="D311">
        <v>480.25</v>
      </c>
      <c r="E311">
        <v>84.75</v>
      </c>
      <c r="F311">
        <v>368</v>
      </c>
      <c r="G311">
        <v>960</v>
      </c>
      <c r="H311">
        <v>0</v>
      </c>
      <c r="I311">
        <v>3.4</v>
      </c>
      <c r="J311">
        <v>170</v>
      </c>
      <c r="K311">
        <v>90</v>
      </c>
      <c r="L311" s="10">
        <v>40.770000000000003</v>
      </c>
      <c r="M311" s="2">
        <v>524.92919999999992</v>
      </c>
      <c r="N311" s="2">
        <f t="shared" si="6"/>
        <v>206.49375000000001</v>
      </c>
      <c r="O311">
        <v>0</v>
      </c>
    </row>
    <row r="312" spans="1:15" x14ac:dyDescent="0.25">
      <c r="A312" s="15"/>
      <c r="B312" s="15"/>
      <c r="C312">
        <v>20</v>
      </c>
      <c r="D312">
        <v>452</v>
      </c>
      <c r="E312">
        <v>113</v>
      </c>
      <c r="F312">
        <v>368</v>
      </c>
      <c r="G312">
        <v>960</v>
      </c>
      <c r="H312">
        <v>0</v>
      </c>
      <c r="I312">
        <v>3.4</v>
      </c>
      <c r="J312">
        <v>170</v>
      </c>
      <c r="K312">
        <v>7</v>
      </c>
      <c r="L312" s="10">
        <v>30.3</v>
      </c>
      <c r="M312" s="2">
        <v>524.92919999999992</v>
      </c>
      <c r="N312" s="2">
        <f t="shared" si="6"/>
        <v>195.9</v>
      </c>
      <c r="O312">
        <v>0</v>
      </c>
    </row>
    <row r="313" spans="1:15" x14ac:dyDescent="0.25">
      <c r="A313" s="15"/>
      <c r="B313" s="15"/>
      <c r="C313">
        <v>20</v>
      </c>
      <c r="D313">
        <v>452</v>
      </c>
      <c r="E313">
        <v>113</v>
      </c>
      <c r="F313">
        <v>368</v>
      </c>
      <c r="G313">
        <v>960</v>
      </c>
      <c r="H313">
        <v>0</v>
      </c>
      <c r="I313">
        <v>3.4</v>
      </c>
      <c r="J313">
        <v>170</v>
      </c>
      <c r="K313">
        <v>14</v>
      </c>
      <c r="L313" s="10">
        <v>34.04</v>
      </c>
      <c r="M313" s="2">
        <v>524.92919999999992</v>
      </c>
      <c r="N313" s="2">
        <f t="shared" si="6"/>
        <v>195.9</v>
      </c>
      <c r="O313">
        <v>0</v>
      </c>
    </row>
    <row r="314" spans="1:15" x14ac:dyDescent="0.25">
      <c r="A314" s="15"/>
      <c r="B314" s="15"/>
      <c r="C314">
        <v>20</v>
      </c>
      <c r="D314">
        <v>452</v>
      </c>
      <c r="E314">
        <v>113</v>
      </c>
      <c r="F314">
        <v>368</v>
      </c>
      <c r="G314">
        <v>960</v>
      </c>
      <c r="H314">
        <v>0</v>
      </c>
      <c r="I314">
        <v>3.4</v>
      </c>
      <c r="J314">
        <v>170</v>
      </c>
      <c r="K314">
        <v>56</v>
      </c>
      <c r="L314" s="10">
        <v>35.340000000000003</v>
      </c>
      <c r="M314" s="2">
        <v>524.92919999999992</v>
      </c>
      <c r="N314" s="2">
        <f t="shared" si="6"/>
        <v>195.9</v>
      </c>
      <c r="O314">
        <v>0</v>
      </c>
    </row>
    <row r="315" spans="1:15" x14ac:dyDescent="0.25">
      <c r="A315" s="15"/>
      <c r="B315" s="15"/>
      <c r="C315">
        <v>20</v>
      </c>
      <c r="D315">
        <v>452</v>
      </c>
      <c r="E315">
        <v>113</v>
      </c>
      <c r="F315">
        <v>368</v>
      </c>
      <c r="G315">
        <v>960</v>
      </c>
      <c r="H315">
        <v>0</v>
      </c>
      <c r="I315">
        <v>3.4</v>
      </c>
      <c r="J315">
        <v>170</v>
      </c>
      <c r="K315">
        <v>90</v>
      </c>
      <c r="L315" s="10">
        <v>39.65</v>
      </c>
      <c r="M315" s="2">
        <v>524.92919999999992</v>
      </c>
      <c r="N315" s="2">
        <f t="shared" si="6"/>
        <v>195.9</v>
      </c>
      <c r="O315">
        <v>0</v>
      </c>
    </row>
    <row r="316" spans="1:15" x14ac:dyDescent="0.25">
      <c r="A316" s="15"/>
      <c r="B316" s="15"/>
      <c r="C316">
        <v>25</v>
      </c>
      <c r="D316">
        <v>423.75</v>
      </c>
      <c r="E316">
        <v>141.25</v>
      </c>
      <c r="F316">
        <v>368</v>
      </c>
      <c r="G316">
        <v>960</v>
      </c>
      <c r="H316">
        <v>0</v>
      </c>
      <c r="I316">
        <v>3.4</v>
      </c>
      <c r="J316">
        <v>170</v>
      </c>
      <c r="K316">
        <v>7</v>
      </c>
      <c r="L316" s="10">
        <v>27.87</v>
      </c>
      <c r="M316" s="2">
        <v>524.92919999999992</v>
      </c>
      <c r="N316" s="2">
        <f t="shared" si="6"/>
        <v>185.30625000000001</v>
      </c>
      <c r="O316">
        <v>0</v>
      </c>
    </row>
    <row r="317" spans="1:15" x14ac:dyDescent="0.25">
      <c r="A317" s="15"/>
      <c r="B317" s="15"/>
      <c r="C317">
        <v>25</v>
      </c>
      <c r="D317">
        <v>423.75</v>
      </c>
      <c r="E317">
        <v>141.25</v>
      </c>
      <c r="F317">
        <v>368</v>
      </c>
      <c r="G317">
        <v>960</v>
      </c>
      <c r="H317">
        <v>0</v>
      </c>
      <c r="I317">
        <v>3.4</v>
      </c>
      <c r="J317">
        <v>170</v>
      </c>
      <c r="K317">
        <v>14</v>
      </c>
      <c r="L317" s="10">
        <v>30.42</v>
      </c>
      <c r="M317" s="2">
        <v>524.92919999999992</v>
      </c>
      <c r="N317" s="2">
        <f t="shared" si="6"/>
        <v>185.30625000000001</v>
      </c>
      <c r="O317">
        <v>0</v>
      </c>
    </row>
    <row r="318" spans="1:15" x14ac:dyDescent="0.25">
      <c r="A318" s="15"/>
      <c r="B318" s="15"/>
      <c r="C318">
        <v>25</v>
      </c>
      <c r="D318">
        <v>423.75</v>
      </c>
      <c r="E318">
        <v>141.25</v>
      </c>
      <c r="F318">
        <v>368</v>
      </c>
      <c r="G318">
        <v>960</v>
      </c>
      <c r="H318">
        <v>0</v>
      </c>
      <c r="I318">
        <v>3.4</v>
      </c>
      <c r="J318">
        <v>170</v>
      </c>
      <c r="K318">
        <v>56</v>
      </c>
      <c r="L318" s="10">
        <v>35.18</v>
      </c>
      <c r="M318" s="2">
        <v>524.92919999999992</v>
      </c>
      <c r="N318" s="2">
        <f t="shared" si="6"/>
        <v>185.30625000000001</v>
      </c>
      <c r="O318">
        <v>0</v>
      </c>
    </row>
    <row r="319" spans="1:15" x14ac:dyDescent="0.25">
      <c r="A319" s="15"/>
      <c r="B319" s="15"/>
      <c r="C319">
        <v>25</v>
      </c>
      <c r="D319">
        <v>423.75</v>
      </c>
      <c r="E319">
        <v>141.25</v>
      </c>
      <c r="F319">
        <v>368</v>
      </c>
      <c r="G319">
        <v>960</v>
      </c>
      <c r="H319">
        <v>0</v>
      </c>
      <c r="I319">
        <v>3.4</v>
      </c>
      <c r="J319">
        <v>170</v>
      </c>
      <c r="K319">
        <v>90</v>
      </c>
      <c r="L319" s="10">
        <v>37.1</v>
      </c>
      <c r="M319" s="2">
        <v>524.92919999999992</v>
      </c>
      <c r="N319" s="2">
        <f t="shared" si="6"/>
        <v>185.30625000000001</v>
      </c>
      <c r="O319">
        <v>0</v>
      </c>
    </row>
    <row r="320" spans="1:15" x14ac:dyDescent="0.25">
      <c r="A320" s="15"/>
      <c r="B320" s="15"/>
      <c r="C320">
        <v>30</v>
      </c>
      <c r="D320">
        <v>395.5</v>
      </c>
      <c r="E320">
        <v>169.5</v>
      </c>
      <c r="F320">
        <v>368</v>
      </c>
      <c r="G320">
        <v>960</v>
      </c>
      <c r="H320">
        <v>0</v>
      </c>
      <c r="I320">
        <v>3.4</v>
      </c>
      <c r="J320">
        <v>170</v>
      </c>
      <c r="K320">
        <v>7</v>
      </c>
      <c r="L320" s="10">
        <v>27.15</v>
      </c>
      <c r="M320" s="2">
        <v>524.92919999999992</v>
      </c>
      <c r="N320" s="2">
        <f t="shared" si="6"/>
        <v>174.71250000000001</v>
      </c>
      <c r="O320">
        <v>0</v>
      </c>
    </row>
    <row r="321" spans="1:15" x14ac:dyDescent="0.25">
      <c r="A321" s="15"/>
      <c r="B321" s="15"/>
      <c r="C321">
        <v>30</v>
      </c>
      <c r="D321">
        <v>395.5</v>
      </c>
      <c r="E321">
        <v>169.5</v>
      </c>
      <c r="F321">
        <v>368</v>
      </c>
      <c r="G321">
        <v>960</v>
      </c>
      <c r="H321">
        <v>0</v>
      </c>
      <c r="I321">
        <v>3.4</v>
      </c>
      <c r="J321">
        <v>170</v>
      </c>
      <c r="K321">
        <v>14</v>
      </c>
      <c r="L321" s="10">
        <v>32.630000000000003</v>
      </c>
      <c r="M321" s="2">
        <v>524.92919999999992</v>
      </c>
      <c r="N321" s="2">
        <f t="shared" si="6"/>
        <v>174.71250000000001</v>
      </c>
      <c r="O321">
        <v>0</v>
      </c>
    </row>
    <row r="322" spans="1:15" x14ac:dyDescent="0.25">
      <c r="A322" s="15"/>
      <c r="B322" s="15"/>
      <c r="C322">
        <v>30</v>
      </c>
      <c r="D322">
        <v>395.5</v>
      </c>
      <c r="E322">
        <v>169.5</v>
      </c>
      <c r="F322">
        <v>368</v>
      </c>
      <c r="G322">
        <v>960</v>
      </c>
      <c r="H322">
        <v>0</v>
      </c>
      <c r="I322">
        <v>3.4</v>
      </c>
      <c r="J322">
        <v>170</v>
      </c>
      <c r="K322">
        <v>56</v>
      </c>
      <c r="L322" s="10">
        <v>37.18</v>
      </c>
      <c r="M322" s="2">
        <v>524.92919999999992</v>
      </c>
      <c r="N322" s="2">
        <f t="shared" si="6"/>
        <v>174.71250000000001</v>
      </c>
      <c r="O322">
        <v>0</v>
      </c>
    </row>
    <row r="323" spans="1:15" x14ac:dyDescent="0.25">
      <c r="A323" s="15"/>
      <c r="B323" s="15"/>
      <c r="C323">
        <v>30</v>
      </c>
      <c r="D323">
        <v>395.5</v>
      </c>
      <c r="E323">
        <v>169.5</v>
      </c>
      <c r="F323">
        <v>368</v>
      </c>
      <c r="G323">
        <v>960</v>
      </c>
      <c r="H323">
        <v>0</v>
      </c>
      <c r="I323">
        <v>3.4</v>
      </c>
      <c r="J323">
        <v>170</v>
      </c>
      <c r="K323">
        <v>90</v>
      </c>
      <c r="L323" s="10">
        <v>32.69</v>
      </c>
      <c r="M323" s="2">
        <v>524.92919999999992</v>
      </c>
      <c r="N323" s="2">
        <f t="shared" ref="N323:N386" si="7">SUM((D323*5)+((F323*0.25)+(G323*0.2)+(I323*20)))*0.075</f>
        <v>174.71250000000001</v>
      </c>
      <c r="O323">
        <v>0</v>
      </c>
    </row>
    <row r="324" spans="1:15" x14ac:dyDescent="0.25">
      <c r="A324" s="15"/>
      <c r="B324" s="15"/>
      <c r="C324">
        <v>35</v>
      </c>
      <c r="D324">
        <v>367.25</v>
      </c>
      <c r="E324">
        <v>197.75</v>
      </c>
      <c r="F324">
        <v>368</v>
      </c>
      <c r="G324">
        <v>960</v>
      </c>
      <c r="H324">
        <v>0</v>
      </c>
      <c r="I324">
        <v>3.4</v>
      </c>
      <c r="J324">
        <v>170</v>
      </c>
      <c r="K324">
        <v>7</v>
      </c>
      <c r="L324" s="10">
        <v>25.21</v>
      </c>
      <c r="M324" s="2">
        <v>524.92919999999992</v>
      </c>
      <c r="N324" s="2">
        <f t="shared" si="7"/>
        <v>164.11875000000001</v>
      </c>
      <c r="O324">
        <v>0</v>
      </c>
    </row>
    <row r="325" spans="1:15" x14ac:dyDescent="0.25">
      <c r="A325" s="15"/>
      <c r="B325" s="15"/>
      <c r="C325">
        <v>35</v>
      </c>
      <c r="D325">
        <v>367.25</v>
      </c>
      <c r="E325">
        <v>197.75</v>
      </c>
      <c r="F325">
        <v>368</v>
      </c>
      <c r="G325">
        <v>960</v>
      </c>
      <c r="H325">
        <v>0</v>
      </c>
      <c r="I325">
        <v>3.4</v>
      </c>
      <c r="J325">
        <v>170</v>
      </c>
      <c r="K325">
        <v>14</v>
      </c>
      <c r="L325" s="10">
        <v>26.98</v>
      </c>
      <c r="M325" s="2">
        <v>524.92919999999992</v>
      </c>
      <c r="N325" s="2">
        <f t="shared" si="7"/>
        <v>164.11875000000001</v>
      </c>
      <c r="O325">
        <v>0</v>
      </c>
    </row>
    <row r="326" spans="1:15" x14ac:dyDescent="0.25">
      <c r="A326" s="15"/>
      <c r="B326" s="15"/>
      <c r="C326">
        <v>35</v>
      </c>
      <c r="D326">
        <v>367.25</v>
      </c>
      <c r="E326">
        <v>197.75</v>
      </c>
      <c r="F326">
        <v>368</v>
      </c>
      <c r="G326">
        <v>960</v>
      </c>
      <c r="H326">
        <v>0</v>
      </c>
      <c r="I326">
        <v>3.4</v>
      </c>
      <c r="J326">
        <v>170</v>
      </c>
      <c r="K326">
        <v>56</v>
      </c>
      <c r="L326" s="10">
        <v>37.22</v>
      </c>
      <c r="M326" s="2">
        <v>524.92919999999992</v>
      </c>
      <c r="N326" s="2">
        <f t="shared" si="7"/>
        <v>164.11875000000001</v>
      </c>
      <c r="O326">
        <v>0</v>
      </c>
    </row>
    <row r="327" spans="1:15" x14ac:dyDescent="0.25">
      <c r="A327" s="15"/>
      <c r="B327" s="15"/>
      <c r="C327">
        <v>35</v>
      </c>
      <c r="D327">
        <v>367.25</v>
      </c>
      <c r="E327">
        <v>197.75</v>
      </c>
      <c r="F327">
        <v>368</v>
      </c>
      <c r="G327">
        <v>960</v>
      </c>
      <c r="H327">
        <v>0</v>
      </c>
      <c r="I327">
        <v>3.4</v>
      </c>
      <c r="J327">
        <v>170</v>
      </c>
      <c r="K327">
        <v>90</v>
      </c>
      <c r="L327" s="10">
        <v>38.03</v>
      </c>
      <c r="M327" s="2">
        <v>524.92919999999992</v>
      </c>
      <c r="N327" s="2">
        <f t="shared" si="7"/>
        <v>164.11875000000001</v>
      </c>
      <c r="O327">
        <v>0</v>
      </c>
    </row>
    <row r="328" spans="1:15" x14ac:dyDescent="0.25">
      <c r="A328" s="15"/>
      <c r="B328" s="15"/>
      <c r="C328">
        <v>40</v>
      </c>
      <c r="D328">
        <v>339</v>
      </c>
      <c r="E328">
        <v>226</v>
      </c>
      <c r="F328">
        <v>368</v>
      </c>
      <c r="G328">
        <v>960</v>
      </c>
      <c r="H328">
        <v>0</v>
      </c>
      <c r="I328">
        <v>3.4</v>
      </c>
      <c r="J328">
        <v>170</v>
      </c>
      <c r="K328">
        <v>7</v>
      </c>
      <c r="L328" s="10">
        <v>22.7</v>
      </c>
      <c r="M328" s="2">
        <v>524.92919999999992</v>
      </c>
      <c r="N328" s="2">
        <f t="shared" si="7"/>
        <v>153.52500000000001</v>
      </c>
      <c r="O328">
        <v>0</v>
      </c>
    </row>
    <row r="329" spans="1:15" x14ac:dyDescent="0.25">
      <c r="A329" s="15"/>
      <c r="B329" s="15"/>
      <c r="C329">
        <v>40</v>
      </c>
      <c r="D329">
        <v>339</v>
      </c>
      <c r="E329">
        <v>226</v>
      </c>
      <c r="F329">
        <v>368</v>
      </c>
      <c r="G329">
        <v>960</v>
      </c>
      <c r="H329">
        <v>0</v>
      </c>
      <c r="I329">
        <v>3.4</v>
      </c>
      <c r="J329">
        <v>170</v>
      </c>
      <c r="K329">
        <v>14</v>
      </c>
      <c r="L329" s="10">
        <v>28.43</v>
      </c>
      <c r="M329" s="2">
        <v>524.92919999999992</v>
      </c>
      <c r="N329" s="2">
        <f t="shared" si="7"/>
        <v>153.52500000000001</v>
      </c>
      <c r="O329">
        <v>0</v>
      </c>
    </row>
    <row r="330" spans="1:15" x14ac:dyDescent="0.25">
      <c r="A330" s="15"/>
      <c r="B330" s="15"/>
      <c r="C330">
        <v>40</v>
      </c>
      <c r="D330">
        <v>339</v>
      </c>
      <c r="E330">
        <v>226</v>
      </c>
      <c r="F330">
        <v>368</v>
      </c>
      <c r="G330">
        <v>960</v>
      </c>
      <c r="H330">
        <v>0</v>
      </c>
      <c r="I330">
        <v>3.4</v>
      </c>
      <c r="J330">
        <v>170</v>
      </c>
      <c r="K330">
        <v>56</v>
      </c>
      <c r="L330" s="10">
        <v>33.86</v>
      </c>
      <c r="M330" s="2">
        <v>524.92919999999992</v>
      </c>
      <c r="N330" s="2">
        <f t="shared" si="7"/>
        <v>153.52500000000001</v>
      </c>
      <c r="O330">
        <v>0</v>
      </c>
    </row>
    <row r="331" spans="1:15" x14ac:dyDescent="0.25">
      <c r="A331" s="15"/>
      <c r="B331" s="15"/>
      <c r="C331">
        <v>40</v>
      </c>
      <c r="D331">
        <v>339</v>
      </c>
      <c r="E331">
        <v>226</v>
      </c>
      <c r="F331">
        <v>368</v>
      </c>
      <c r="G331">
        <v>960</v>
      </c>
      <c r="H331">
        <v>0</v>
      </c>
      <c r="I331">
        <v>3.4</v>
      </c>
      <c r="J331">
        <v>170</v>
      </c>
      <c r="K331">
        <v>90</v>
      </c>
      <c r="L331" s="10">
        <v>33.39</v>
      </c>
      <c r="M331" s="2">
        <v>524.92919999999992</v>
      </c>
      <c r="N331" s="2">
        <f t="shared" si="7"/>
        <v>153.52500000000001</v>
      </c>
      <c r="O331">
        <v>0</v>
      </c>
    </row>
    <row r="332" spans="1:15" x14ac:dyDescent="0.25">
      <c r="A332" s="15"/>
      <c r="B332" s="15"/>
      <c r="C332">
        <v>45</v>
      </c>
      <c r="D332">
        <v>310.75</v>
      </c>
      <c r="E332">
        <v>254.25</v>
      </c>
      <c r="F332">
        <v>368</v>
      </c>
      <c r="G332">
        <v>960</v>
      </c>
      <c r="H332">
        <v>0</v>
      </c>
      <c r="I332">
        <v>3.4</v>
      </c>
      <c r="J332">
        <v>170</v>
      </c>
      <c r="K332">
        <v>7</v>
      </c>
      <c r="L332" s="10">
        <v>24.87</v>
      </c>
      <c r="M332" s="2">
        <v>524.92919999999992</v>
      </c>
      <c r="N332" s="2">
        <f t="shared" si="7"/>
        <v>142.93125000000001</v>
      </c>
      <c r="O332">
        <v>0</v>
      </c>
    </row>
    <row r="333" spans="1:15" x14ac:dyDescent="0.25">
      <c r="A333" s="15"/>
      <c r="B333" s="15"/>
      <c r="C333">
        <v>45</v>
      </c>
      <c r="D333">
        <v>310.75</v>
      </c>
      <c r="E333">
        <v>254.25</v>
      </c>
      <c r="F333">
        <v>368</v>
      </c>
      <c r="G333">
        <v>960</v>
      </c>
      <c r="H333">
        <v>0</v>
      </c>
      <c r="I333">
        <v>3.4</v>
      </c>
      <c r="J333">
        <v>170</v>
      </c>
      <c r="K333">
        <v>14</v>
      </c>
      <c r="L333" s="10">
        <v>28.69</v>
      </c>
      <c r="M333" s="2">
        <v>524.92919999999992</v>
      </c>
      <c r="N333" s="2">
        <f t="shared" si="7"/>
        <v>142.93125000000001</v>
      </c>
      <c r="O333">
        <v>0</v>
      </c>
    </row>
    <row r="334" spans="1:15" x14ac:dyDescent="0.25">
      <c r="A334" s="15"/>
      <c r="B334" s="15"/>
      <c r="C334">
        <v>45</v>
      </c>
      <c r="D334">
        <v>310.75</v>
      </c>
      <c r="E334">
        <v>254.25</v>
      </c>
      <c r="F334">
        <v>368</v>
      </c>
      <c r="G334">
        <v>960</v>
      </c>
      <c r="H334">
        <v>0</v>
      </c>
      <c r="I334">
        <v>3.4</v>
      </c>
      <c r="J334">
        <v>170</v>
      </c>
      <c r="K334">
        <v>56</v>
      </c>
      <c r="L334" s="10">
        <v>32.39</v>
      </c>
      <c r="M334" s="2">
        <v>524.92919999999992</v>
      </c>
      <c r="N334" s="2">
        <f t="shared" si="7"/>
        <v>142.93125000000001</v>
      </c>
      <c r="O334">
        <v>0</v>
      </c>
    </row>
    <row r="335" spans="1:15" x14ac:dyDescent="0.25">
      <c r="A335" s="15"/>
      <c r="B335" s="15"/>
      <c r="C335">
        <v>45</v>
      </c>
      <c r="D335">
        <v>310.75</v>
      </c>
      <c r="E335">
        <v>254.25</v>
      </c>
      <c r="F335">
        <v>368</v>
      </c>
      <c r="G335">
        <v>960</v>
      </c>
      <c r="H335">
        <v>0</v>
      </c>
      <c r="I335">
        <v>3.4</v>
      </c>
      <c r="J335">
        <v>170</v>
      </c>
      <c r="K335">
        <v>90</v>
      </c>
      <c r="L335" s="10">
        <v>32.17</v>
      </c>
      <c r="M335" s="2">
        <v>524.92919999999992</v>
      </c>
      <c r="N335" s="2">
        <f t="shared" si="7"/>
        <v>142.93125000000001</v>
      </c>
      <c r="O335">
        <v>0</v>
      </c>
    </row>
    <row r="336" spans="1:15" x14ac:dyDescent="0.25">
      <c r="A336" s="15"/>
      <c r="B336" s="15"/>
      <c r="C336">
        <v>50</v>
      </c>
      <c r="D336">
        <v>282.5</v>
      </c>
      <c r="E336">
        <v>282.5</v>
      </c>
      <c r="F336">
        <v>368</v>
      </c>
      <c r="G336">
        <v>960</v>
      </c>
      <c r="H336">
        <v>0</v>
      </c>
      <c r="I336">
        <v>3.4</v>
      </c>
      <c r="J336">
        <v>170</v>
      </c>
      <c r="K336">
        <v>7</v>
      </c>
      <c r="L336" s="10">
        <v>20.49</v>
      </c>
      <c r="M336" s="2">
        <v>524.92919999999992</v>
      </c>
      <c r="N336" s="2">
        <f t="shared" si="7"/>
        <v>132.33750000000001</v>
      </c>
      <c r="O336">
        <v>0</v>
      </c>
    </row>
    <row r="337" spans="1:15" x14ac:dyDescent="0.25">
      <c r="A337" s="15"/>
      <c r="B337" s="15"/>
      <c r="C337">
        <v>50</v>
      </c>
      <c r="D337">
        <v>282.5</v>
      </c>
      <c r="E337">
        <v>282.5</v>
      </c>
      <c r="F337">
        <v>368</v>
      </c>
      <c r="G337">
        <v>960</v>
      </c>
      <c r="H337">
        <v>0</v>
      </c>
      <c r="I337">
        <v>3.4</v>
      </c>
      <c r="J337">
        <v>170</v>
      </c>
      <c r="K337">
        <v>14</v>
      </c>
      <c r="L337" s="10">
        <v>24.92</v>
      </c>
      <c r="M337" s="2">
        <v>524.92919999999992</v>
      </c>
      <c r="N337" s="2">
        <f t="shared" si="7"/>
        <v>132.33750000000001</v>
      </c>
      <c r="O337">
        <v>0</v>
      </c>
    </row>
    <row r="338" spans="1:15" x14ac:dyDescent="0.25">
      <c r="A338" s="15"/>
      <c r="B338" s="15"/>
      <c r="C338">
        <v>50</v>
      </c>
      <c r="D338">
        <v>282.5</v>
      </c>
      <c r="E338">
        <v>282.5</v>
      </c>
      <c r="F338">
        <v>368</v>
      </c>
      <c r="G338">
        <v>960</v>
      </c>
      <c r="H338">
        <v>0</v>
      </c>
      <c r="I338">
        <v>3.4</v>
      </c>
      <c r="J338">
        <v>170</v>
      </c>
      <c r="K338">
        <v>56</v>
      </c>
      <c r="L338" s="10">
        <v>31.97</v>
      </c>
      <c r="M338" s="2">
        <v>524.92919999999992</v>
      </c>
      <c r="N338" s="2">
        <f t="shared" si="7"/>
        <v>132.33750000000001</v>
      </c>
      <c r="O338">
        <v>0</v>
      </c>
    </row>
    <row r="339" spans="1:15" x14ac:dyDescent="0.25">
      <c r="A339" s="15"/>
      <c r="B339" s="15"/>
      <c r="C339">
        <v>50</v>
      </c>
      <c r="D339">
        <v>282.5</v>
      </c>
      <c r="E339">
        <v>282.5</v>
      </c>
      <c r="F339">
        <v>368</v>
      </c>
      <c r="G339">
        <v>960</v>
      </c>
      <c r="H339">
        <v>0</v>
      </c>
      <c r="I339">
        <v>3.4</v>
      </c>
      <c r="J339">
        <v>170</v>
      </c>
      <c r="K339">
        <v>90</v>
      </c>
      <c r="L339" s="10">
        <v>28.63</v>
      </c>
      <c r="M339" s="2">
        <v>524.92919999999992</v>
      </c>
      <c r="N339" s="2">
        <f t="shared" si="7"/>
        <v>132.33750000000001</v>
      </c>
      <c r="O339">
        <v>0</v>
      </c>
    </row>
    <row r="340" spans="1:15" x14ac:dyDescent="0.25">
      <c r="A340" s="15" t="s">
        <v>26</v>
      </c>
      <c r="B340" s="15" t="s">
        <v>27</v>
      </c>
      <c r="C340">
        <v>0</v>
      </c>
      <c r="D340">
        <v>478</v>
      </c>
      <c r="E340">
        <v>0</v>
      </c>
      <c r="F340">
        <v>705</v>
      </c>
      <c r="G340">
        <v>935</v>
      </c>
      <c r="H340">
        <v>0</v>
      </c>
      <c r="I340">
        <v>0</v>
      </c>
      <c r="J340">
        <v>215</v>
      </c>
      <c r="K340">
        <v>3</v>
      </c>
      <c r="L340" s="10">
        <v>16.579999999999998</v>
      </c>
      <c r="M340" s="2">
        <v>449.45600000000002</v>
      </c>
      <c r="N340" s="2">
        <f t="shared" si="7"/>
        <v>206.49375000000001</v>
      </c>
      <c r="O340">
        <v>0</v>
      </c>
    </row>
    <row r="341" spans="1:15" x14ac:dyDescent="0.25">
      <c r="A341" s="15"/>
      <c r="B341" s="15"/>
      <c r="C341">
        <v>0</v>
      </c>
      <c r="D341">
        <v>478</v>
      </c>
      <c r="E341">
        <v>0</v>
      </c>
      <c r="F341">
        <v>705</v>
      </c>
      <c r="G341">
        <v>935</v>
      </c>
      <c r="H341">
        <v>0</v>
      </c>
      <c r="I341">
        <v>0</v>
      </c>
      <c r="J341">
        <v>215</v>
      </c>
      <c r="K341">
        <v>14</v>
      </c>
      <c r="L341" s="10">
        <v>22.76</v>
      </c>
      <c r="M341" s="2">
        <v>449.45600000000002</v>
      </c>
      <c r="N341" s="2">
        <f t="shared" si="7"/>
        <v>206.49375000000001</v>
      </c>
      <c r="O341">
        <v>0</v>
      </c>
    </row>
    <row r="342" spans="1:15" x14ac:dyDescent="0.25">
      <c r="A342" s="15"/>
      <c r="B342" s="15"/>
      <c r="C342">
        <v>0</v>
      </c>
      <c r="D342">
        <v>478</v>
      </c>
      <c r="E342">
        <v>0</v>
      </c>
      <c r="F342">
        <v>705</v>
      </c>
      <c r="G342">
        <v>935</v>
      </c>
      <c r="H342">
        <v>0</v>
      </c>
      <c r="I342">
        <v>0</v>
      </c>
      <c r="J342">
        <v>215</v>
      </c>
      <c r="K342">
        <v>56</v>
      </c>
      <c r="L342" s="10">
        <v>26.14</v>
      </c>
      <c r="M342" s="2">
        <v>449.45600000000002</v>
      </c>
      <c r="N342" s="2">
        <f t="shared" si="7"/>
        <v>206.49375000000001</v>
      </c>
      <c r="O342">
        <v>0</v>
      </c>
    </row>
    <row r="343" spans="1:15" x14ac:dyDescent="0.25">
      <c r="A343" s="15"/>
      <c r="B343" s="15"/>
      <c r="C343">
        <v>0</v>
      </c>
      <c r="D343">
        <v>478</v>
      </c>
      <c r="E343">
        <v>0</v>
      </c>
      <c r="F343">
        <v>705</v>
      </c>
      <c r="G343">
        <v>935</v>
      </c>
      <c r="H343">
        <v>0</v>
      </c>
      <c r="I343">
        <v>0</v>
      </c>
      <c r="J343">
        <v>215</v>
      </c>
      <c r="K343">
        <v>90</v>
      </c>
      <c r="L343" s="10">
        <v>23.75</v>
      </c>
      <c r="M343" s="2">
        <v>449.45600000000002</v>
      </c>
      <c r="N343" s="2">
        <f t="shared" si="7"/>
        <v>206.49375000000001</v>
      </c>
      <c r="O343">
        <v>0</v>
      </c>
    </row>
    <row r="344" spans="1:15" x14ac:dyDescent="0.25">
      <c r="A344" s="15"/>
      <c r="B344" s="15"/>
      <c r="C344">
        <v>5</v>
      </c>
      <c r="D344">
        <v>454.1</v>
      </c>
      <c r="E344">
        <v>23.9</v>
      </c>
      <c r="F344">
        <v>705</v>
      </c>
      <c r="G344">
        <v>935</v>
      </c>
      <c r="H344">
        <v>0</v>
      </c>
      <c r="I344">
        <v>0</v>
      </c>
      <c r="J344">
        <v>215</v>
      </c>
      <c r="K344">
        <v>3</v>
      </c>
      <c r="L344" s="10">
        <v>15.71</v>
      </c>
      <c r="M344" s="2">
        <v>449.45600000000002</v>
      </c>
      <c r="N344" s="2">
        <f t="shared" si="7"/>
        <v>197.53125</v>
      </c>
      <c r="O344">
        <v>0</v>
      </c>
    </row>
    <row r="345" spans="1:15" x14ac:dyDescent="0.25">
      <c r="A345" s="15"/>
      <c r="B345" s="15"/>
      <c r="C345">
        <v>5</v>
      </c>
      <c r="D345">
        <v>454.1</v>
      </c>
      <c r="E345">
        <v>23.9</v>
      </c>
      <c r="F345">
        <v>705</v>
      </c>
      <c r="G345">
        <v>935</v>
      </c>
      <c r="H345">
        <v>0</v>
      </c>
      <c r="I345">
        <v>0</v>
      </c>
      <c r="J345">
        <v>215</v>
      </c>
      <c r="K345">
        <v>14</v>
      </c>
      <c r="L345" s="10">
        <v>20.88</v>
      </c>
      <c r="M345" s="2">
        <v>449.45600000000002</v>
      </c>
      <c r="N345" s="2">
        <f t="shared" si="7"/>
        <v>197.53125</v>
      </c>
      <c r="O345">
        <v>0</v>
      </c>
    </row>
    <row r="346" spans="1:15" x14ac:dyDescent="0.25">
      <c r="A346" s="15"/>
      <c r="B346" s="15"/>
      <c r="C346">
        <v>5</v>
      </c>
      <c r="D346">
        <v>454.1</v>
      </c>
      <c r="E346">
        <v>23.9</v>
      </c>
      <c r="F346">
        <v>705</v>
      </c>
      <c r="G346">
        <v>935</v>
      </c>
      <c r="H346">
        <v>0</v>
      </c>
      <c r="I346">
        <v>0</v>
      </c>
      <c r="J346">
        <v>215</v>
      </c>
      <c r="K346">
        <v>56</v>
      </c>
      <c r="L346" s="10">
        <v>22.36</v>
      </c>
      <c r="M346" s="2">
        <v>449.45600000000002</v>
      </c>
      <c r="N346" s="2">
        <f t="shared" si="7"/>
        <v>197.53125</v>
      </c>
      <c r="O346">
        <v>0</v>
      </c>
    </row>
    <row r="347" spans="1:15" x14ac:dyDescent="0.25">
      <c r="A347" s="15"/>
      <c r="B347" s="15"/>
      <c r="C347">
        <v>5</v>
      </c>
      <c r="D347">
        <v>454.1</v>
      </c>
      <c r="E347">
        <v>23.9</v>
      </c>
      <c r="F347">
        <v>705</v>
      </c>
      <c r="G347">
        <v>935</v>
      </c>
      <c r="H347">
        <v>0</v>
      </c>
      <c r="I347">
        <v>0</v>
      </c>
      <c r="J347">
        <v>215</v>
      </c>
      <c r="K347">
        <v>90</v>
      </c>
      <c r="L347" s="10">
        <v>23.11</v>
      </c>
      <c r="M347" s="2">
        <v>449.45600000000002</v>
      </c>
      <c r="N347" s="2">
        <f t="shared" si="7"/>
        <v>197.53125</v>
      </c>
      <c r="O347">
        <v>0</v>
      </c>
    </row>
    <row r="348" spans="1:15" x14ac:dyDescent="0.25">
      <c r="A348" s="15"/>
      <c r="B348" s="15"/>
      <c r="C348">
        <v>10</v>
      </c>
      <c r="D348">
        <v>430.2</v>
      </c>
      <c r="E348">
        <v>47.8</v>
      </c>
      <c r="F348">
        <v>705</v>
      </c>
      <c r="G348">
        <v>935</v>
      </c>
      <c r="H348">
        <v>0</v>
      </c>
      <c r="I348">
        <v>0</v>
      </c>
      <c r="J348">
        <v>215</v>
      </c>
      <c r="K348">
        <v>3</v>
      </c>
      <c r="L348" s="10">
        <v>11.03</v>
      </c>
      <c r="M348" s="2">
        <v>449.45600000000002</v>
      </c>
      <c r="N348" s="2">
        <f t="shared" si="7"/>
        <v>188.56874999999999</v>
      </c>
      <c r="O348">
        <v>0</v>
      </c>
    </row>
    <row r="349" spans="1:15" x14ac:dyDescent="0.25">
      <c r="A349" s="15"/>
      <c r="B349" s="15"/>
      <c r="C349">
        <v>10</v>
      </c>
      <c r="D349">
        <v>430.2</v>
      </c>
      <c r="E349">
        <v>47.8</v>
      </c>
      <c r="F349">
        <v>705</v>
      </c>
      <c r="G349">
        <v>935</v>
      </c>
      <c r="H349">
        <v>0</v>
      </c>
      <c r="I349">
        <v>0</v>
      </c>
      <c r="J349">
        <v>215</v>
      </c>
      <c r="K349">
        <v>14</v>
      </c>
      <c r="L349" s="10">
        <v>19.579999999999998</v>
      </c>
      <c r="M349" s="2">
        <v>449.45600000000002</v>
      </c>
      <c r="N349" s="2">
        <f t="shared" si="7"/>
        <v>188.56874999999999</v>
      </c>
      <c r="O349">
        <v>0</v>
      </c>
    </row>
    <row r="350" spans="1:15" x14ac:dyDescent="0.25">
      <c r="A350" s="15"/>
      <c r="B350" s="15"/>
      <c r="C350">
        <v>10</v>
      </c>
      <c r="D350">
        <v>430.2</v>
      </c>
      <c r="E350">
        <v>47.8</v>
      </c>
      <c r="F350">
        <v>705</v>
      </c>
      <c r="G350">
        <v>935</v>
      </c>
      <c r="H350">
        <v>0</v>
      </c>
      <c r="I350">
        <v>0</v>
      </c>
      <c r="J350">
        <v>215</v>
      </c>
      <c r="K350">
        <v>56</v>
      </c>
      <c r="L350" s="10">
        <v>21.01</v>
      </c>
      <c r="M350" s="2">
        <v>449.45600000000002</v>
      </c>
      <c r="N350" s="2">
        <f t="shared" si="7"/>
        <v>188.56874999999999</v>
      </c>
      <c r="O350">
        <v>0</v>
      </c>
    </row>
    <row r="351" spans="1:15" x14ac:dyDescent="0.25">
      <c r="A351" s="15"/>
      <c r="B351" s="15"/>
      <c r="C351">
        <v>10</v>
      </c>
      <c r="D351">
        <v>430.2</v>
      </c>
      <c r="E351">
        <v>47.8</v>
      </c>
      <c r="F351">
        <v>705</v>
      </c>
      <c r="G351">
        <v>935</v>
      </c>
      <c r="H351">
        <v>0</v>
      </c>
      <c r="I351">
        <v>0</v>
      </c>
      <c r="J351">
        <v>215</v>
      </c>
      <c r="K351">
        <v>90</v>
      </c>
      <c r="L351" s="10">
        <v>23.2</v>
      </c>
      <c r="M351" s="2">
        <v>449.45600000000002</v>
      </c>
      <c r="N351" s="2">
        <f t="shared" si="7"/>
        <v>188.56874999999999</v>
      </c>
      <c r="O351">
        <v>0</v>
      </c>
    </row>
    <row r="352" spans="1:15" x14ac:dyDescent="0.25">
      <c r="A352" s="15"/>
      <c r="B352" s="15"/>
      <c r="C352">
        <v>15</v>
      </c>
      <c r="D352">
        <v>406.3</v>
      </c>
      <c r="E352">
        <v>71.7</v>
      </c>
      <c r="F352">
        <v>705</v>
      </c>
      <c r="G352">
        <v>935</v>
      </c>
      <c r="H352">
        <v>0</v>
      </c>
      <c r="I352">
        <v>0</v>
      </c>
      <c r="J352">
        <v>215</v>
      </c>
      <c r="K352">
        <v>3</v>
      </c>
      <c r="L352" s="10">
        <v>12.43</v>
      </c>
      <c r="M352" s="2">
        <v>449.45600000000002</v>
      </c>
      <c r="N352" s="2">
        <f t="shared" si="7"/>
        <v>179.60624999999999</v>
      </c>
      <c r="O352">
        <v>0</v>
      </c>
    </row>
    <row r="353" spans="1:15" x14ac:dyDescent="0.25">
      <c r="A353" s="15"/>
      <c r="B353" s="15"/>
      <c r="C353">
        <v>15</v>
      </c>
      <c r="D353">
        <v>406.3</v>
      </c>
      <c r="E353">
        <v>71.7</v>
      </c>
      <c r="F353">
        <v>705</v>
      </c>
      <c r="G353">
        <v>935</v>
      </c>
      <c r="H353">
        <v>0</v>
      </c>
      <c r="I353">
        <v>0</v>
      </c>
      <c r="J353">
        <v>215</v>
      </c>
      <c r="K353">
        <v>14</v>
      </c>
      <c r="L353" s="10">
        <v>15.56</v>
      </c>
      <c r="M353" s="2">
        <v>449.45600000000002</v>
      </c>
      <c r="N353" s="2">
        <f t="shared" si="7"/>
        <v>179.60624999999999</v>
      </c>
      <c r="O353">
        <v>0</v>
      </c>
    </row>
    <row r="354" spans="1:15" x14ac:dyDescent="0.25">
      <c r="A354" s="15"/>
      <c r="B354" s="15"/>
      <c r="C354">
        <v>15</v>
      </c>
      <c r="D354">
        <v>406.3</v>
      </c>
      <c r="E354">
        <v>71.7</v>
      </c>
      <c r="F354">
        <v>705</v>
      </c>
      <c r="G354">
        <v>935</v>
      </c>
      <c r="H354">
        <v>0</v>
      </c>
      <c r="I354">
        <v>0</v>
      </c>
      <c r="J354">
        <v>215</v>
      </c>
      <c r="K354">
        <v>56</v>
      </c>
      <c r="L354" s="10">
        <v>17.29</v>
      </c>
      <c r="M354" s="2">
        <v>449.45600000000002</v>
      </c>
      <c r="N354" s="2">
        <f t="shared" si="7"/>
        <v>179.60624999999999</v>
      </c>
      <c r="O354">
        <v>0</v>
      </c>
    </row>
    <row r="355" spans="1:15" x14ac:dyDescent="0.25">
      <c r="A355" s="15"/>
      <c r="B355" s="15"/>
      <c r="C355">
        <v>15</v>
      </c>
      <c r="D355">
        <v>406.3</v>
      </c>
      <c r="E355">
        <v>71.7</v>
      </c>
      <c r="F355">
        <v>705</v>
      </c>
      <c r="G355">
        <v>935</v>
      </c>
      <c r="H355">
        <v>0</v>
      </c>
      <c r="I355">
        <v>0</v>
      </c>
      <c r="J355">
        <v>215</v>
      </c>
      <c r="K355">
        <v>90</v>
      </c>
      <c r="L355" s="10">
        <v>22.73</v>
      </c>
      <c r="M355" s="2">
        <v>449.45600000000002</v>
      </c>
      <c r="N355" s="2">
        <f t="shared" si="7"/>
        <v>179.60624999999999</v>
      </c>
      <c r="O355">
        <v>0</v>
      </c>
    </row>
    <row r="356" spans="1:15" x14ac:dyDescent="0.25">
      <c r="A356" s="15"/>
      <c r="B356" s="15"/>
      <c r="C356">
        <v>20</v>
      </c>
      <c r="D356">
        <v>382.4</v>
      </c>
      <c r="E356">
        <v>95.6</v>
      </c>
      <c r="F356">
        <v>705</v>
      </c>
      <c r="G356">
        <v>935</v>
      </c>
      <c r="H356">
        <v>0</v>
      </c>
      <c r="I356">
        <v>0</v>
      </c>
      <c r="J356">
        <v>215</v>
      </c>
      <c r="K356">
        <v>3</v>
      </c>
      <c r="L356" s="10">
        <v>15.49</v>
      </c>
      <c r="M356" s="2">
        <v>449.45600000000002</v>
      </c>
      <c r="N356" s="2">
        <f t="shared" si="7"/>
        <v>170.64374999999998</v>
      </c>
      <c r="O356">
        <v>0</v>
      </c>
    </row>
    <row r="357" spans="1:15" x14ac:dyDescent="0.25">
      <c r="A357" s="15"/>
      <c r="B357" s="15"/>
      <c r="C357">
        <v>20</v>
      </c>
      <c r="D357">
        <v>382.4</v>
      </c>
      <c r="E357">
        <v>95.6</v>
      </c>
      <c r="F357">
        <v>705</v>
      </c>
      <c r="G357">
        <v>935</v>
      </c>
      <c r="H357">
        <v>0</v>
      </c>
      <c r="I357">
        <v>0</v>
      </c>
      <c r="J357">
        <v>215</v>
      </c>
      <c r="K357">
        <v>14</v>
      </c>
      <c r="L357" s="10">
        <v>18.97</v>
      </c>
      <c r="M357" s="2">
        <v>449.45600000000002</v>
      </c>
      <c r="N357" s="2">
        <f t="shared" si="7"/>
        <v>170.64374999999998</v>
      </c>
      <c r="O357">
        <v>0</v>
      </c>
    </row>
    <row r="358" spans="1:15" x14ac:dyDescent="0.25">
      <c r="A358" s="15"/>
      <c r="B358" s="15"/>
      <c r="C358">
        <v>20</v>
      </c>
      <c r="D358">
        <v>382.4</v>
      </c>
      <c r="E358">
        <v>95.6</v>
      </c>
      <c r="F358">
        <v>705</v>
      </c>
      <c r="G358">
        <v>935</v>
      </c>
      <c r="H358">
        <v>0</v>
      </c>
      <c r="I358">
        <v>0</v>
      </c>
      <c r="J358">
        <v>215</v>
      </c>
      <c r="K358">
        <v>56</v>
      </c>
      <c r="L358" s="10">
        <v>17.46</v>
      </c>
      <c r="M358" s="2">
        <v>449.45600000000002</v>
      </c>
      <c r="N358" s="2">
        <f t="shared" si="7"/>
        <v>170.64374999999998</v>
      </c>
      <c r="O358">
        <v>0</v>
      </c>
    </row>
    <row r="359" spans="1:15" x14ac:dyDescent="0.25">
      <c r="A359" s="15"/>
      <c r="B359" s="15"/>
      <c r="C359">
        <v>20</v>
      </c>
      <c r="D359">
        <v>382.4</v>
      </c>
      <c r="E359">
        <v>95.6</v>
      </c>
      <c r="F359">
        <v>705</v>
      </c>
      <c r="G359">
        <v>935</v>
      </c>
      <c r="H359">
        <v>0</v>
      </c>
      <c r="I359">
        <v>0</v>
      </c>
      <c r="J359">
        <v>215</v>
      </c>
      <c r="K359">
        <v>90</v>
      </c>
      <c r="L359" s="10">
        <v>21.12</v>
      </c>
      <c r="M359" s="2">
        <v>449.45600000000002</v>
      </c>
      <c r="N359" s="2">
        <f t="shared" si="7"/>
        <v>170.64374999999998</v>
      </c>
      <c r="O359">
        <v>0</v>
      </c>
    </row>
    <row r="360" spans="1:15" x14ac:dyDescent="0.25">
      <c r="A360" s="15"/>
      <c r="B360" s="15"/>
      <c r="C360">
        <v>25</v>
      </c>
      <c r="D360">
        <v>358.5</v>
      </c>
      <c r="E360">
        <v>119.5</v>
      </c>
      <c r="F360">
        <v>705</v>
      </c>
      <c r="G360">
        <v>935</v>
      </c>
      <c r="H360">
        <v>0</v>
      </c>
      <c r="I360">
        <v>0</v>
      </c>
      <c r="J360">
        <v>215</v>
      </c>
      <c r="K360">
        <v>3</v>
      </c>
      <c r="L360" s="10">
        <v>11.61</v>
      </c>
      <c r="M360" s="2">
        <v>449.45600000000002</v>
      </c>
      <c r="N360" s="2">
        <f t="shared" si="7"/>
        <v>161.68125000000001</v>
      </c>
      <c r="O360">
        <v>0</v>
      </c>
    </row>
    <row r="361" spans="1:15" x14ac:dyDescent="0.25">
      <c r="A361" s="15"/>
      <c r="B361" s="15"/>
      <c r="C361">
        <v>25</v>
      </c>
      <c r="D361">
        <v>358.5</v>
      </c>
      <c r="E361">
        <v>119.5</v>
      </c>
      <c r="F361">
        <v>705</v>
      </c>
      <c r="G361">
        <v>935</v>
      </c>
      <c r="H361">
        <v>0</v>
      </c>
      <c r="I361">
        <v>0</v>
      </c>
      <c r="J361">
        <v>215</v>
      </c>
      <c r="K361">
        <v>14</v>
      </c>
      <c r="L361" s="10">
        <v>14.85</v>
      </c>
      <c r="M361" s="2">
        <v>449.45600000000002</v>
      </c>
      <c r="N361" s="2">
        <f t="shared" si="7"/>
        <v>161.68125000000001</v>
      </c>
      <c r="O361">
        <v>0</v>
      </c>
    </row>
    <row r="362" spans="1:15" x14ac:dyDescent="0.25">
      <c r="A362" s="15"/>
      <c r="B362" s="15"/>
      <c r="C362">
        <v>25</v>
      </c>
      <c r="D362">
        <v>358.5</v>
      </c>
      <c r="E362">
        <v>119.5</v>
      </c>
      <c r="F362">
        <v>705</v>
      </c>
      <c r="G362">
        <v>935</v>
      </c>
      <c r="H362">
        <v>0</v>
      </c>
      <c r="I362">
        <v>0</v>
      </c>
      <c r="J362">
        <v>215</v>
      </c>
      <c r="K362">
        <v>56</v>
      </c>
      <c r="L362" s="10">
        <v>16.52</v>
      </c>
      <c r="M362" s="2">
        <v>449.45600000000002</v>
      </c>
      <c r="N362" s="2">
        <f t="shared" si="7"/>
        <v>161.68125000000001</v>
      </c>
      <c r="O362">
        <v>0</v>
      </c>
    </row>
    <row r="363" spans="1:15" x14ac:dyDescent="0.25">
      <c r="A363" s="15"/>
      <c r="B363" s="15"/>
      <c r="C363">
        <v>25</v>
      </c>
      <c r="D363">
        <v>358.5</v>
      </c>
      <c r="E363">
        <v>119.5</v>
      </c>
      <c r="F363">
        <v>705</v>
      </c>
      <c r="G363">
        <v>935</v>
      </c>
      <c r="H363">
        <v>0</v>
      </c>
      <c r="I363">
        <v>0</v>
      </c>
      <c r="J363">
        <v>215</v>
      </c>
      <c r="K363">
        <v>90</v>
      </c>
      <c r="L363" s="10">
        <v>17.649999999999999</v>
      </c>
      <c r="M363" s="2">
        <v>449.45600000000002</v>
      </c>
      <c r="N363" s="2">
        <f t="shared" si="7"/>
        <v>161.68125000000001</v>
      </c>
      <c r="O363">
        <v>0</v>
      </c>
    </row>
    <row r="364" spans="1:15" x14ac:dyDescent="0.25">
      <c r="A364" s="15"/>
      <c r="B364" s="15"/>
      <c r="C364">
        <v>30</v>
      </c>
      <c r="D364">
        <v>334.6</v>
      </c>
      <c r="E364">
        <v>143.4</v>
      </c>
      <c r="F364">
        <v>705</v>
      </c>
      <c r="G364">
        <v>935</v>
      </c>
      <c r="H364">
        <v>0</v>
      </c>
      <c r="I364">
        <v>0</v>
      </c>
      <c r="J364">
        <v>215</v>
      </c>
      <c r="K364">
        <v>3</v>
      </c>
      <c r="L364" s="10">
        <v>14.71</v>
      </c>
      <c r="M364" s="2">
        <v>449.45600000000002</v>
      </c>
      <c r="N364" s="2">
        <f t="shared" si="7"/>
        <v>152.71875</v>
      </c>
      <c r="O364">
        <v>0</v>
      </c>
    </row>
    <row r="365" spans="1:15" x14ac:dyDescent="0.25">
      <c r="A365" s="15"/>
      <c r="B365" s="15"/>
      <c r="C365">
        <v>30</v>
      </c>
      <c r="D365">
        <v>334.6</v>
      </c>
      <c r="E365">
        <v>143.4</v>
      </c>
      <c r="F365">
        <v>705</v>
      </c>
      <c r="G365">
        <v>935</v>
      </c>
      <c r="H365">
        <v>0</v>
      </c>
      <c r="I365">
        <v>0</v>
      </c>
      <c r="J365">
        <v>215</v>
      </c>
      <c r="K365">
        <v>14</v>
      </c>
      <c r="L365" s="10">
        <v>21.05</v>
      </c>
      <c r="M365" s="2">
        <v>449.45600000000002</v>
      </c>
      <c r="N365" s="2">
        <f t="shared" si="7"/>
        <v>152.71875</v>
      </c>
      <c r="O365">
        <v>0</v>
      </c>
    </row>
    <row r="366" spans="1:15" x14ac:dyDescent="0.25">
      <c r="A366" s="15"/>
      <c r="B366" s="15"/>
      <c r="C366">
        <v>30</v>
      </c>
      <c r="D366">
        <v>334.6</v>
      </c>
      <c r="E366">
        <v>143.4</v>
      </c>
      <c r="F366">
        <v>705</v>
      </c>
      <c r="G366">
        <v>935</v>
      </c>
      <c r="H366">
        <v>0</v>
      </c>
      <c r="I366">
        <v>0</v>
      </c>
      <c r="J366">
        <v>215</v>
      </c>
      <c r="K366">
        <v>56</v>
      </c>
      <c r="L366" s="10">
        <v>19.02</v>
      </c>
      <c r="M366" s="2">
        <v>449.45600000000002</v>
      </c>
      <c r="N366" s="2">
        <f t="shared" si="7"/>
        <v>152.71875</v>
      </c>
      <c r="O366">
        <v>0</v>
      </c>
    </row>
    <row r="367" spans="1:15" x14ac:dyDescent="0.25">
      <c r="A367" s="15"/>
      <c r="B367" s="15"/>
      <c r="C367">
        <v>30</v>
      </c>
      <c r="D367">
        <v>334.6</v>
      </c>
      <c r="E367">
        <v>143.4</v>
      </c>
      <c r="F367">
        <v>705</v>
      </c>
      <c r="G367">
        <v>935</v>
      </c>
      <c r="H367">
        <v>0</v>
      </c>
      <c r="I367">
        <v>0</v>
      </c>
      <c r="J367">
        <v>215</v>
      </c>
      <c r="K367">
        <v>90</v>
      </c>
      <c r="L367" s="10">
        <v>21.03</v>
      </c>
      <c r="M367" s="2">
        <v>449.45600000000002</v>
      </c>
      <c r="N367" s="2">
        <f t="shared" si="7"/>
        <v>152.71875</v>
      </c>
      <c r="O367">
        <v>0</v>
      </c>
    </row>
    <row r="368" spans="1:15" x14ac:dyDescent="0.25">
      <c r="A368" s="15"/>
      <c r="B368" s="15"/>
      <c r="C368">
        <v>35</v>
      </c>
      <c r="D368">
        <v>310.7</v>
      </c>
      <c r="E368">
        <v>167.3</v>
      </c>
      <c r="F368">
        <v>705</v>
      </c>
      <c r="G368">
        <v>935</v>
      </c>
      <c r="H368">
        <v>0</v>
      </c>
      <c r="I368">
        <v>0</v>
      </c>
      <c r="J368">
        <v>215</v>
      </c>
      <c r="K368">
        <v>3</v>
      </c>
      <c r="L368" s="10">
        <v>12.39</v>
      </c>
      <c r="M368" s="2">
        <v>449.45600000000002</v>
      </c>
      <c r="N368" s="2">
        <f t="shared" si="7"/>
        <v>143.75624999999999</v>
      </c>
      <c r="O368">
        <v>0</v>
      </c>
    </row>
    <row r="369" spans="1:15" x14ac:dyDescent="0.25">
      <c r="A369" s="15"/>
      <c r="B369" s="15"/>
      <c r="C369">
        <v>35</v>
      </c>
      <c r="D369">
        <v>310.7</v>
      </c>
      <c r="E369">
        <v>167.3</v>
      </c>
      <c r="F369">
        <v>705</v>
      </c>
      <c r="G369">
        <v>935</v>
      </c>
      <c r="H369">
        <v>0</v>
      </c>
      <c r="I369">
        <v>0</v>
      </c>
      <c r="J369">
        <v>215</v>
      </c>
      <c r="K369">
        <v>14</v>
      </c>
      <c r="L369" s="10">
        <v>15.02</v>
      </c>
      <c r="M369" s="2">
        <v>449.45600000000002</v>
      </c>
      <c r="N369" s="2">
        <f t="shared" si="7"/>
        <v>143.75624999999999</v>
      </c>
      <c r="O369">
        <v>0</v>
      </c>
    </row>
    <row r="370" spans="1:15" x14ac:dyDescent="0.25">
      <c r="A370" s="15"/>
      <c r="B370" s="15"/>
      <c r="C370">
        <v>35</v>
      </c>
      <c r="D370">
        <v>310.7</v>
      </c>
      <c r="E370">
        <v>167.3</v>
      </c>
      <c r="F370">
        <v>705</v>
      </c>
      <c r="G370">
        <v>935</v>
      </c>
      <c r="H370">
        <v>0</v>
      </c>
      <c r="I370">
        <v>0</v>
      </c>
      <c r="J370">
        <v>215</v>
      </c>
      <c r="K370">
        <v>56</v>
      </c>
      <c r="L370" s="10">
        <v>16.559999999999999</v>
      </c>
      <c r="M370" s="2">
        <v>449.45600000000002</v>
      </c>
      <c r="N370" s="2">
        <f t="shared" si="7"/>
        <v>143.75624999999999</v>
      </c>
      <c r="O370">
        <v>0</v>
      </c>
    </row>
    <row r="371" spans="1:15" x14ac:dyDescent="0.25">
      <c r="A371" s="15"/>
      <c r="B371" s="15"/>
      <c r="C371">
        <v>35</v>
      </c>
      <c r="D371">
        <v>310.7</v>
      </c>
      <c r="E371">
        <v>167.3</v>
      </c>
      <c r="F371">
        <v>705</v>
      </c>
      <c r="G371">
        <v>935</v>
      </c>
      <c r="H371">
        <v>0</v>
      </c>
      <c r="I371">
        <v>0</v>
      </c>
      <c r="J371">
        <v>215</v>
      </c>
      <c r="K371">
        <v>90</v>
      </c>
      <c r="L371" s="10">
        <v>22.46</v>
      </c>
      <c r="M371" s="2">
        <v>449.45600000000002</v>
      </c>
      <c r="N371" s="2">
        <f t="shared" si="7"/>
        <v>143.75624999999999</v>
      </c>
      <c r="O371">
        <v>0</v>
      </c>
    </row>
    <row r="372" spans="1:15" x14ac:dyDescent="0.25">
      <c r="A372" s="15"/>
      <c r="B372" s="15"/>
      <c r="C372">
        <v>40</v>
      </c>
      <c r="D372">
        <v>286.8</v>
      </c>
      <c r="E372">
        <v>191.2</v>
      </c>
      <c r="F372">
        <v>705</v>
      </c>
      <c r="G372">
        <v>935</v>
      </c>
      <c r="H372">
        <v>0</v>
      </c>
      <c r="I372">
        <v>0</v>
      </c>
      <c r="J372">
        <v>215</v>
      </c>
      <c r="K372">
        <v>3</v>
      </c>
      <c r="L372" s="10">
        <v>15.31</v>
      </c>
      <c r="M372" s="2">
        <v>449.45600000000002</v>
      </c>
      <c r="N372" s="2">
        <f t="shared" si="7"/>
        <v>134.79374999999999</v>
      </c>
      <c r="O372">
        <v>0</v>
      </c>
    </row>
    <row r="373" spans="1:15" x14ac:dyDescent="0.25">
      <c r="A373" s="15"/>
      <c r="B373" s="15"/>
      <c r="C373">
        <v>40</v>
      </c>
      <c r="D373">
        <v>286.8</v>
      </c>
      <c r="E373">
        <v>191.2</v>
      </c>
      <c r="F373">
        <v>705</v>
      </c>
      <c r="G373">
        <v>935</v>
      </c>
      <c r="H373">
        <v>0</v>
      </c>
      <c r="I373">
        <v>0</v>
      </c>
      <c r="J373">
        <v>215</v>
      </c>
      <c r="K373">
        <v>14</v>
      </c>
      <c r="L373" s="10">
        <v>13.51</v>
      </c>
      <c r="M373" s="2">
        <v>449.45600000000002</v>
      </c>
      <c r="N373" s="2">
        <f t="shared" si="7"/>
        <v>134.79374999999999</v>
      </c>
      <c r="O373">
        <v>0</v>
      </c>
    </row>
    <row r="374" spans="1:15" x14ac:dyDescent="0.25">
      <c r="A374" s="15"/>
      <c r="B374" s="15"/>
      <c r="C374">
        <v>40</v>
      </c>
      <c r="D374">
        <v>286.8</v>
      </c>
      <c r="E374">
        <v>191.2</v>
      </c>
      <c r="F374">
        <v>705</v>
      </c>
      <c r="G374">
        <v>935</v>
      </c>
      <c r="H374">
        <v>0</v>
      </c>
      <c r="I374">
        <v>0</v>
      </c>
      <c r="J374">
        <v>215</v>
      </c>
      <c r="K374">
        <v>56</v>
      </c>
      <c r="L374" s="10">
        <v>19.23</v>
      </c>
      <c r="M374" s="2">
        <v>449.45600000000002</v>
      </c>
      <c r="N374" s="2">
        <f t="shared" si="7"/>
        <v>134.79374999999999</v>
      </c>
      <c r="O374">
        <v>0</v>
      </c>
    </row>
    <row r="375" spans="1:15" x14ac:dyDescent="0.25">
      <c r="A375" s="15"/>
      <c r="B375" s="15"/>
      <c r="C375">
        <v>40</v>
      </c>
      <c r="D375">
        <v>286.8</v>
      </c>
      <c r="E375">
        <v>191.2</v>
      </c>
      <c r="F375">
        <v>705</v>
      </c>
      <c r="G375">
        <v>935</v>
      </c>
      <c r="H375">
        <v>0</v>
      </c>
      <c r="I375">
        <v>0</v>
      </c>
      <c r="J375">
        <v>215</v>
      </c>
      <c r="K375">
        <v>90</v>
      </c>
      <c r="L375" s="10">
        <v>15.06</v>
      </c>
      <c r="M375" s="2">
        <v>449.45600000000002</v>
      </c>
      <c r="N375" s="2">
        <f t="shared" si="7"/>
        <v>134.79374999999999</v>
      </c>
      <c r="O375">
        <v>0</v>
      </c>
    </row>
    <row r="376" spans="1:15" x14ac:dyDescent="0.25">
      <c r="A376" s="15"/>
      <c r="B376" s="15"/>
      <c r="C376">
        <v>45</v>
      </c>
      <c r="D376">
        <v>262.89999999999998</v>
      </c>
      <c r="E376">
        <v>215.1</v>
      </c>
      <c r="F376">
        <v>705</v>
      </c>
      <c r="G376">
        <v>935</v>
      </c>
      <c r="H376">
        <v>0</v>
      </c>
      <c r="I376">
        <v>0</v>
      </c>
      <c r="J376">
        <v>215</v>
      </c>
      <c r="K376">
        <v>3</v>
      </c>
      <c r="L376" s="10">
        <v>10.73</v>
      </c>
      <c r="M376" s="2">
        <v>449.45600000000002</v>
      </c>
      <c r="N376" s="2">
        <f t="shared" si="7"/>
        <v>125.83125</v>
      </c>
      <c r="O376">
        <v>0</v>
      </c>
    </row>
    <row r="377" spans="1:15" x14ac:dyDescent="0.25">
      <c r="A377" s="15"/>
      <c r="B377" s="15"/>
      <c r="C377">
        <v>45</v>
      </c>
      <c r="D377">
        <v>262.89999999999998</v>
      </c>
      <c r="E377">
        <v>215.1</v>
      </c>
      <c r="F377">
        <v>705</v>
      </c>
      <c r="G377">
        <v>935</v>
      </c>
      <c r="H377">
        <v>0</v>
      </c>
      <c r="I377">
        <v>0</v>
      </c>
      <c r="J377">
        <v>215</v>
      </c>
      <c r="K377">
        <v>14</v>
      </c>
      <c r="L377" s="10">
        <v>15.3</v>
      </c>
      <c r="M377" s="2">
        <v>449.45600000000002</v>
      </c>
      <c r="N377" s="2">
        <f t="shared" si="7"/>
        <v>125.83125</v>
      </c>
      <c r="O377">
        <v>0</v>
      </c>
    </row>
    <row r="378" spans="1:15" x14ac:dyDescent="0.25">
      <c r="A378" s="15"/>
      <c r="B378" s="15"/>
      <c r="C378">
        <v>45</v>
      </c>
      <c r="D378">
        <v>262.89999999999998</v>
      </c>
      <c r="E378">
        <v>215.1</v>
      </c>
      <c r="F378">
        <v>705</v>
      </c>
      <c r="G378">
        <v>935</v>
      </c>
      <c r="H378">
        <v>0</v>
      </c>
      <c r="I378">
        <v>0</v>
      </c>
      <c r="J378">
        <v>215</v>
      </c>
      <c r="K378">
        <v>56</v>
      </c>
      <c r="L378" s="10">
        <v>13.93</v>
      </c>
      <c r="M378" s="2">
        <v>449.45600000000002</v>
      </c>
      <c r="N378" s="2">
        <f t="shared" si="7"/>
        <v>125.83125</v>
      </c>
      <c r="O378">
        <v>0</v>
      </c>
    </row>
    <row r="379" spans="1:15" x14ac:dyDescent="0.25">
      <c r="A379" s="15"/>
      <c r="B379" s="15"/>
      <c r="C379">
        <v>45</v>
      </c>
      <c r="D379">
        <v>262.89999999999998</v>
      </c>
      <c r="E379">
        <v>215.1</v>
      </c>
      <c r="F379">
        <v>705</v>
      </c>
      <c r="G379">
        <v>935</v>
      </c>
      <c r="H379">
        <v>0</v>
      </c>
      <c r="I379">
        <v>0</v>
      </c>
      <c r="J379">
        <v>215</v>
      </c>
      <c r="K379">
        <v>90</v>
      </c>
      <c r="L379" s="10">
        <v>18.7</v>
      </c>
      <c r="M379" s="2">
        <v>449.45600000000002</v>
      </c>
      <c r="N379" s="2">
        <f t="shared" si="7"/>
        <v>125.83125</v>
      </c>
      <c r="O379">
        <v>0</v>
      </c>
    </row>
    <row r="380" spans="1:15" x14ac:dyDescent="0.25">
      <c r="A380" s="15"/>
      <c r="B380" s="15"/>
      <c r="C380">
        <v>50</v>
      </c>
      <c r="D380">
        <v>239</v>
      </c>
      <c r="E380">
        <v>239</v>
      </c>
      <c r="F380">
        <v>705</v>
      </c>
      <c r="G380">
        <v>935</v>
      </c>
      <c r="H380">
        <v>0</v>
      </c>
      <c r="I380">
        <v>0</v>
      </c>
      <c r="J380">
        <v>215</v>
      </c>
      <c r="K380">
        <v>3</v>
      </c>
      <c r="L380" s="10">
        <v>12.92</v>
      </c>
      <c r="M380" s="2">
        <v>449.45600000000002</v>
      </c>
      <c r="N380" s="2">
        <f t="shared" si="7"/>
        <v>116.86874999999999</v>
      </c>
      <c r="O380">
        <v>0</v>
      </c>
    </row>
    <row r="381" spans="1:15" x14ac:dyDescent="0.25">
      <c r="A381" s="15"/>
      <c r="B381" s="15"/>
      <c r="C381">
        <v>50</v>
      </c>
      <c r="D381">
        <v>239</v>
      </c>
      <c r="E381">
        <v>239</v>
      </c>
      <c r="F381">
        <v>705</v>
      </c>
      <c r="G381">
        <v>935</v>
      </c>
      <c r="H381">
        <v>0</v>
      </c>
      <c r="I381">
        <v>0</v>
      </c>
      <c r="J381">
        <v>215</v>
      </c>
      <c r="K381">
        <v>14</v>
      </c>
      <c r="L381" s="10">
        <v>14.4</v>
      </c>
      <c r="M381" s="2">
        <v>449.45600000000002</v>
      </c>
      <c r="N381" s="2">
        <f t="shared" si="7"/>
        <v>116.86874999999999</v>
      </c>
      <c r="O381">
        <v>0</v>
      </c>
    </row>
    <row r="382" spans="1:15" x14ac:dyDescent="0.25">
      <c r="A382" s="15"/>
      <c r="B382" s="15"/>
      <c r="C382">
        <v>50</v>
      </c>
      <c r="D382">
        <v>239</v>
      </c>
      <c r="E382">
        <v>239</v>
      </c>
      <c r="F382">
        <v>705</v>
      </c>
      <c r="G382">
        <v>935</v>
      </c>
      <c r="H382">
        <v>0</v>
      </c>
      <c r="I382">
        <v>0</v>
      </c>
      <c r="J382">
        <v>215</v>
      </c>
      <c r="K382">
        <v>56</v>
      </c>
      <c r="L382" s="10">
        <v>12.6</v>
      </c>
      <c r="M382" s="2">
        <v>449.45600000000002</v>
      </c>
      <c r="N382" s="2">
        <f t="shared" si="7"/>
        <v>116.86874999999999</v>
      </c>
      <c r="O382">
        <v>0</v>
      </c>
    </row>
    <row r="383" spans="1:15" x14ac:dyDescent="0.25">
      <c r="A383" s="15"/>
      <c r="B383" s="15"/>
      <c r="C383">
        <v>50</v>
      </c>
      <c r="D383">
        <v>239</v>
      </c>
      <c r="E383">
        <v>239</v>
      </c>
      <c r="F383">
        <v>705</v>
      </c>
      <c r="G383">
        <v>935</v>
      </c>
      <c r="H383">
        <v>0</v>
      </c>
      <c r="I383">
        <v>0</v>
      </c>
      <c r="J383">
        <v>215</v>
      </c>
      <c r="K383">
        <v>90</v>
      </c>
      <c r="L383" s="10">
        <v>17.18</v>
      </c>
      <c r="M383" s="2">
        <v>449.45600000000002</v>
      </c>
      <c r="N383" s="2">
        <f t="shared" si="7"/>
        <v>116.86874999999999</v>
      </c>
      <c r="O383">
        <v>0</v>
      </c>
    </row>
    <row r="384" spans="1:15" x14ac:dyDescent="0.25">
      <c r="A384" s="20" t="s">
        <v>28</v>
      </c>
      <c r="B384" s="15" t="s">
        <v>29</v>
      </c>
      <c r="C384">
        <v>0</v>
      </c>
      <c r="D384">
        <v>427</v>
      </c>
      <c r="E384">
        <v>0</v>
      </c>
      <c r="F384">
        <v>787</v>
      </c>
      <c r="G384">
        <v>961</v>
      </c>
      <c r="H384">
        <v>0</v>
      </c>
      <c r="I384">
        <v>0</v>
      </c>
      <c r="J384">
        <v>205</v>
      </c>
      <c r="K384">
        <v>14</v>
      </c>
      <c r="L384" s="10">
        <v>4.4400000000000004</v>
      </c>
      <c r="M384" s="2">
        <v>409.45920000000001</v>
      </c>
      <c r="N384" s="2">
        <f t="shared" si="7"/>
        <v>189.29624999999999</v>
      </c>
      <c r="O384">
        <v>0</v>
      </c>
    </row>
    <row r="385" spans="1:15" x14ac:dyDescent="0.25">
      <c r="A385" s="20"/>
      <c r="B385" s="15"/>
      <c r="C385">
        <v>0</v>
      </c>
      <c r="D385">
        <v>427</v>
      </c>
      <c r="E385">
        <v>0</v>
      </c>
      <c r="F385">
        <v>787</v>
      </c>
      <c r="G385">
        <v>961</v>
      </c>
      <c r="H385">
        <v>0</v>
      </c>
      <c r="I385">
        <v>0</v>
      </c>
      <c r="J385">
        <v>205</v>
      </c>
      <c r="K385">
        <v>56</v>
      </c>
      <c r="L385" s="10">
        <v>8.59</v>
      </c>
      <c r="M385" s="2">
        <v>409.45920000000001</v>
      </c>
      <c r="N385" s="2">
        <f t="shared" si="7"/>
        <v>189.29624999999999</v>
      </c>
      <c r="O385">
        <v>0</v>
      </c>
    </row>
    <row r="386" spans="1:15" x14ac:dyDescent="0.25">
      <c r="A386" s="20"/>
      <c r="B386" s="15"/>
      <c r="C386">
        <v>0</v>
      </c>
      <c r="D386">
        <v>427</v>
      </c>
      <c r="E386">
        <v>0</v>
      </c>
      <c r="F386">
        <v>787</v>
      </c>
      <c r="G386">
        <v>961</v>
      </c>
      <c r="H386">
        <v>0</v>
      </c>
      <c r="I386">
        <v>0</v>
      </c>
      <c r="J386">
        <v>205</v>
      </c>
      <c r="K386">
        <v>90</v>
      </c>
      <c r="L386" s="10">
        <v>10.53</v>
      </c>
      <c r="M386" s="2">
        <v>409.45920000000001</v>
      </c>
      <c r="N386" s="2">
        <f t="shared" si="7"/>
        <v>189.29624999999999</v>
      </c>
      <c r="O386">
        <v>0</v>
      </c>
    </row>
    <row r="387" spans="1:15" x14ac:dyDescent="0.25">
      <c r="A387" s="20"/>
      <c r="B387" s="15"/>
      <c r="C387">
        <v>5</v>
      </c>
      <c r="D387">
        <v>405.65</v>
      </c>
      <c r="E387">
        <v>21.35</v>
      </c>
      <c r="F387">
        <v>787</v>
      </c>
      <c r="G387">
        <v>961</v>
      </c>
      <c r="H387">
        <v>0</v>
      </c>
      <c r="I387">
        <v>0</v>
      </c>
      <c r="J387">
        <v>205</v>
      </c>
      <c r="K387">
        <v>14</v>
      </c>
      <c r="L387" s="10">
        <v>4.62</v>
      </c>
      <c r="M387" s="2">
        <v>409.45920000000001</v>
      </c>
      <c r="N387" s="2">
        <f t="shared" ref="N387:N450" si="8">SUM((D387*5)+((F387*0.25)+(G387*0.2)+(I387*20)))*0.075</f>
        <v>181.29</v>
      </c>
      <c r="O387">
        <v>0</v>
      </c>
    </row>
    <row r="388" spans="1:15" x14ac:dyDescent="0.25">
      <c r="A388" s="20"/>
      <c r="B388" s="15"/>
      <c r="C388">
        <v>5</v>
      </c>
      <c r="D388">
        <v>405.65</v>
      </c>
      <c r="E388">
        <v>21.35</v>
      </c>
      <c r="F388">
        <v>787</v>
      </c>
      <c r="G388">
        <v>961</v>
      </c>
      <c r="H388">
        <v>0</v>
      </c>
      <c r="I388">
        <v>0</v>
      </c>
      <c r="J388">
        <v>205</v>
      </c>
      <c r="K388">
        <v>56</v>
      </c>
      <c r="L388" s="10">
        <v>8.52</v>
      </c>
      <c r="M388" s="2">
        <v>409.45920000000001</v>
      </c>
      <c r="N388" s="2">
        <f t="shared" si="8"/>
        <v>181.29</v>
      </c>
      <c r="O388">
        <v>0</v>
      </c>
    </row>
    <row r="389" spans="1:15" x14ac:dyDescent="0.25">
      <c r="A389" s="20"/>
      <c r="B389" s="15"/>
      <c r="C389">
        <v>5</v>
      </c>
      <c r="D389">
        <v>405.65</v>
      </c>
      <c r="E389">
        <v>21.35</v>
      </c>
      <c r="F389">
        <v>787</v>
      </c>
      <c r="G389">
        <v>961</v>
      </c>
      <c r="H389">
        <v>0</v>
      </c>
      <c r="I389">
        <v>0</v>
      </c>
      <c r="J389">
        <v>205</v>
      </c>
      <c r="K389">
        <v>90</v>
      </c>
      <c r="L389" s="10">
        <v>7.65</v>
      </c>
      <c r="M389" s="2">
        <v>409.45920000000001</v>
      </c>
      <c r="N389" s="2">
        <f t="shared" si="8"/>
        <v>181.29</v>
      </c>
      <c r="O389">
        <v>0</v>
      </c>
    </row>
    <row r="390" spans="1:15" x14ac:dyDescent="0.25">
      <c r="A390" s="20"/>
      <c r="B390" s="15"/>
      <c r="C390">
        <v>10</v>
      </c>
      <c r="D390">
        <v>384.3</v>
      </c>
      <c r="E390">
        <v>42.7</v>
      </c>
      <c r="F390">
        <v>787</v>
      </c>
      <c r="G390">
        <v>961</v>
      </c>
      <c r="H390">
        <v>0</v>
      </c>
      <c r="I390">
        <v>0</v>
      </c>
      <c r="J390">
        <v>205</v>
      </c>
      <c r="K390">
        <v>14</v>
      </c>
      <c r="L390" s="10">
        <v>7.51</v>
      </c>
      <c r="M390" s="2">
        <v>409.45920000000001</v>
      </c>
      <c r="N390" s="2">
        <f t="shared" si="8"/>
        <v>173.28374999999997</v>
      </c>
      <c r="O390">
        <v>0</v>
      </c>
    </row>
    <row r="391" spans="1:15" x14ac:dyDescent="0.25">
      <c r="A391" s="20"/>
      <c r="B391" s="15"/>
      <c r="C391">
        <v>10</v>
      </c>
      <c r="D391">
        <v>384.3</v>
      </c>
      <c r="E391">
        <v>42.7</v>
      </c>
      <c r="F391">
        <v>787</v>
      </c>
      <c r="G391">
        <v>961</v>
      </c>
      <c r="H391">
        <v>0</v>
      </c>
      <c r="I391">
        <v>0</v>
      </c>
      <c r="J391">
        <v>205</v>
      </c>
      <c r="K391">
        <v>56</v>
      </c>
      <c r="L391" s="10">
        <v>7.41</v>
      </c>
      <c r="M391" s="2">
        <v>409.45920000000001</v>
      </c>
      <c r="N391" s="2">
        <f t="shared" si="8"/>
        <v>173.28374999999997</v>
      </c>
      <c r="O391">
        <v>0</v>
      </c>
    </row>
    <row r="392" spans="1:15" x14ac:dyDescent="0.25">
      <c r="A392" s="20"/>
      <c r="B392" s="15"/>
      <c r="C392">
        <v>10</v>
      </c>
      <c r="D392">
        <v>384.3</v>
      </c>
      <c r="E392">
        <v>42.7</v>
      </c>
      <c r="F392">
        <v>787</v>
      </c>
      <c r="G392">
        <v>961</v>
      </c>
      <c r="H392">
        <v>0</v>
      </c>
      <c r="I392">
        <v>0</v>
      </c>
      <c r="J392">
        <v>205</v>
      </c>
      <c r="K392">
        <v>90</v>
      </c>
      <c r="L392" s="10">
        <v>6.72</v>
      </c>
      <c r="M392" s="2">
        <v>409.45920000000001</v>
      </c>
      <c r="N392" s="2">
        <f t="shared" si="8"/>
        <v>173.28374999999997</v>
      </c>
      <c r="O392">
        <v>0</v>
      </c>
    </row>
    <row r="393" spans="1:15" x14ac:dyDescent="0.25">
      <c r="A393" s="20"/>
      <c r="B393" s="15"/>
      <c r="C393">
        <v>15</v>
      </c>
      <c r="D393">
        <v>362.95</v>
      </c>
      <c r="E393">
        <v>64.05</v>
      </c>
      <c r="F393">
        <v>787</v>
      </c>
      <c r="G393">
        <v>961</v>
      </c>
      <c r="H393">
        <v>0</v>
      </c>
      <c r="I393">
        <v>0</v>
      </c>
      <c r="J393">
        <v>205</v>
      </c>
      <c r="K393">
        <v>14</v>
      </c>
      <c r="L393" s="10">
        <v>3.37</v>
      </c>
      <c r="M393" s="2">
        <v>409.45920000000001</v>
      </c>
      <c r="N393" s="2">
        <f t="shared" si="8"/>
        <v>165.27749999999997</v>
      </c>
      <c r="O393">
        <v>0</v>
      </c>
    </row>
    <row r="394" spans="1:15" x14ac:dyDescent="0.25">
      <c r="A394" s="20"/>
      <c r="B394" s="15"/>
      <c r="C394">
        <v>15</v>
      </c>
      <c r="D394">
        <v>362.95</v>
      </c>
      <c r="E394">
        <v>64.05</v>
      </c>
      <c r="F394">
        <v>787</v>
      </c>
      <c r="G394">
        <v>961</v>
      </c>
      <c r="H394">
        <v>0</v>
      </c>
      <c r="I394">
        <v>0</v>
      </c>
      <c r="J394">
        <v>205</v>
      </c>
      <c r="K394">
        <v>56</v>
      </c>
      <c r="L394" s="10">
        <v>5.13</v>
      </c>
      <c r="M394" s="2">
        <v>409.45920000000001</v>
      </c>
      <c r="N394" s="2">
        <f t="shared" si="8"/>
        <v>165.27749999999997</v>
      </c>
      <c r="O394">
        <v>0</v>
      </c>
    </row>
    <row r="395" spans="1:15" x14ac:dyDescent="0.25">
      <c r="A395" s="20"/>
      <c r="B395" s="15"/>
      <c r="C395">
        <v>15</v>
      </c>
      <c r="D395">
        <v>362.95</v>
      </c>
      <c r="E395">
        <v>64.05</v>
      </c>
      <c r="F395">
        <v>787</v>
      </c>
      <c r="G395">
        <v>961</v>
      </c>
      <c r="H395">
        <v>0</v>
      </c>
      <c r="I395">
        <v>0</v>
      </c>
      <c r="J395">
        <v>205</v>
      </c>
      <c r="K395">
        <v>90</v>
      </c>
      <c r="L395" s="10">
        <v>8.7799999999999994</v>
      </c>
      <c r="M395" s="2">
        <v>409.45920000000001</v>
      </c>
      <c r="N395" s="2">
        <f t="shared" si="8"/>
        <v>165.27749999999997</v>
      </c>
      <c r="O395">
        <v>0</v>
      </c>
    </row>
    <row r="396" spans="1:15" x14ac:dyDescent="0.25">
      <c r="A396" s="20"/>
      <c r="B396" s="15"/>
      <c r="C396">
        <v>20</v>
      </c>
      <c r="D396">
        <v>341.6</v>
      </c>
      <c r="E396">
        <v>85.4</v>
      </c>
      <c r="F396">
        <v>787</v>
      </c>
      <c r="G396">
        <v>961</v>
      </c>
      <c r="H396">
        <v>0</v>
      </c>
      <c r="I396">
        <v>0</v>
      </c>
      <c r="J396">
        <v>205</v>
      </c>
      <c r="K396">
        <v>14</v>
      </c>
      <c r="L396" s="10">
        <v>4.93</v>
      </c>
      <c r="M396" s="2">
        <v>409.45920000000001</v>
      </c>
      <c r="N396" s="2">
        <f t="shared" si="8"/>
        <v>157.27124999999998</v>
      </c>
      <c r="O396">
        <v>0</v>
      </c>
    </row>
    <row r="397" spans="1:15" x14ac:dyDescent="0.25">
      <c r="A397" s="20"/>
      <c r="B397" s="15"/>
      <c r="C397">
        <v>20</v>
      </c>
      <c r="D397">
        <v>341.6</v>
      </c>
      <c r="E397">
        <v>85.4</v>
      </c>
      <c r="F397">
        <v>787</v>
      </c>
      <c r="G397">
        <v>961</v>
      </c>
      <c r="H397">
        <v>0</v>
      </c>
      <c r="I397">
        <v>0</v>
      </c>
      <c r="J397">
        <v>205</v>
      </c>
      <c r="K397">
        <v>56</v>
      </c>
      <c r="L397" s="10">
        <v>7.21</v>
      </c>
      <c r="M397" s="2">
        <v>409.45920000000001</v>
      </c>
      <c r="N397" s="2">
        <f t="shared" si="8"/>
        <v>157.27124999999998</v>
      </c>
      <c r="O397">
        <v>0</v>
      </c>
    </row>
    <row r="398" spans="1:15" x14ac:dyDescent="0.25">
      <c r="A398" s="20"/>
      <c r="B398" s="15"/>
      <c r="C398">
        <v>20</v>
      </c>
      <c r="D398">
        <v>341.6</v>
      </c>
      <c r="E398">
        <v>85.4</v>
      </c>
      <c r="F398">
        <v>787</v>
      </c>
      <c r="G398">
        <v>961</v>
      </c>
      <c r="H398">
        <v>0</v>
      </c>
      <c r="I398">
        <v>0</v>
      </c>
      <c r="J398">
        <v>205</v>
      </c>
      <c r="K398">
        <v>90</v>
      </c>
      <c r="L398" s="10">
        <v>10.35</v>
      </c>
      <c r="M398" s="2">
        <v>409.45920000000001</v>
      </c>
      <c r="N398" s="2">
        <f t="shared" si="8"/>
        <v>157.27124999999998</v>
      </c>
      <c r="O398">
        <v>0</v>
      </c>
    </row>
    <row r="399" spans="1:15" x14ac:dyDescent="0.25">
      <c r="A399" s="20"/>
      <c r="B399" s="15"/>
      <c r="C399">
        <v>25</v>
      </c>
      <c r="D399">
        <v>320.25</v>
      </c>
      <c r="E399">
        <v>106.75</v>
      </c>
      <c r="F399">
        <v>787</v>
      </c>
      <c r="G399">
        <v>961</v>
      </c>
      <c r="H399">
        <v>0</v>
      </c>
      <c r="I399">
        <v>0</v>
      </c>
      <c r="J399">
        <v>205</v>
      </c>
      <c r="K399">
        <v>14</v>
      </c>
      <c r="L399" s="10">
        <v>5.1100000000000003</v>
      </c>
      <c r="M399" s="2">
        <v>409.45920000000001</v>
      </c>
      <c r="N399" s="2">
        <f t="shared" si="8"/>
        <v>149.26499999999999</v>
      </c>
      <c r="O399">
        <v>0</v>
      </c>
    </row>
    <row r="400" spans="1:15" x14ac:dyDescent="0.25">
      <c r="A400" s="20"/>
      <c r="B400" s="15"/>
      <c r="C400">
        <v>25</v>
      </c>
      <c r="D400">
        <v>320.25</v>
      </c>
      <c r="E400">
        <v>106.75</v>
      </c>
      <c r="F400">
        <v>787</v>
      </c>
      <c r="G400">
        <v>961</v>
      </c>
      <c r="H400">
        <v>0</v>
      </c>
      <c r="I400">
        <v>0</v>
      </c>
      <c r="J400">
        <v>205</v>
      </c>
      <c r="K400">
        <v>56</v>
      </c>
      <c r="L400" s="10">
        <v>8.68</v>
      </c>
      <c r="M400" s="2">
        <v>409.45920000000001</v>
      </c>
      <c r="N400" s="2">
        <f t="shared" si="8"/>
        <v>149.26499999999999</v>
      </c>
      <c r="O400">
        <v>0</v>
      </c>
    </row>
    <row r="401" spans="1:15" x14ac:dyDescent="0.25">
      <c r="A401" s="20"/>
      <c r="B401" s="15"/>
      <c r="C401">
        <v>25</v>
      </c>
      <c r="D401">
        <v>320.25</v>
      </c>
      <c r="E401">
        <v>106.75</v>
      </c>
      <c r="F401">
        <v>787</v>
      </c>
      <c r="G401">
        <v>961</v>
      </c>
      <c r="H401">
        <v>0</v>
      </c>
      <c r="I401">
        <v>0</v>
      </c>
      <c r="J401">
        <v>205</v>
      </c>
      <c r="K401">
        <v>90</v>
      </c>
      <c r="L401" s="10">
        <v>6.37</v>
      </c>
      <c r="M401" s="2">
        <v>409.45920000000001</v>
      </c>
      <c r="N401" s="2">
        <f t="shared" si="8"/>
        <v>149.26499999999999</v>
      </c>
      <c r="O401">
        <v>0</v>
      </c>
    </row>
    <row r="402" spans="1:15" x14ac:dyDescent="0.25">
      <c r="A402" s="20"/>
      <c r="B402" s="15"/>
      <c r="C402">
        <v>30</v>
      </c>
      <c r="D402">
        <v>298.89999999999998</v>
      </c>
      <c r="E402">
        <v>128.1</v>
      </c>
      <c r="F402">
        <v>787</v>
      </c>
      <c r="G402">
        <v>961</v>
      </c>
      <c r="H402">
        <v>0</v>
      </c>
      <c r="I402">
        <v>0</v>
      </c>
      <c r="J402">
        <v>205</v>
      </c>
      <c r="K402">
        <v>14</v>
      </c>
      <c r="L402" s="10">
        <v>4.88</v>
      </c>
      <c r="M402" s="2">
        <v>409.45920000000001</v>
      </c>
      <c r="N402" s="2">
        <f t="shared" si="8"/>
        <v>141.25874999999999</v>
      </c>
      <c r="O402">
        <v>0</v>
      </c>
    </row>
    <row r="403" spans="1:15" x14ac:dyDescent="0.25">
      <c r="A403" s="20"/>
      <c r="B403" s="15"/>
      <c r="C403">
        <v>30</v>
      </c>
      <c r="D403">
        <v>298.89999999999998</v>
      </c>
      <c r="E403">
        <v>128.1</v>
      </c>
      <c r="F403">
        <v>787</v>
      </c>
      <c r="G403">
        <v>961</v>
      </c>
      <c r="H403">
        <v>0</v>
      </c>
      <c r="I403">
        <v>0</v>
      </c>
      <c r="J403">
        <v>205</v>
      </c>
      <c r="K403">
        <v>56</v>
      </c>
      <c r="L403" s="10">
        <v>5.72</v>
      </c>
      <c r="M403" s="2">
        <v>409.45920000000001</v>
      </c>
      <c r="N403" s="2">
        <f t="shared" si="8"/>
        <v>141.25874999999999</v>
      </c>
      <c r="O403">
        <v>0</v>
      </c>
    </row>
    <row r="404" spans="1:15" x14ac:dyDescent="0.25">
      <c r="A404" s="20"/>
      <c r="B404" s="15"/>
      <c r="C404">
        <v>30</v>
      </c>
      <c r="D404">
        <v>298.89999999999998</v>
      </c>
      <c r="E404">
        <v>128.1</v>
      </c>
      <c r="F404">
        <v>787</v>
      </c>
      <c r="G404">
        <v>961</v>
      </c>
      <c r="H404">
        <v>0</v>
      </c>
      <c r="I404">
        <v>0</v>
      </c>
      <c r="J404">
        <v>205</v>
      </c>
      <c r="K404">
        <v>90</v>
      </c>
      <c r="L404" s="10">
        <v>3.56</v>
      </c>
      <c r="M404" s="2">
        <v>409.45920000000001</v>
      </c>
      <c r="N404" s="2">
        <f t="shared" si="8"/>
        <v>141.25874999999999</v>
      </c>
      <c r="O404">
        <v>0</v>
      </c>
    </row>
    <row r="405" spans="1:15" x14ac:dyDescent="0.25">
      <c r="A405" s="20"/>
      <c r="B405" s="15"/>
      <c r="C405">
        <v>35</v>
      </c>
      <c r="D405">
        <v>277.55</v>
      </c>
      <c r="E405">
        <v>149.44999999999999</v>
      </c>
      <c r="F405">
        <v>787</v>
      </c>
      <c r="G405">
        <v>961</v>
      </c>
      <c r="H405">
        <v>0</v>
      </c>
      <c r="I405">
        <v>0</v>
      </c>
      <c r="J405">
        <v>205</v>
      </c>
      <c r="K405">
        <v>14</v>
      </c>
      <c r="L405" s="10">
        <v>2.95</v>
      </c>
      <c r="M405" s="2">
        <v>409.45920000000001</v>
      </c>
      <c r="N405" s="2">
        <f t="shared" si="8"/>
        <v>133.2525</v>
      </c>
      <c r="O405">
        <v>0</v>
      </c>
    </row>
    <row r="406" spans="1:15" x14ac:dyDescent="0.25">
      <c r="A406" s="20"/>
      <c r="B406" s="15"/>
      <c r="C406">
        <v>35</v>
      </c>
      <c r="D406">
        <v>277.55</v>
      </c>
      <c r="E406">
        <v>149.44999999999999</v>
      </c>
      <c r="F406">
        <v>787</v>
      </c>
      <c r="G406">
        <v>961</v>
      </c>
      <c r="H406">
        <v>0</v>
      </c>
      <c r="I406">
        <v>0</v>
      </c>
      <c r="J406">
        <v>205</v>
      </c>
      <c r="K406">
        <v>56</v>
      </c>
      <c r="L406" s="10">
        <v>2.09</v>
      </c>
      <c r="M406" s="2">
        <v>409.45920000000001</v>
      </c>
      <c r="N406" s="2">
        <f t="shared" si="8"/>
        <v>133.2525</v>
      </c>
      <c r="O406">
        <v>0</v>
      </c>
    </row>
    <row r="407" spans="1:15" x14ac:dyDescent="0.25">
      <c r="A407" s="20"/>
      <c r="B407" s="15"/>
      <c r="C407">
        <v>35</v>
      </c>
      <c r="D407">
        <v>277.55</v>
      </c>
      <c r="E407">
        <v>149.44999999999999</v>
      </c>
      <c r="F407">
        <v>787</v>
      </c>
      <c r="G407">
        <v>961</v>
      </c>
      <c r="H407">
        <v>0</v>
      </c>
      <c r="I407">
        <v>0</v>
      </c>
      <c r="J407">
        <v>205</v>
      </c>
      <c r="K407">
        <v>90</v>
      </c>
      <c r="L407" s="10">
        <v>6.16</v>
      </c>
      <c r="M407" s="2">
        <v>409.45920000000001</v>
      </c>
      <c r="N407" s="2">
        <f t="shared" si="8"/>
        <v>133.2525</v>
      </c>
      <c r="O407">
        <v>0</v>
      </c>
    </row>
    <row r="408" spans="1:15" x14ac:dyDescent="0.25">
      <c r="A408" s="20"/>
      <c r="B408" s="15"/>
      <c r="C408">
        <v>40</v>
      </c>
      <c r="D408">
        <v>256.2</v>
      </c>
      <c r="E408">
        <v>170.8</v>
      </c>
      <c r="F408">
        <v>787</v>
      </c>
      <c r="G408">
        <v>961</v>
      </c>
      <c r="H408">
        <v>0</v>
      </c>
      <c r="I408">
        <v>0</v>
      </c>
      <c r="J408">
        <v>205</v>
      </c>
      <c r="K408">
        <v>14</v>
      </c>
      <c r="L408" s="10">
        <v>4.05</v>
      </c>
      <c r="M408" s="2">
        <v>409.45920000000001</v>
      </c>
      <c r="N408" s="2">
        <f t="shared" si="8"/>
        <v>125.24625</v>
      </c>
      <c r="O408">
        <v>0</v>
      </c>
    </row>
    <row r="409" spans="1:15" x14ac:dyDescent="0.25">
      <c r="A409" s="20"/>
      <c r="B409" s="15"/>
      <c r="C409">
        <v>40</v>
      </c>
      <c r="D409">
        <v>256.2</v>
      </c>
      <c r="E409">
        <v>170.8</v>
      </c>
      <c r="F409">
        <v>787</v>
      </c>
      <c r="G409">
        <v>961</v>
      </c>
      <c r="H409">
        <v>0</v>
      </c>
      <c r="I409">
        <v>0</v>
      </c>
      <c r="J409">
        <v>205</v>
      </c>
      <c r="K409">
        <v>56</v>
      </c>
      <c r="L409" s="10">
        <v>8.6999999999999993</v>
      </c>
      <c r="M409" s="2">
        <v>409.45920000000001</v>
      </c>
      <c r="N409" s="2">
        <f t="shared" si="8"/>
        <v>125.24625</v>
      </c>
      <c r="O409">
        <v>0</v>
      </c>
    </row>
    <row r="410" spans="1:15" x14ac:dyDescent="0.25">
      <c r="A410" s="20"/>
      <c r="B410" s="15"/>
      <c r="C410">
        <v>40</v>
      </c>
      <c r="D410">
        <v>256.2</v>
      </c>
      <c r="E410">
        <v>170.8</v>
      </c>
      <c r="F410">
        <v>787</v>
      </c>
      <c r="G410">
        <v>961</v>
      </c>
      <c r="H410">
        <v>0</v>
      </c>
      <c r="I410">
        <v>0</v>
      </c>
      <c r="J410">
        <v>205</v>
      </c>
      <c r="K410">
        <v>90</v>
      </c>
      <c r="L410" s="10">
        <v>1</v>
      </c>
      <c r="M410" s="2">
        <v>409.45920000000001</v>
      </c>
      <c r="N410" s="2">
        <f t="shared" si="8"/>
        <v>125.24625</v>
      </c>
      <c r="O410">
        <v>0</v>
      </c>
    </row>
    <row r="411" spans="1:15" x14ac:dyDescent="0.25">
      <c r="A411" s="20"/>
      <c r="B411" s="15"/>
      <c r="C411">
        <v>45</v>
      </c>
      <c r="D411">
        <v>234.85</v>
      </c>
      <c r="E411">
        <v>192.15</v>
      </c>
      <c r="F411">
        <v>787</v>
      </c>
      <c r="G411">
        <v>961</v>
      </c>
      <c r="H411">
        <v>0</v>
      </c>
      <c r="I411">
        <v>0</v>
      </c>
      <c r="J411">
        <v>205</v>
      </c>
      <c r="K411">
        <v>14</v>
      </c>
      <c r="L411" s="10">
        <v>3.01</v>
      </c>
      <c r="M411" s="2">
        <v>409.45920000000001</v>
      </c>
      <c r="N411" s="2">
        <f t="shared" si="8"/>
        <v>117.24</v>
      </c>
      <c r="O411">
        <v>0</v>
      </c>
    </row>
    <row r="412" spans="1:15" x14ac:dyDescent="0.25">
      <c r="A412" s="20"/>
      <c r="B412" s="15"/>
      <c r="C412">
        <v>45</v>
      </c>
      <c r="D412">
        <v>234.85</v>
      </c>
      <c r="E412">
        <v>192.15</v>
      </c>
      <c r="F412">
        <v>787</v>
      </c>
      <c r="G412">
        <v>961</v>
      </c>
      <c r="H412">
        <v>0</v>
      </c>
      <c r="I412">
        <v>0</v>
      </c>
      <c r="J412">
        <v>205</v>
      </c>
      <c r="K412">
        <v>56</v>
      </c>
      <c r="L412" s="10">
        <v>6.16</v>
      </c>
      <c r="M412" s="2">
        <v>409.45920000000001</v>
      </c>
      <c r="N412" s="2">
        <f t="shared" si="8"/>
        <v>117.24</v>
      </c>
      <c r="O412">
        <v>0</v>
      </c>
    </row>
    <row r="413" spans="1:15" x14ac:dyDescent="0.25">
      <c r="A413" s="20"/>
      <c r="B413" s="15"/>
      <c r="C413">
        <v>45</v>
      </c>
      <c r="D413">
        <v>234.85</v>
      </c>
      <c r="E413">
        <v>192.15</v>
      </c>
      <c r="F413">
        <v>787</v>
      </c>
      <c r="G413">
        <v>961</v>
      </c>
      <c r="H413">
        <v>0</v>
      </c>
      <c r="I413">
        <v>0</v>
      </c>
      <c r="J413">
        <v>205</v>
      </c>
      <c r="K413">
        <v>90</v>
      </c>
      <c r="L413" s="10">
        <v>3.87</v>
      </c>
      <c r="M413" s="2">
        <v>409.45920000000001</v>
      </c>
      <c r="N413" s="2">
        <f t="shared" si="8"/>
        <v>117.24</v>
      </c>
      <c r="O413">
        <v>0</v>
      </c>
    </row>
    <row r="414" spans="1:15" x14ac:dyDescent="0.25">
      <c r="A414" s="20"/>
      <c r="B414" s="15"/>
      <c r="C414">
        <v>50</v>
      </c>
      <c r="D414">
        <v>213.5</v>
      </c>
      <c r="E414">
        <v>213.5</v>
      </c>
      <c r="F414">
        <v>787</v>
      </c>
      <c r="G414">
        <v>961</v>
      </c>
      <c r="H414">
        <v>0</v>
      </c>
      <c r="I414">
        <v>0</v>
      </c>
      <c r="J414">
        <v>205</v>
      </c>
      <c r="K414">
        <v>14</v>
      </c>
      <c r="L414" s="10">
        <v>5.6</v>
      </c>
      <c r="M414" s="2">
        <v>409.45920000000001</v>
      </c>
      <c r="N414" s="2">
        <f t="shared" si="8"/>
        <v>109.23375</v>
      </c>
      <c r="O414">
        <v>0</v>
      </c>
    </row>
    <row r="415" spans="1:15" x14ac:dyDescent="0.25">
      <c r="A415" s="20"/>
      <c r="B415" s="15"/>
      <c r="C415">
        <v>50</v>
      </c>
      <c r="D415">
        <v>213.5</v>
      </c>
      <c r="E415">
        <v>213.5</v>
      </c>
      <c r="F415">
        <v>787</v>
      </c>
      <c r="G415">
        <v>961</v>
      </c>
      <c r="H415">
        <v>0</v>
      </c>
      <c r="I415">
        <v>0</v>
      </c>
      <c r="J415">
        <v>205</v>
      </c>
      <c r="K415">
        <v>56</v>
      </c>
      <c r="L415" s="10">
        <v>4.3499999999999996</v>
      </c>
      <c r="M415" s="2">
        <v>409.45920000000001</v>
      </c>
      <c r="N415" s="2">
        <f t="shared" si="8"/>
        <v>109.23375</v>
      </c>
      <c r="O415">
        <v>0</v>
      </c>
    </row>
    <row r="416" spans="1:15" x14ac:dyDescent="0.25">
      <c r="A416" s="20"/>
      <c r="B416" s="15"/>
      <c r="C416">
        <v>50</v>
      </c>
      <c r="D416">
        <v>213.5</v>
      </c>
      <c r="E416">
        <v>213.5</v>
      </c>
      <c r="F416">
        <v>787</v>
      </c>
      <c r="G416">
        <v>961</v>
      </c>
      <c r="H416">
        <v>0</v>
      </c>
      <c r="I416">
        <v>0</v>
      </c>
      <c r="J416">
        <v>205</v>
      </c>
      <c r="K416">
        <v>90</v>
      </c>
      <c r="L416" s="10">
        <v>2.65</v>
      </c>
      <c r="M416" s="2">
        <v>409.45920000000001</v>
      </c>
      <c r="N416" s="2">
        <f t="shared" si="8"/>
        <v>109.23375</v>
      </c>
      <c r="O416">
        <v>0</v>
      </c>
    </row>
    <row r="417" spans="1:15" x14ac:dyDescent="0.25">
      <c r="A417" s="15" t="s">
        <v>30</v>
      </c>
      <c r="B417" s="15" t="s">
        <v>31</v>
      </c>
      <c r="C417">
        <v>0</v>
      </c>
      <c r="D417">
        <v>480</v>
      </c>
      <c r="E417">
        <v>0</v>
      </c>
      <c r="F417">
        <v>925</v>
      </c>
      <c r="G417">
        <v>758</v>
      </c>
      <c r="H417">
        <v>0</v>
      </c>
      <c r="I417">
        <v>6.24</v>
      </c>
      <c r="J417">
        <v>168</v>
      </c>
      <c r="K417">
        <v>3</v>
      </c>
      <c r="L417" s="10">
        <v>35.950000000000003</v>
      </c>
      <c r="M417" s="2">
        <v>458.52969999999999</v>
      </c>
      <c r="N417" s="2">
        <f t="shared" si="8"/>
        <v>218.07374999999999</v>
      </c>
      <c r="O417">
        <v>0</v>
      </c>
    </row>
    <row r="418" spans="1:15" x14ac:dyDescent="0.25">
      <c r="A418" s="15"/>
      <c r="B418" s="15"/>
      <c r="C418">
        <v>0</v>
      </c>
      <c r="D418">
        <v>480</v>
      </c>
      <c r="E418">
        <v>0</v>
      </c>
      <c r="F418">
        <v>925</v>
      </c>
      <c r="G418">
        <v>758</v>
      </c>
      <c r="H418">
        <v>0</v>
      </c>
      <c r="I418">
        <v>6.24</v>
      </c>
      <c r="J418">
        <v>168</v>
      </c>
      <c r="K418">
        <v>14</v>
      </c>
      <c r="L418" s="10">
        <v>47.24</v>
      </c>
      <c r="M418" s="2">
        <v>458.52969999999999</v>
      </c>
      <c r="N418" s="2">
        <f t="shared" si="8"/>
        <v>218.07374999999999</v>
      </c>
      <c r="O418">
        <v>0</v>
      </c>
    </row>
    <row r="419" spans="1:15" x14ac:dyDescent="0.25">
      <c r="A419" s="15"/>
      <c r="B419" s="15"/>
      <c r="C419">
        <v>0</v>
      </c>
      <c r="D419">
        <v>480</v>
      </c>
      <c r="E419">
        <v>0</v>
      </c>
      <c r="F419">
        <v>925</v>
      </c>
      <c r="G419">
        <v>758</v>
      </c>
      <c r="H419">
        <v>0</v>
      </c>
      <c r="I419">
        <v>6.24</v>
      </c>
      <c r="J419">
        <v>168</v>
      </c>
      <c r="K419">
        <v>56</v>
      </c>
      <c r="L419" s="10">
        <v>55.95</v>
      </c>
      <c r="M419" s="2">
        <v>458.52969999999999</v>
      </c>
      <c r="N419" s="2">
        <f t="shared" si="8"/>
        <v>218.07374999999999</v>
      </c>
      <c r="O419">
        <v>0</v>
      </c>
    </row>
    <row r="420" spans="1:15" x14ac:dyDescent="0.25">
      <c r="A420" s="15"/>
      <c r="B420" s="15"/>
      <c r="C420">
        <v>0</v>
      </c>
      <c r="D420">
        <v>480</v>
      </c>
      <c r="E420">
        <v>0</v>
      </c>
      <c r="F420">
        <v>925</v>
      </c>
      <c r="G420">
        <v>758</v>
      </c>
      <c r="H420">
        <v>0</v>
      </c>
      <c r="I420">
        <v>6.24</v>
      </c>
      <c r="J420">
        <v>168</v>
      </c>
      <c r="K420">
        <v>90</v>
      </c>
      <c r="L420" s="10">
        <v>61.03</v>
      </c>
      <c r="M420" s="2">
        <v>458.52969999999999</v>
      </c>
      <c r="N420" s="2">
        <f t="shared" si="8"/>
        <v>218.07374999999999</v>
      </c>
      <c r="O420">
        <v>0</v>
      </c>
    </row>
    <row r="421" spans="1:15" x14ac:dyDescent="0.25">
      <c r="A421" s="15"/>
      <c r="B421" s="15"/>
      <c r="C421">
        <v>5</v>
      </c>
      <c r="D421">
        <v>456</v>
      </c>
      <c r="E421">
        <v>24</v>
      </c>
      <c r="F421">
        <v>925</v>
      </c>
      <c r="G421">
        <v>758</v>
      </c>
      <c r="H421">
        <v>0</v>
      </c>
      <c r="I421">
        <v>6.24</v>
      </c>
      <c r="J421">
        <v>168</v>
      </c>
      <c r="K421">
        <v>3</v>
      </c>
      <c r="L421" s="10">
        <v>38.450000000000003</v>
      </c>
      <c r="M421" s="2">
        <v>458.52969999999999</v>
      </c>
      <c r="N421" s="2">
        <f t="shared" si="8"/>
        <v>209.07374999999999</v>
      </c>
      <c r="O421">
        <v>0</v>
      </c>
    </row>
    <row r="422" spans="1:15" x14ac:dyDescent="0.25">
      <c r="A422" s="15"/>
      <c r="B422" s="15"/>
      <c r="C422">
        <v>5</v>
      </c>
      <c r="D422">
        <v>456</v>
      </c>
      <c r="E422">
        <v>24</v>
      </c>
      <c r="F422">
        <v>925</v>
      </c>
      <c r="G422">
        <v>758</v>
      </c>
      <c r="H422">
        <v>0</v>
      </c>
      <c r="I422">
        <v>6.24</v>
      </c>
      <c r="J422">
        <v>168</v>
      </c>
      <c r="K422">
        <v>14</v>
      </c>
      <c r="L422" s="10">
        <v>46.27</v>
      </c>
      <c r="M422" s="2">
        <v>458.52969999999999</v>
      </c>
      <c r="N422" s="2">
        <f t="shared" si="8"/>
        <v>209.07374999999999</v>
      </c>
      <c r="O422">
        <v>0</v>
      </c>
    </row>
    <row r="423" spans="1:15" x14ac:dyDescent="0.25">
      <c r="A423" s="15"/>
      <c r="B423" s="15"/>
      <c r="C423">
        <v>5</v>
      </c>
      <c r="D423">
        <v>456</v>
      </c>
      <c r="E423">
        <v>24</v>
      </c>
      <c r="F423">
        <v>925</v>
      </c>
      <c r="G423">
        <v>758</v>
      </c>
      <c r="H423">
        <v>0</v>
      </c>
      <c r="I423">
        <v>6.24</v>
      </c>
      <c r="J423">
        <v>168</v>
      </c>
      <c r="K423">
        <v>56</v>
      </c>
      <c r="L423" s="10">
        <v>54.48</v>
      </c>
      <c r="M423" s="2">
        <v>458.52969999999999</v>
      </c>
      <c r="N423" s="2">
        <f t="shared" si="8"/>
        <v>209.07374999999999</v>
      </c>
      <c r="O423">
        <v>0</v>
      </c>
    </row>
    <row r="424" spans="1:15" x14ac:dyDescent="0.25">
      <c r="A424" s="15"/>
      <c r="B424" s="15"/>
      <c r="C424">
        <v>5</v>
      </c>
      <c r="D424">
        <v>456</v>
      </c>
      <c r="E424">
        <v>24</v>
      </c>
      <c r="F424">
        <v>925</v>
      </c>
      <c r="G424">
        <v>758</v>
      </c>
      <c r="H424">
        <v>0</v>
      </c>
      <c r="I424">
        <v>6.24</v>
      </c>
      <c r="J424">
        <v>168</v>
      </c>
      <c r="K424">
        <v>90</v>
      </c>
      <c r="L424" s="10">
        <v>59.06</v>
      </c>
      <c r="M424" s="2">
        <v>458.52969999999999</v>
      </c>
      <c r="N424" s="2">
        <f t="shared" si="8"/>
        <v>209.07374999999999</v>
      </c>
      <c r="O424">
        <v>0</v>
      </c>
    </row>
    <row r="425" spans="1:15" x14ac:dyDescent="0.25">
      <c r="A425" s="15"/>
      <c r="B425" s="15"/>
      <c r="C425">
        <v>10</v>
      </c>
      <c r="D425">
        <v>432</v>
      </c>
      <c r="E425">
        <v>48</v>
      </c>
      <c r="F425">
        <v>925</v>
      </c>
      <c r="G425">
        <v>758</v>
      </c>
      <c r="H425">
        <v>0</v>
      </c>
      <c r="I425">
        <v>6.24</v>
      </c>
      <c r="J425">
        <v>168</v>
      </c>
      <c r="K425">
        <v>3</v>
      </c>
      <c r="L425" s="10">
        <v>36.51</v>
      </c>
      <c r="M425" s="2">
        <v>458.52969999999999</v>
      </c>
      <c r="N425" s="2">
        <f t="shared" si="8"/>
        <v>200.07374999999999</v>
      </c>
      <c r="O425">
        <v>0</v>
      </c>
    </row>
    <row r="426" spans="1:15" x14ac:dyDescent="0.25">
      <c r="A426" s="15"/>
      <c r="B426" s="15"/>
      <c r="C426">
        <v>10</v>
      </c>
      <c r="D426">
        <v>432</v>
      </c>
      <c r="E426">
        <v>48</v>
      </c>
      <c r="F426">
        <v>925</v>
      </c>
      <c r="G426">
        <v>758</v>
      </c>
      <c r="H426">
        <v>0</v>
      </c>
      <c r="I426">
        <v>6.24</v>
      </c>
      <c r="J426">
        <v>168</v>
      </c>
      <c r="K426">
        <v>14</v>
      </c>
      <c r="L426" s="10">
        <v>46.83</v>
      </c>
      <c r="M426" s="2">
        <v>458.52969999999999</v>
      </c>
      <c r="N426" s="2">
        <f t="shared" si="8"/>
        <v>200.07374999999999</v>
      </c>
      <c r="O426">
        <v>0</v>
      </c>
    </row>
    <row r="427" spans="1:15" x14ac:dyDescent="0.25">
      <c r="A427" s="15"/>
      <c r="B427" s="15"/>
      <c r="C427">
        <v>10</v>
      </c>
      <c r="D427">
        <v>432</v>
      </c>
      <c r="E427">
        <v>48</v>
      </c>
      <c r="F427">
        <v>925</v>
      </c>
      <c r="G427">
        <v>758</v>
      </c>
      <c r="H427">
        <v>0</v>
      </c>
      <c r="I427">
        <v>6.24</v>
      </c>
      <c r="J427">
        <v>168</v>
      </c>
      <c r="K427">
        <v>56</v>
      </c>
      <c r="L427" s="10">
        <v>55.53</v>
      </c>
      <c r="M427" s="2">
        <v>458.52969999999999</v>
      </c>
      <c r="N427" s="2">
        <f t="shared" si="8"/>
        <v>200.07374999999999</v>
      </c>
      <c r="O427">
        <v>0</v>
      </c>
    </row>
    <row r="428" spans="1:15" x14ac:dyDescent="0.25">
      <c r="A428" s="15"/>
      <c r="B428" s="15"/>
      <c r="C428">
        <v>10</v>
      </c>
      <c r="D428">
        <v>432</v>
      </c>
      <c r="E428">
        <v>48</v>
      </c>
      <c r="F428">
        <v>925</v>
      </c>
      <c r="G428">
        <v>758</v>
      </c>
      <c r="H428">
        <v>0</v>
      </c>
      <c r="I428">
        <v>6.24</v>
      </c>
      <c r="J428">
        <v>168</v>
      </c>
      <c r="K428">
        <v>90</v>
      </c>
      <c r="L428" s="10">
        <v>51.8</v>
      </c>
      <c r="M428" s="2">
        <v>458.52969999999999</v>
      </c>
      <c r="N428" s="2">
        <f t="shared" si="8"/>
        <v>200.07374999999999</v>
      </c>
      <c r="O428">
        <v>0</v>
      </c>
    </row>
    <row r="429" spans="1:15" x14ac:dyDescent="0.25">
      <c r="A429" s="15"/>
      <c r="B429" s="15"/>
      <c r="C429">
        <v>15</v>
      </c>
      <c r="D429">
        <v>408</v>
      </c>
      <c r="E429">
        <v>72</v>
      </c>
      <c r="F429">
        <v>925</v>
      </c>
      <c r="G429">
        <v>758</v>
      </c>
      <c r="H429">
        <v>0</v>
      </c>
      <c r="I429">
        <v>6.24</v>
      </c>
      <c r="J429">
        <v>168</v>
      </c>
      <c r="K429">
        <v>3</v>
      </c>
      <c r="L429" s="10">
        <v>32.61</v>
      </c>
      <c r="M429" s="2">
        <v>458.52969999999999</v>
      </c>
      <c r="N429" s="2">
        <f t="shared" si="8"/>
        <v>191.07374999999999</v>
      </c>
      <c r="O429">
        <v>0</v>
      </c>
    </row>
    <row r="430" spans="1:15" x14ac:dyDescent="0.25">
      <c r="A430" s="15"/>
      <c r="B430" s="15"/>
      <c r="C430">
        <v>15</v>
      </c>
      <c r="D430">
        <v>408</v>
      </c>
      <c r="E430">
        <v>72</v>
      </c>
      <c r="F430">
        <v>925</v>
      </c>
      <c r="G430">
        <v>758</v>
      </c>
      <c r="H430">
        <v>0</v>
      </c>
      <c r="I430">
        <v>6.24</v>
      </c>
      <c r="J430">
        <v>168</v>
      </c>
      <c r="K430">
        <v>14</v>
      </c>
      <c r="L430" s="10">
        <v>41.24</v>
      </c>
      <c r="M430" s="2">
        <v>458.52969999999999</v>
      </c>
      <c r="N430" s="2">
        <f t="shared" si="8"/>
        <v>191.07374999999999</v>
      </c>
      <c r="O430">
        <v>0</v>
      </c>
    </row>
    <row r="431" spans="1:15" x14ac:dyDescent="0.25">
      <c r="A431" s="15"/>
      <c r="B431" s="15"/>
      <c r="C431">
        <v>15</v>
      </c>
      <c r="D431">
        <v>408</v>
      </c>
      <c r="E431">
        <v>72</v>
      </c>
      <c r="F431">
        <v>925</v>
      </c>
      <c r="G431">
        <v>758</v>
      </c>
      <c r="H431">
        <v>0</v>
      </c>
      <c r="I431">
        <v>6.24</v>
      </c>
      <c r="J431">
        <v>168</v>
      </c>
      <c r="K431">
        <v>56</v>
      </c>
      <c r="L431" s="10">
        <v>46.49</v>
      </c>
      <c r="M431" s="2">
        <v>458.52969999999999</v>
      </c>
      <c r="N431" s="2">
        <f t="shared" si="8"/>
        <v>191.07374999999999</v>
      </c>
      <c r="O431">
        <v>0</v>
      </c>
    </row>
    <row r="432" spans="1:15" x14ac:dyDescent="0.25">
      <c r="A432" s="15"/>
      <c r="B432" s="15"/>
      <c r="C432">
        <v>15</v>
      </c>
      <c r="D432">
        <v>408</v>
      </c>
      <c r="E432">
        <v>72</v>
      </c>
      <c r="F432">
        <v>925</v>
      </c>
      <c r="G432">
        <v>758</v>
      </c>
      <c r="H432">
        <v>0</v>
      </c>
      <c r="I432">
        <v>6.24</v>
      </c>
      <c r="J432">
        <v>168</v>
      </c>
      <c r="K432">
        <v>90</v>
      </c>
      <c r="L432" s="10">
        <v>48.06</v>
      </c>
      <c r="M432" s="2">
        <v>458.52969999999999</v>
      </c>
      <c r="N432" s="2">
        <f t="shared" si="8"/>
        <v>191.07374999999999</v>
      </c>
      <c r="O432">
        <v>0</v>
      </c>
    </row>
    <row r="433" spans="1:15" x14ac:dyDescent="0.25">
      <c r="A433" s="15"/>
      <c r="B433" s="15"/>
      <c r="C433">
        <v>20</v>
      </c>
      <c r="D433">
        <v>384</v>
      </c>
      <c r="E433">
        <v>96</v>
      </c>
      <c r="F433">
        <v>925</v>
      </c>
      <c r="G433">
        <v>758</v>
      </c>
      <c r="H433">
        <v>0</v>
      </c>
      <c r="I433">
        <v>6.24</v>
      </c>
      <c r="J433">
        <v>168</v>
      </c>
      <c r="K433">
        <v>3</v>
      </c>
      <c r="L433" s="10">
        <v>34.369999999999997</v>
      </c>
      <c r="M433" s="2">
        <v>458.52969999999999</v>
      </c>
      <c r="N433" s="2">
        <f t="shared" si="8"/>
        <v>182.07374999999999</v>
      </c>
      <c r="O433">
        <v>0</v>
      </c>
    </row>
    <row r="434" spans="1:15" x14ac:dyDescent="0.25">
      <c r="A434" s="15"/>
      <c r="B434" s="15"/>
      <c r="C434">
        <v>20</v>
      </c>
      <c r="D434">
        <v>384</v>
      </c>
      <c r="E434">
        <v>96</v>
      </c>
      <c r="F434">
        <v>925</v>
      </c>
      <c r="G434">
        <v>758</v>
      </c>
      <c r="H434">
        <v>0</v>
      </c>
      <c r="I434">
        <v>6.24</v>
      </c>
      <c r="J434">
        <v>168</v>
      </c>
      <c r="K434">
        <v>14</v>
      </c>
      <c r="L434" s="10">
        <v>42</v>
      </c>
      <c r="M434" s="2">
        <v>458.52969999999999</v>
      </c>
      <c r="N434" s="2">
        <f t="shared" si="8"/>
        <v>182.07374999999999</v>
      </c>
      <c r="O434">
        <v>0</v>
      </c>
    </row>
    <row r="435" spans="1:15" x14ac:dyDescent="0.25">
      <c r="A435" s="15"/>
      <c r="B435" s="15"/>
      <c r="C435">
        <v>20</v>
      </c>
      <c r="D435">
        <v>384</v>
      </c>
      <c r="E435">
        <v>96</v>
      </c>
      <c r="F435">
        <v>925</v>
      </c>
      <c r="G435">
        <v>758</v>
      </c>
      <c r="H435">
        <v>0</v>
      </c>
      <c r="I435">
        <v>6.24</v>
      </c>
      <c r="J435">
        <v>168</v>
      </c>
      <c r="K435">
        <v>56</v>
      </c>
      <c r="L435" s="10">
        <v>48.52</v>
      </c>
      <c r="M435" s="2">
        <v>458.52969999999999</v>
      </c>
      <c r="N435" s="2">
        <f t="shared" si="8"/>
        <v>182.07374999999999</v>
      </c>
      <c r="O435">
        <v>0</v>
      </c>
    </row>
    <row r="436" spans="1:15" x14ac:dyDescent="0.25">
      <c r="A436" s="15"/>
      <c r="B436" s="15"/>
      <c r="C436">
        <v>20</v>
      </c>
      <c r="D436">
        <v>384</v>
      </c>
      <c r="E436">
        <v>96</v>
      </c>
      <c r="F436">
        <v>925</v>
      </c>
      <c r="G436">
        <v>758</v>
      </c>
      <c r="H436">
        <v>0</v>
      </c>
      <c r="I436">
        <v>6.24</v>
      </c>
      <c r="J436">
        <v>168</v>
      </c>
      <c r="K436">
        <v>90</v>
      </c>
      <c r="L436" s="10">
        <v>48.85</v>
      </c>
      <c r="M436" s="2">
        <v>458.52969999999999</v>
      </c>
      <c r="N436" s="2">
        <f t="shared" si="8"/>
        <v>182.07374999999999</v>
      </c>
      <c r="O436">
        <v>0</v>
      </c>
    </row>
    <row r="437" spans="1:15" x14ac:dyDescent="0.25">
      <c r="A437" s="15"/>
      <c r="B437" s="15"/>
      <c r="C437">
        <v>25</v>
      </c>
      <c r="D437">
        <v>360</v>
      </c>
      <c r="E437">
        <v>120</v>
      </c>
      <c r="F437">
        <v>925</v>
      </c>
      <c r="G437">
        <v>758</v>
      </c>
      <c r="H437">
        <v>0</v>
      </c>
      <c r="I437">
        <v>6.24</v>
      </c>
      <c r="J437">
        <v>168</v>
      </c>
      <c r="K437">
        <v>3</v>
      </c>
      <c r="L437" s="10">
        <v>33.49</v>
      </c>
      <c r="M437" s="2">
        <v>458.52969999999999</v>
      </c>
      <c r="N437" s="2">
        <f t="shared" si="8"/>
        <v>173.07374999999999</v>
      </c>
      <c r="O437">
        <v>0</v>
      </c>
    </row>
    <row r="438" spans="1:15" x14ac:dyDescent="0.25">
      <c r="A438" s="15"/>
      <c r="B438" s="15"/>
      <c r="C438">
        <v>25</v>
      </c>
      <c r="D438">
        <v>360</v>
      </c>
      <c r="E438">
        <v>120</v>
      </c>
      <c r="F438">
        <v>925</v>
      </c>
      <c r="G438">
        <v>758</v>
      </c>
      <c r="H438">
        <v>0</v>
      </c>
      <c r="I438">
        <v>6.24</v>
      </c>
      <c r="J438">
        <v>168</v>
      </c>
      <c r="K438">
        <v>14</v>
      </c>
      <c r="L438" s="10">
        <v>39.799999999999997</v>
      </c>
      <c r="M438" s="2">
        <v>458.52969999999999</v>
      </c>
      <c r="N438" s="2">
        <f t="shared" si="8"/>
        <v>173.07374999999999</v>
      </c>
      <c r="O438">
        <v>0</v>
      </c>
    </row>
    <row r="439" spans="1:15" x14ac:dyDescent="0.25">
      <c r="A439" s="15"/>
      <c r="B439" s="15"/>
      <c r="C439">
        <v>25</v>
      </c>
      <c r="D439">
        <v>360</v>
      </c>
      <c r="E439">
        <v>120</v>
      </c>
      <c r="F439">
        <v>925</v>
      </c>
      <c r="G439">
        <v>758</v>
      </c>
      <c r="H439">
        <v>0</v>
      </c>
      <c r="I439">
        <v>6.24</v>
      </c>
      <c r="J439">
        <v>168</v>
      </c>
      <c r="K439">
        <v>56</v>
      </c>
      <c r="L439" s="10">
        <v>42.87</v>
      </c>
      <c r="M439" s="2">
        <v>458.52969999999999</v>
      </c>
      <c r="N439" s="2">
        <f t="shared" si="8"/>
        <v>173.07374999999999</v>
      </c>
      <c r="O439">
        <v>0</v>
      </c>
    </row>
    <row r="440" spans="1:15" x14ac:dyDescent="0.25">
      <c r="A440" s="15"/>
      <c r="B440" s="15"/>
      <c r="C440">
        <v>25</v>
      </c>
      <c r="D440">
        <v>360</v>
      </c>
      <c r="E440">
        <v>120</v>
      </c>
      <c r="F440">
        <v>925</v>
      </c>
      <c r="G440">
        <v>758</v>
      </c>
      <c r="H440">
        <v>0</v>
      </c>
      <c r="I440">
        <v>6.24</v>
      </c>
      <c r="J440">
        <v>168</v>
      </c>
      <c r="K440">
        <v>90</v>
      </c>
      <c r="L440" s="10">
        <v>48.06</v>
      </c>
      <c r="M440" s="2">
        <v>458.52969999999999</v>
      </c>
      <c r="N440" s="2">
        <f t="shared" si="8"/>
        <v>173.07374999999999</v>
      </c>
      <c r="O440">
        <v>0</v>
      </c>
    </row>
    <row r="441" spans="1:15" x14ac:dyDescent="0.25">
      <c r="A441" s="15"/>
      <c r="B441" s="15"/>
      <c r="C441">
        <v>30</v>
      </c>
      <c r="D441">
        <v>336</v>
      </c>
      <c r="E441">
        <v>144</v>
      </c>
      <c r="F441">
        <v>925</v>
      </c>
      <c r="G441">
        <v>758</v>
      </c>
      <c r="H441">
        <v>0</v>
      </c>
      <c r="I441">
        <v>6.24</v>
      </c>
      <c r="J441">
        <v>168</v>
      </c>
      <c r="K441">
        <v>3</v>
      </c>
      <c r="L441" s="10">
        <v>30.05</v>
      </c>
      <c r="M441" s="2">
        <v>458.52969999999999</v>
      </c>
      <c r="N441" s="2">
        <f t="shared" si="8"/>
        <v>164.07374999999999</v>
      </c>
      <c r="O441">
        <v>0</v>
      </c>
    </row>
    <row r="442" spans="1:15" x14ac:dyDescent="0.25">
      <c r="A442" s="15"/>
      <c r="B442" s="15"/>
      <c r="C442">
        <v>30</v>
      </c>
      <c r="D442">
        <v>336</v>
      </c>
      <c r="E442">
        <v>144</v>
      </c>
      <c r="F442">
        <v>925</v>
      </c>
      <c r="G442">
        <v>758</v>
      </c>
      <c r="H442">
        <v>0</v>
      </c>
      <c r="I442">
        <v>6.24</v>
      </c>
      <c r="J442">
        <v>168</v>
      </c>
      <c r="K442">
        <v>14</v>
      </c>
      <c r="L442" s="10">
        <v>39.619999999999997</v>
      </c>
      <c r="M442" s="2">
        <v>458.52969999999999</v>
      </c>
      <c r="N442" s="2">
        <f t="shared" si="8"/>
        <v>164.07374999999999</v>
      </c>
      <c r="O442">
        <v>0</v>
      </c>
    </row>
    <row r="443" spans="1:15" x14ac:dyDescent="0.25">
      <c r="A443" s="15"/>
      <c r="B443" s="15"/>
      <c r="C443">
        <v>30</v>
      </c>
      <c r="D443">
        <v>336</v>
      </c>
      <c r="E443">
        <v>144</v>
      </c>
      <c r="F443">
        <v>925</v>
      </c>
      <c r="G443">
        <v>758</v>
      </c>
      <c r="H443">
        <v>0</v>
      </c>
      <c r="I443">
        <v>6.24</v>
      </c>
      <c r="J443">
        <v>168</v>
      </c>
      <c r="K443">
        <v>56</v>
      </c>
      <c r="L443" s="10">
        <v>46.44</v>
      </c>
      <c r="M443" s="2">
        <v>458.52969999999999</v>
      </c>
      <c r="N443" s="2">
        <f t="shared" si="8"/>
        <v>164.07374999999999</v>
      </c>
      <c r="O443">
        <v>0</v>
      </c>
    </row>
    <row r="444" spans="1:15" x14ac:dyDescent="0.25">
      <c r="A444" s="15" t="s">
        <v>140</v>
      </c>
      <c r="B444" s="15" t="s">
        <v>141</v>
      </c>
      <c r="C444">
        <v>0</v>
      </c>
      <c r="D444" s="4">
        <v>350</v>
      </c>
      <c r="E444" s="4">
        <v>0</v>
      </c>
      <c r="F444" s="4">
        <v>808</v>
      </c>
      <c r="G444" s="4">
        <v>1049</v>
      </c>
      <c r="H444">
        <v>0</v>
      </c>
      <c r="I444" s="4">
        <v>5.95</v>
      </c>
      <c r="J444" s="4">
        <v>175</v>
      </c>
      <c r="K444" s="4">
        <v>3</v>
      </c>
      <c r="L444" s="13">
        <v>31.5</v>
      </c>
      <c r="M444" s="2">
        <f t="shared" ref="M444:M507" si="9">SUM((D444*0.83)+(E444*0.0023)+(F444*0.0139)+(G444*0.0459)+(I444*2))</f>
        <v>361.78030000000001</v>
      </c>
      <c r="N444" s="2">
        <f t="shared" si="8"/>
        <v>171.06</v>
      </c>
      <c r="O444" s="4">
        <v>60</v>
      </c>
    </row>
    <row r="445" spans="1:15" x14ac:dyDescent="0.25">
      <c r="A445" s="15"/>
      <c r="B445" s="15"/>
      <c r="C445">
        <v>0</v>
      </c>
      <c r="D445" s="4">
        <v>350</v>
      </c>
      <c r="E445" s="4">
        <v>0</v>
      </c>
      <c r="F445" s="4">
        <v>808</v>
      </c>
      <c r="G445" s="4">
        <v>1049</v>
      </c>
      <c r="H445">
        <v>0</v>
      </c>
      <c r="I445" s="4">
        <v>5.95</v>
      </c>
      <c r="J445" s="4">
        <v>175</v>
      </c>
      <c r="K445" s="4">
        <v>7</v>
      </c>
      <c r="L445" s="13">
        <v>32.799999999999997</v>
      </c>
      <c r="M445" s="2">
        <f t="shared" si="9"/>
        <v>361.78030000000001</v>
      </c>
      <c r="N445" s="2">
        <f t="shared" si="8"/>
        <v>171.06</v>
      </c>
      <c r="O445" s="4">
        <v>60</v>
      </c>
    </row>
    <row r="446" spans="1:15" x14ac:dyDescent="0.25">
      <c r="A446" s="15"/>
      <c r="B446" s="15"/>
      <c r="C446">
        <v>0</v>
      </c>
      <c r="D446" s="4">
        <v>350</v>
      </c>
      <c r="E446" s="4">
        <v>0</v>
      </c>
      <c r="F446" s="4">
        <v>808</v>
      </c>
      <c r="G446" s="4">
        <v>1049</v>
      </c>
      <c r="H446">
        <v>0</v>
      </c>
      <c r="I446" s="4">
        <v>5.95</v>
      </c>
      <c r="J446" s="4">
        <v>175</v>
      </c>
      <c r="K446" s="4">
        <v>14</v>
      </c>
      <c r="L446" s="13">
        <v>37.1</v>
      </c>
      <c r="M446" s="2">
        <f t="shared" si="9"/>
        <v>361.78030000000001</v>
      </c>
      <c r="N446" s="2">
        <f t="shared" si="8"/>
        <v>171.06</v>
      </c>
      <c r="O446" s="4">
        <v>60</v>
      </c>
    </row>
    <row r="447" spans="1:15" x14ac:dyDescent="0.25">
      <c r="A447" s="15"/>
      <c r="B447" s="15"/>
      <c r="C447">
        <v>0</v>
      </c>
      <c r="D447" s="4">
        <v>350</v>
      </c>
      <c r="E447" s="4">
        <v>0</v>
      </c>
      <c r="F447" s="4">
        <v>808</v>
      </c>
      <c r="G447" s="4">
        <v>1049</v>
      </c>
      <c r="H447">
        <v>0</v>
      </c>
      <c r="I447" s="4">
        <v>5.95</v>
      </c>
      <c r="J447" s="4">
        <v>175</v>
      </c>
      <c r="K447" s="4">
        <v>28</v>
      </c>
      <c r="L447" s="13">
        <v>39.6</v>
      </c>
      <c r="M447" s="2">
        <f t="shared" si="9"/>
        <v>361.78030000000001</v>
      </c>
      <c r="N447" s="2">
        <f t="shared" si="8"/>
        <v>171.06</v>
      </c>
      <c r="O447" s="4">
        <v>60</v>
      </c>
    </row>
    <row r="448" spans="1:15" x14ac:dyDescent="0.25">
      <c r="A448" s="15"/>
      <c r="B448" s="15"/>
      <c r="C448">
        <v>0</v>
      </c>
      <c r="D448" s="4">
        <v>350</v>
      </c>
      <c r="E448" s="4">
        <v>0</v>
      </c>
      <c r="F448" s="4">
        <v>808</v>
      </c>
      <c r="G448" s="4">
        <v>1049</v>
      </c>
      <c r="H448">
        <v>0</v>
      </c>
      <c r="I448" s="4">
        <v>5.95</v>
      </c>
      <c r="J448" s="4">
        <v>175</v>
      </c>
      <c r="K448" s="4">
        <v>60</v>
      </c>
      <c r="L448" s="13">
        <v>46.5</v>
      </c>
      <c r="M448" s="2">
        <f t="shared" si="9"/>
        <v>361.78030000000001</v>
      </c>
      <c r="N448" s="2">
        <f t="shared" si="8"/>
        <v>171.06</v>
      </c>
      <c r="O448" s="4">
        <v>60</v>
      </c>
    </row>
    <row r="449" spans="1:15" x14ac:dyDescent="0.25">
      <c r="A449" s="15"/>
      <c r="B449" s="15"/>
      <c r="C449">
        <v>0</v>
      </c>
      <c r="D449" s="4">
        <v>350</v>
      </c>
      <c r="E449" s="4">
        <v>0</v>
      </c>
      <c r="F449" s="4">
        <v>808</v>
      </c>
      <c r="G449" s="4">
        <v>1049</v>
      </c>
      <c r="H449">
        <v>0</v>
      </c>
      <c r="I449" s="4">
        <v>5.95</v>
      </c>
      <c r="J449" s="4">
        <v>175</v>
      </c>
      <c r="K449" s="4">
        <v>90</v>
      </c>
      <c r="L449" s="13">
        <v>50</v>
      </c>
      <c r="M449" s="2">
        <f t="shared" si="9"/>
        <v>361.78030000000001</v>
      </c>
      <c r="N449" s="2">
        <f t="shared" si="8"/>
        <v>171.06</v>
      </c>
      <c r="O449" s="4">
        <v>60</v>
      </c>
    </row>
    <row r="450" spans="1:15" x14ac:dyDescent="0.25">
      <c r="A450" s="15"/>
      <c r="B450" s="15"/>
      <c r="C450">
        <v>0</v>
      </c>
      <c r="D450" s="4">
        <v>350</v>
      </c>
      <c r="E450" s="4">
        <v>0</v>
      </c>
      <c r="F450" s="4">
        <v>808</v>
      </c>
      <c r="G450" s="4">
        <v>1049</v>
      </c>
      <c r="H450">
        <v>0</v>
      </c>
      <c r="I450" s="4">
        <v>2.4500000000000002</v>
      </c>
      <c r="J450" s="4">
        <v>175</v>
      </c>
      <c r="K450" s="4">
        <v>3</v>
      </c>
      <c r="L450" s="13">
        <v>28</v>
      </c>
      <c r="M450" s="2">
        <f t="shared" si="9"/>
        <v>354.78030000000001</v>
      </c>
      <c r="N450" s="2">
        <f t="shared" si="8"/>
        <v>165.81</v>
      </c>
      <c r="O450" s="4">
        <v>70</v>
      </c>
    </row>
    <row r="451" spans="1:15" x14ac:dyDescent="0.25">
      <c r="A451" s="15"/>
      <c r="B451" s="15"/>
      <c r="C451">
        <v>0</v>
      </c>
      <c r="D451" s="4">
        <v>350</v>
      </c>
      <c r="E451" s="4">
        <v>0</v>
      </c>
      <c r="F451" s="4">
        <v>808</v>
      </c>
      <c r="G451" s="4">
        <v>1049</v>
      </c>
      <c r="H451">
        <v>0</v>
      </c>
      <c r="I451" s="4">
        <v>2.4500000000000002</v>
      </c>
      <c r="J451" s="4">
        <v>175</v>
      </c>
      <c r="K451" s="4">
        <v>7</v>
      </c>
      <c r="L451" s="13">
        <v>31</v>
      </c>
      <c r="M451" s="2">
        <f t="shared" si="9"/>
        <v>354.78030000000001</v>
      </c>
      <c r="N451" s="2">
        <f t="shared" ref="N451:N514" si="10">SUM((D451*5)+((F451*0.25)+(G451*0.2)+(I451*20)))*0.075</f>
        <v>165.81</v>
      </c>
      <c r="O451" s="4">
        <v>70</v>
      </c>
    </row>
    <row r="452" spans="1:15" x14ac:dyDescent="0.25">
      <c r="A452" s="15"/>
      <c r="B452" s="15"/>
      <c r="C452">
        <v>0</v>
      </c>
      <c r="D452" s="4">
        <v>350</v>
      </c>
      <c r="E452" s="4">
        <v>0</v>
      </c>
      <c r="F452" s="4">
        <v>808</v>
      </c>
      <c r="G452" s="4">
        <v>1049</v>
      </c>
      <c r="H452">
        <v>0</v>
      </c>
      <c r="I452" s="4">
        <v>2.4500000000000002</v>
      </c>
      <c r="J452" s="4">
        <v>175</v>
      </c>
      <c r="K452" s="4">
        <v>14</v>
      </c>
      <c r="L452" s="13">
        <v>32.799999999999997</v>
      </c>
      <c r="M452" s="2">
        <f t="shared" si="9"/>
        <v>354.78030000000001</v>
      </c>
      <c r="N452" s="2">
        <f t="shared" si="10"/>
        <v>165.81</v>
      </c>
      <c r="O452" s="4">
        <v>70</v>
      </c>
    </row>
    <row r="453" spans="1:15" x14ac:dyDescent="0.25">
      <c r="A453" s="15"/>
      <c r="B453" s="15"/>
      <c r="C453">
        <v>0</v>
      </c>
      <c r="D453" s="4">
        <v>350</v>
      </c>
      <c r="E453" s="4">
        <v>0</v>
      </c>
      <c r="F453" s="4">
        <v>808</v>
      </c>
      <c r="G453" s="4">
        <v>1049</v>
      </c>
      <c r="H453">
        <v>0</v>
      </c>
      <c r="I453" s="4">
        <v>2.4500000000000002</v>
      </c>
      <c r="J453" s="4">
        <v>175</v>
      </c>
      <c r="K453" s="4">
        <v>28</v>
      </c>
      <c r="L453" s="13">
        <v>36.5</v>
      </c>
      <c r="M453" s="2">
        <f t="shared" si="9"/>
        <v>354.78030000000001</v>
      </c>
      <c r="N453" s="2">
        <f t="shared" si="10"/>
        <v>165.81</v>
      </c>
      <c r="O453" s="4">
        <v>70</v>
      </c>
    </row>
    <row r="454" spans="1:15" x14ac:dyDescent="0.25">
      <c r="A454" s="15"/>
      <c r="B454" s="15"/>
      <c r="C454">
        <v>0</v>
      </c>
      <c r="D454" s="4">
        <v>350</v>
      </c>
      <c r="E454" s="4">
        <v>0</v>
      </c>
      <c r="F454" s="4">
        <v>808</v>
      </c>
      <c r="G454" s="4">
        <v>1049</v>
      </c>
      <c r="H454">
        <v>0</v>
      </c>
      <c r="I454" s="4">
        <v>2.4500000000000002</v>
      </c>
      <c r="J454" s="4">
        <v>175</v>
      </c>
      <c r="K454" s="4">
        <v>60</v>
      </c>
      <c r="L454" s="13">
        <v>41.5</v>
      </c>
      <c r="M454" s="2">
        <f t="shared" si="9"/>
        <v>354.78030000000001</v>
      </c>
      <c r="N454" s="2">
        <f t="shared" si="10"/>
        <v>165.81</v>
      </c>
      <c r="O454" s="4">
        <v>70</v>
      </c>
    </row>
    <row r="455" spans="1:15" x14ac:dyDescent="0.25">
      <c r="A455" s="15"/>
      <c r="B455" s="15"/>
      <c r="C455">
        <v>0</v>
      </c>
      <c r="D455" s="4">
        <v>350</v>
      </c>
      <c r="E455" s="4">
        <v>0</v>
      </c>
      <c r="F455" s="4">
        <v>808</v>
      </c>
      <c r="G455" s="4">
        <v>1049</v>
      </c>
      <c r="H455">
        <v>0</v>
      </c>
      <c r="I455" s="4">
        <v>2.4500000000000002</v>
      </c>
      <c r="J455" s="4">
        <v>175</v>
      </c>
      <c r="K455" s="4">
        <v>90</v>
      </c>
      <c r="L455" s="13">
        <v>43.8</v>
      </c>
      <c r="M455" s="2">
        <f t="shared" si="9"/>
        <v>354.78030000000001</v>
      </c>
      <c r="N455" s="2">
        <f t="shared" si="10"/>
        <v>165.81</v>
      </c>
      <c r="O455" s="4">
        <v>70</v>
      </c>
    </row>
    <row r="456" spans="1:15" x14ac:dyDescent="0.25">
      <c r="A456" s="15"/>
      <c r="B456" s="15"/>
      <c r="C456">
        <v>0</v>
      </c>
      <c r="D456" s="4">
        <v>350</v>
      </c>
      <c r="E456" s="4">
        <v>0</v>
      </c>
      <c r="F456" s="4">
        <v>808</v>
      </c>
      <c r="G456" s="4">
        <v>1049</v>
      </c>
      <c r="H456">
        <v>0</v>
      </c>
      <c r="I456" s="4">
        <v>0</v>
      </c>
      <c r="J456" s="4">
        <v>175</v>
      </c>
      <c r="K456" s="4">
        <v>3</v>
      </c>
      <c r="L456" s="13">
        <v>21.5</v>
      </c>
      <c r="M456" s="2">
        <f t="shared" si="9"/>
        <v>349.88030000000003</v>
      </c>
      <c r="N456" s="2">
        <f t="shared" si="10"/>
        <v>162.13500000000002</v>
      </c>
      <c r="O456" s="4">
        <v>95</v>
      </c>
    </row>
    <row r="457" spans="1:15" x14ac:dyDescent="0.25">
      <c r="A457" s="15"/>
      <c r="B457" s="15"/>
      <c r="C457">
        <v>0</v>
      </c>
      <c r="D457" s="4">
        <v>350</v>
      </c>
      <c r="E457" s="4">
        <v>0</v>
      </c>
      <c r="F457" s="4">
        <v>808</v>
      </c>
      <c r="G457" s="4">
        <v>1049</v>
      </c>
      <c r="H457">
        <v>0</v>
      </c>
      <c r="I457" s="4">
        <v>0</v>
      </c>
      <c r="J457" s="4">
        <v>175</v>
      </c>
      <c r="K457" s="4">
        <v>7</v>
      </c>
      <c r="L457" s="13">
        <v>27.6</v>
      </c>
      <c r="M457" s="2">
        <f t="shared" si="9"/>
        <v>349.88030000000003</v>
      </c>
      <c r="N457" s="2">
        <f t="shared" si="10"/>
        <v>162.13500000000002</v>
      </c>
      <c r="O457" s="4">
        <v>95</v>
      </c>
    </row>
    <row r="458" spans="1:15" x14ac:dyDescent="0.25">
      <c r="A458" s="15"/>
      <c r="B458" s="15"/>
      <c r="C458">
        <v>0</v>
      </c>
      <c r="D458" s="4">
        <v>350</v>
      </c>
      <c r="E458" s="4">
        <v>0</v>
      </c>
      <c r="F458" s="4">
        <v>808</v>
      </c>
      <c r="G458" s="4">
        <v>1049</v>
      </c>
      <c r="H458">
        <v>0</v>
      </c>
      <c r="I458" s="4">
        <v>0</v>
      </c>
      <c r="J458" s="4">
        <v>175</v>
      </c>
      <c r="K458" s="4">
        <v>14</v>
      </c>
      <c r="L458" s="13">
        <v>28.5</v>
      </c>
      <c r="M458" s="2">
        <f t="shared" si="9"/>
        <v>349.88030000000003</v>
      </c>
      <c r="N458" s="2">
        <f t="shared" si="10"/>
        <v>162.13500000000002</v>
      </c>
      <c r="O458" s="4">
        <v>95</v>
      </c>
    </row>
    <row r="459" spans="1:15" x14ac:dyDescent="0.25">
      <c r="A459" s="15"/>
      <c r="B459" s="15"/>
      <c r="C459">
        <v>0</v>
      </c>
      <c r="D459" s="4">
        <v>350</v>
      </c>
      <c r="E459" s="4">
        <v>0</v>
      </c>
      <c r="F459" s="4">
        <v>808</v>
      </c>
      <c r="G459" s="4">
        <v>1049</v>
      </c>
      <c r="H459">
        <v>0</v>
      </c>
      <c r="I459" s="4">
        <v>0</v>
      </c>
      <c r="J459" s="4">
        <v>175</v>
      </c>
      <c r="K459" s="4">
        <v>28</v>
      </c>
      <c r="L459" s="13">
        <v>32</v>
      </c>
      <c r="M459" s="2">
        <f t="shared" si="9"/>
        <v>349.88030000000003</v>
      </c>
      <c r="N459" s="2">
        <f t="shared" si="10"/>
        <v>162.13500000000002</v>
      </c>
      <c r="O459" s="4">
        <v>95</v>
      </c>
    </row>
    <row r="460" spans="1:15" x14ac:dyDescent="0.25">
      <c r="A460" s="15"/>
      <c r="B460" s="15"/>
      <c r="C460">
        <v>0</v>
      </c>
      <c r="D460" s="4">
        <v>350</v>
      </c>
      <c r="E460" s="4">
        <v>0</v>
      </c>
      <c r="F460" s="4">
        <v>808</v>
      </c>
      <c r="G460" s="4">
        <v>1049</v>
      </c>
      <c r="H460">
        <v>0</v>
      </c>
      <c r="I460" s="4">
        <v>0</v>
      </c>
      <c r="J460" s="4">
        <v>175</v>
      </c>
      <c r="K460" s="4">
        <v>60</v>
      </c>
      <c r="L460" s="13">
        <v>37.200000000000003</v>
      </c>
      <c r="M460" s="2">
        <f t="shared" si="9"/>
        <v>349.88030000000003</v>
      </c>
      <c r="N460" s="2">
        <f t="shared" si="10"/>
        <v>162.13500000000002</v>
      </c>
      <c r="O460" s="4">
        <v>95</v>
      </c>
    </row>
    <row r="461" spans="1:15" x14ac:dyDescent="0.25">
      <c r="A461" s="15"/>
      <c r="B461" s="15"/>
      <c r="C461">
        <v>0</v>
      </c>
      <c r="D461" s="4">
        <v>350</v>
      </c>
      <c r="E461" s="4">
        <v>0</v>
      </c>
      <c r="F461" s="4">
        <v>808</v>
      </c>
      <c r="G461" s="4">
        <v>1049</v>
      </c>
      <c r="H461">
        <v>0</v>
      </c>
      <c r="I461" s="4">
        <v>0</v>
      </c>
      <c r="J461" s="4">
        <v>175</v>
      </c>
      <c r="K461" s="4">
        <v>90</v>
      </c>
      <c r="L461" s="13">
        <v>38.6</v>
      </c>
      <c r="M461" s="2">
        <f t="shared" si="9"/>
        <v>349.88030000000003</v>
      </c>
      <c r="N461" s="2">
        <f t="shared" si="10"/>
        <v>162.13500000000002</v>
      </c>
      <c r="O461" s="4">
        <v>95</v>
      </c>
    </row>
    <row r="462" spans="1:15" x14ac:dyDescent="0.25">
      <c r="A462" s="15"/>
      <c r="B462" s="15"/>
      <c r="C462">
        <v>10</v>
      </c>
      <c r="D462" s="4">
        <v>315</v>
      </c>
      <c r="E462" s="4">
        <v>35</v>
      </c>
      <c r="F462" s="4">
        <v>808</v>
      </c>
      <c r="G462" s="4">
        <v>1049</v>
      </c>
      <c r="H462">
        <v>0</v>
      </c>
      <c r="I462" s="4">
        <v>10.08</v>
      </c>
      <c r="J462" s="4">
        <v>175</v>
      </c>
      <c r="K462" s="4">
        <v>3</v>
      </c>
      <c r="L462" s="13">
        <v>29.3</v>
      </c>
      <c r="M462" s="2">
        <f t="shared" si="9"/>
        <v>341.07080000000002</v>
      </c>
      <c r="N462" s="2">
        <f t="shared" si="10"/>
        <v>164.13</v>
      </c>
      <c r="O462" s="4">
        <v>60</v>
      </c>
    </row>
    <row r="463" spans="1:15" x14ac:dyDescent="0.25">
      <c r="A463" s="15"/>
      <c r="B463" s="15"/>
      <c r="C463">
        <v>10</v>
      </c>
      <c r="D463" s="4">
        <v>315</v>
      </c>
      <c r="E463" s="4">
        <v>35</v>
      </c>
      <c r="F463" s="4">
        <v>808</v>
      </c>
      <c r="G463" s="4">
        <v>1049</v>
      </c>
      <c r="H463">
        <v>0</v>
      </c>
      <c r="I463" s="4">
        <v>10.08</v>
      </c>
      <c r="J463" s="4">
        <v>175</v>
      </c>
      <c r="K463" s="4">
        <v>7</v>
      </c>
      <c r="L463" s="13">
        <v>32.799999999999997</v>
      </c>
      <c r="M463" s="2">
        <f t="shared" si="9"/>
        <v>341.07080000000002</v>
      </c>
      <c r="N463" s="2">
        <f t="shared" si="10"/>
        <v>164.13</v>
      </c>
      <c r="O463" s="4">
        <v>60</v>
      </c>
    </row>
    <row r="464" spans="1:15" x14ac:dyDescent="0.25">
      <c r="A464" s="15"/>
      <c r="B464" s="15"/>
      <c r="C464">
        <v>10</v>
      </c>
      <c r="D464" s="4">
        <v>315</v>
      </c>
      <c r="E464" s="4">
        <v>35</v>
      </c>
      <c r="F464" s="4">
        <v>808</v>
      </c>
      <c r="G464" s="4">
        <v>1049</v>
      </c>
      <c r="H464">
        <v>0</v>
      </c>
      <c r="I464" s="4">
        <v>10.08</v>
      </c>
      <c r="J464" s="4">
        <v>175</v>
      </c>
      <c r="K464" s="4">
        <v>14</v>
      </c>
      <c r="L464" s="13">
        <v>38.9</v>
      </c>
      <c r="M464" s="2">
        <f t="shared" si="9"/>
        <v>341.07080000000002</v>
      </c>
      <c r="N464" s="2">
        <f t="shared" si="10"/>
        <v>164.13</v>
      </c>
      <c r="O464" s="4">
        <v>60</v>
      </c>
    </row>
    <row r="465" spans="1:15" x14ac:dyDescent="0.25">
      <c r="A465" s="15"/>
      <c r="B465" s="15"/>
      <c r="C465">
        <v>10</v>
      </c>
      <c r="D465" s="4">
        <v>315</v>
      </c>
      <c r="E465" s="4">
        <v>35</v>
      </c>
      <c r="F465" s="4">
        <v>808</v>
      </c>
      <c r="G465" s="4">
        <v>1049</v>
      </c>
      <c r="H465">
        <v>0</v>
      </c>
      <c r="I465" s="4">
        <v>10.08</v>
      </c>
      <c r="J465" s="4">
        <v>175</v>
      </c>
      <c r="K465" s="4">
        <v>28</v>
      </c>
      <c r="L465" s="13">
        <v>39.6</v>
      </c>
      <c r="M465" s="2">
        <f t="shared" si="9"/>
        <v>341.07080000000002</v>
      </c>
      <c r="N465" s="2">
        <f t="shared" si="10"/>
        <v>164.13</v>
      </c>
      <c r="O465" s="4">
        <v>60</v>
      </c>
    </row>
    <row r="466" spans="1:15" x14ac:dyDescent="0.25">
      <c r="A466" s="15"/>
      <c r="B466" s="15"/>
      <c r="C466">
        <v>10</v>
      </c>
      <c r="D466" s="4">
        <v>315</v>
      </c>
      <c r="E466" s="4">
        <v>35</v>
      </c>
      <c r="F466" s="4">
        <v>808</v>
      </c>
      <c r="G466" s="4">
        <v>1049</v>
      </c>
      <c r="H466">
        <v>0</v>
      </c>
      <c r="I466" s="4">
        <v>10.08</v>
      </c>
      <c r="J466" s="4">
        <v>175</v>
      </c>
      <c r="K466" s="4">
        <v>60</v>
      </c>
      <c r="L466" s="13">
        <v>48.8</v>
      </c>
      <c r="M466" s="2">
        <f t="shared" si="9"/>
        <v>341.07080000000002</v>
      </c>
      <c r="N466" s="2">
        <f t="shared" si="10"/>
        <v>164.13</v>
      </c>
      <c r="O466" s="4">
        <v>60</v>
      </c>
    </row>
    <row r="467" spans="1:15" x14ac:dyDescent="0.25">
      <c r="A467" s="15"/>
      <c r="B467" s="15"/>
      <c r="C467">
        <v>10</v>
      </c>
      <c r="D467" s="4">
        <v>315</v>
      </c>
      <c r="E467" s="4">
        <v>35</v>
      </c>
      <c r="F467" s="4">
        <v>808</v>
      </c>
      <c r="G467" s="4">
        <v>1049</v>
      </c>
      <c r="H467">
        <v>0</v>
      </c>
      <c r="I467" s="4">
        <v>10.08</v>
      </c>
      <c r="J467" s="4">
        <v>175</v>
      </c>
      <c r="K467" s="4">
        <v>90</v>
      </c>
      <c r="L467" s="13">
        <v>51.7</v>
      </c>
      <c r="M467" s="2">
        <f t="shared" si="9"/>
        <v>341.07080000000002</v>
      </c>
      <c r="N467" s="2">
        <f t="shared" si="10"/>
        <v>164.13</v>
      </c>
      <c r="O467" s="4">
        <v>60</v>
      </c>
    </row>
    <row r="468" spans="1:15" x14ac:dyDescent="0.25">
      <c r="A468" s="15"/>
      <c r="B468" s="15"/>
      <c r="C468">
        <v>10</v>
      </c>
      <c r="D468" s="4">
        <v>315</v>
      </c>
      <c r="E468" s="4">
        <v>35</v>
      </c>
      <c r="F468" s="4">
        <v>808</v>
      </c>
      <c r="G468" s="4">
        <v>1049</v>
      </c>
      <c r="H468">
        <v>0</v>
      </c>
      <c r="I468" s="4">
        <v>4.41</v>
      </c>
      <c r="J468" s="4">
        <v>175</v>
      </c>
      <c r="K468" s="4">
        <v>3</v>
      </c>
      <c r="L468" s="13">
        <v>27.5</v>
      </c>
      <c r="M468" s="2">
        <f t="shared" si="9"/>
        <v>329.73079999999999</v>
      </c>
      <c r="N468" s="2">
        <f t="shared" si="10"/>
        <v>155.625</v>
      </c>
      <c r="O468" s="4">
        <v>70</v>
      </c>
    </row>
    <row r="469" spans="1:15" x14ac:dyDescent="0.25">
      <c r="A469" s="15"/>
      <c r="B469" s="15"/>
      <c r="C469">
        <v>10</v>
      </c>
      <c r="D469" s="4">
        <v>315</v>
      </c>
      <c r="E469" s="4">
        <v>35</v>
      </c>
      <c r="F469" s="4">
        <v>808</v>
      </c>
      <c r="G469" s="4">
        <v>1049</v>
      </c>
      <c r="H469">
        <v>0</v>
      </c>
      <c r="I469" s="4">
        <v>4.41</v>
      </c>
      <c r="J469" s="4">
        <v>175</v>
      </c>
      <c r="K469" s="4">
        <v>7</v>
      </c>
      <c r="L469" s="13">
        <v>30.3</v>
      </c>
      <c r="M469" s="2">
        <f t="shared" si="9"/>
        <v>329.73079999999999</v>
      </c>
      <c r="N469" s="2">
        <f t="shared" si="10"/>
        <v>155.625</v>
      </c>
      <c r="O469" s="4">
        <v>70</v>
      </c>
    </row>
    <row r="470" spans="1:15" x14ac:dyDescent="0.25">
      <c r="A470" s="15"/>
      <c r="B470" s="15"/>
      <c r="C470">
        <v>10</v>
      </c>
      <c r="D470" s="4">
        <v>315</v>
      </c>
      <c r="E470" s="4">
        <v>35</v>
      </c>
      <c r="F470" s="4">
        <v>808</v>
      </c>
      <c r="G470" s="4">
        <v>1049</v>
      </c>
      <c r="H470">
        <v>0</v>
      </c>
      <c r="I470" s="4">
        <v>4.41</v>
      </c>
      <c r="J470" s="4">
        <v>175</v>
      </c>
      <c r="K470" s="4">
        <v>14</v>
      </c>
      <c r="L470" s="13">
        <v>33.700000000000003</v>
      </c>
      <c r="M470" s="2">
        <f t="shared" si="9"/>
        <v>329.73079999999999</v>
      </c>
      <c r="N470" s="2">
        <f t="shared" si="10"/>
        <v>155.625</v>
      </c>
      <c r="O470" s="4">
        <v>70</v>
      </c>
    </row>
    <row r="471" spans="1:15" x14ac:dyDescent="0.25">
      <c r="A471" s="15"/>
      <c r="B471" s="15"/>
      <c r="C471">
        <v>10</v>
      </c>
      <c r="D471" s="4">
        <v>315</v>
      </c>
      <c r="E471" s="4">
        <v>35</v>
      </c>
      <c r="F471" s="4">
        <v>808</v>
      </c>
      <c r="G471" s="4">
        <v>1049</v>
      </c>
      <c r="H471">
        <v>0</v>
      </c>
      <c r="I471" s="4">
        <v>4.41</v>
      </c>
      <c r="J471" s="4">
        <v>175</v>
      </c>
      <c r="K471" s="4">
        <v>28</v>
      </c>
      <c r="L471" s="13">
        <v>36.299999999999997</v>
      </c>
      <c r="M471" s="2">
        <f t="shared" si="9"/>
        <v>329.73079999999999</v>
      </c>
      <c r="N471" s="2">
        <f t="shared" si="10"/>
        <v>155.625</v>
      </c>
      <c r="O471" s="4">
        <v>70</v>
      </c>
    </row>
    <row r="472" spans="1:15" x14ac:dyDescent="0.25">
      <c r="A472" s="15"/>
      <c r="B472" s="15"/>
      <c r="C472">
        <v>10</v>
      </c>
      <c r="D472" s="4">
        <v>315</v>
      </c>
      <c r="E472" s="4">
        <v>35</v>
      </c>
      <c r="F472" s="4">
        <v>808</v>
      </c>
      <c r="G472" s="4">
        <v>1049</v>
      </c>
      <c r="H472">
        <v>0</v>
      </c>
      <c r="I472" s="4">
        <v>4.41</v>
      </c>
      <c r="J472" s="4">
        <v>175</v>
      </c>
      <c r="K472" s="4">
        <v>60</v>
      </c>
      <c r="L472" s="13">
        <v>43.6</v>
      </c>
      <c r="M472" s="2">
        <f t="shared" si="9"/>
        <v>329.73079999999999</v>
      </c>
      <c r="N472" s="2">
        <f t="shared" si="10"/>
        <v>155.625</v>
      </c>
      <c r="O472" s="4">
        <v>70</v>
      </c>
    </row>
    <row r="473" spans="1:15" x14ac:dyDescent="0.25">
      <c r="A473" s="15"/>
      <c r="B473" s="15"/>
      <c r="C473">
        <v>10</v>
      </c>
      <c r="D473" s="4">
        <v>315</v>
      </c>
      <c r="E473" s="4">
        <v>35</v>
      </c>
      <c r="F473" s="4">
        <v>808</v>
      </c>
      <c r="G473" s="4">
        <v>1049</v>
      </c>
      <c r="H473">
        <v>0</v>
      </c>
      <c r="I473" s="4">
        <v>4.41</v>
      </c>
      <c r="J473" s="4">
        <v>175</v>
      </c>
      <c r="K473" s="4">
        <v>90</v>
      </c>
      <c r="L473" s="13">
        <v>44.1</v>
      </c>
      <c r="M473" s="2">
        <f t="shared" si="9"/>
        <v>329.73079999999999</v>
      </c>
      <c r="N473" s="2">
        <f t="shared" si="10"/>
        <v>155.625</v>
      </c>
      <c r="O473" s="4">
        <v>70</v>
      </c>
    </row>
    <row r="474" spans="1:15" x14ac:dyDescent="0.25">
      <c r="A474" s="15"/>
      <c r="B474" s="15"/>
      <c r="C474">
        <v>10</v>
      </c>
      <c r="D474" s="4">
        <v>315</v>
      </c>
      <c r="E474" s="4">
        <v>35</v>
      </c>
      <c r="F474" s="4">
        <v>788</v>
      </c>
      <c r="G474" s="4">
        <v>1023</v>
      </c>
      <c r="H474">
        <v>0</v>
      </c>
      <c r="I474" s="4">
        <v>0</v>
      </c>
      <c r="J474" s="4">
        <v>175</v>
      </c>
      <c r="K474" s="4">
        <v>3</v>
      </c>
      <c r="L474" s="13">
        <v>21.7</v>
      </c>
      <c r="M474" s="2">
        <f t="shared" si="9"/>
        <v>319.43939999999992</v>
      </c>
      <c r="N474" s="2">
        <f t="shared" si="10"/>
        <v>148.24499999999998</v>
      </c>
      <c r="O474" s="4">
        <v>60</v>
      </c>
    </row>
    <row r="475" spans="1:15" x14ac:dyDescent="0.25">
      <c r="A475" s="15"/>
      <c r="B475" s="15"/>
      <c r="C475">
        <v>10</v>
      </c>
      <c r="D475" s="4">
        <v>315</v>
      </c>
      <c r="E475" s="4">
        <v>35</v>
      </c>
      <c r="F475" s="4">
        <v>788</v>
      </c>
      <c r="G475" s="4">
        <v>1023</v>
      </c>
      <c r="H475">
        <v>0</v>
      </c>
      <c r="I475" s="4">
        <v>0</v>
      </c>
      <c r="J475" s="4">
        <v>175</v>
      </c>
      <c r="K475" s="4">
        <v>7</v>
      </c>
      <c r="L475" s="13">
        <v>28.1</v>
      </c>
      <c r="M475" s="2">
        <f t="shared" si="9"/>
        <v>319.43939999999992</v>
      </c>
      <c r="N475" s="2">
        <f t="shared" si="10"/>
        <v>148.24499999999998</v>
      </c>
      <c r="O475" s="4">
        <v>60</v>
      </c>
    </row>
    <row r="476" spans="1:15" x14ac:dyDescent="0.25">
      <c r="A476" s="15"/>
      <c r="B476" s="15"/>
      <c r="C476">
        <v>10</v>
      </c>
      <c r="D476" s="4">
        <v>315</v>
      </c>
      <c r="E476" s="4">
        <v>35</v>
      </c>
      <c r="F476" s="4">
        <v>788</v>
      </c>
      <c r="G476" s="4">
        <v>1023</v>
      </c>
      <c r="H476">
        <v>0</v>
      </c>
      <c r="I476" s="4">
        <v>0</v>
      </c>
      <c r="J476" s="4">
        <v>175</v>
      </c>
      <c r="K476" s="4">
        <v>14</v>
      </c>
      <c r="L476" s="13">
        <v>30.1</v>
      </c>
      <c r="M476" s="2">
        <f t="shared" si="9"/>
        <v>319.43939999999992</v>
      </c>
      <c r="N476" s="2">
        <f t="shared" si="10"/>
        <v>148.24499999999998</v>
      </c>
      <c r="O476" s="4">
        <v>60</v>
      </c>
    </row>
    <row r="477" spans="1:15" x14ac:dyDescent="0.25">
      <c r="A477" s="15"/>
      <c r="B477" s="15"/>
      <c r="C477">
        <v>10</v>
      </c>
      <c r="D477" s="4">
        <v>315</v>
      </c>
      <c r="E477" s="4">
        <v>35</v>
      </c>
      <c r="F477" s="4">
        <v>788</v>
      </c>
      <c r="G477" s="4">
        <v>1023</v>
      </c>
      <c r="H477">
        <v>0</v>
      </c>
      <c r="I477" s="4">
        <v>0</v>
      </c>
      <c r="J477" s="4">
        <v>175</v>
      </c>
      <c r="K477" s="4">
        <v>28</v>
      </c>
      <c r="L477" s="13">
        <v>33.4</v>
      </c>
      <c r="M477" s="2">
        <f t="shared" si="9"/>
        <v>319.43939999999992</v>
      </c>
      <c r="N477" s="2">
        <f t="shared" si="10"/>
        <v>148.24499999999998</v>
      </c>
      <c r="O477" s="4">
        <v>60</v>
      </c>
    </row>
    <row r="478" spans="1:15" x14ac:dyDescent="0.25">
      <c r="A478" s="15"/>
      <c r="B478" s="15"/>
      <c r="C478">
        <v>10</v>
      </c>
      <c r="D478" s="4">
        <v>315</v>
      </c>
      <c r="E478" s="4">
        <v>35</v>
      </c>
      <c r="F478" s="4">
        <v>788</v>
      </c>
      <c r="G478" s="4">
        <v>1023</v>
      </c>
      <c r="H478">
        <v>0</v>
      </c>
      <c r="I478" s="4">
        <v>0</v>
      </c>
      <c r="J478" s="4">
        <v>175</v>
      </c>
      <c r="K478" s="4">
        <v>60</v>
      </c>
      <c r="L478" s="13">
        <v>38.200000000000003</v>
      </c>
      <c r="M478" s="2">
        <f t="shared" si="9"/>
        <v>319.43939999999992</v>
      </c>
      <c r="N478" s="2">
        <f t="shared" si="10"/>
        <v>148.24499999999998</v>
      </c>
      <c r="O478" s="4">
        <v>60</v>
      </c>
    </row>
    <row r="479" spans="1:15" x14ac:dyDescent="0.25">
      <c r="A479" s="15"/>
      <c r="B479" s="15"/>
      <c r="C479">
        <v>10</v>
      </c>
      <c r="D479" s="4">
        <v>315</v>
      </c>
      <c r="E479" s="4">
        <v>35</v>
      </c>
      <c r="F479" s="4">
        <v>788</v>
      </c>
      <c r="G479" s="4">
        <v>1023</v>
      </c>
      <c r="H479">
        <v>0</v>
      </c>
      <c r="I479" s="4">
        <v>0</v>
      </c>
      <c r="J479" s="4">
        <v>175</v>
      </c>
      <c r="K479" s="4">
        <v>90</v>
      </c>
      <c r="L479" s="13">
        <v>40.5</v>
      </c>
      <c r="M479" s="2">
        <f t="shared" si="9"/>
        <v>319.43939999999992</v>
      </c>
      <c r="N479" s="2">
        <f t="shared" si="10"/>
        <v>148.24499999999998</v>
      </c>
      <c r="O479" s="4">
        <v>60</v>
      </c>
    </row>
    <row r="480" spans="1:15" x14ac:dyDescent="0.25">
      <c r="A480" s="15"/>
      <c r="B480" s="15"/>
      <c r="C480">
        <v>20</v>
      </c>
      <c r="D480" s="4">
        <v>280</v>
      </c>
      <c r="E480" s="4">
        <v>70</v>
      </c>
      <c r="F480" s="4">
        <v>788</v>
      </c>
      <c r="G480" s="4">
        <v>1023</v>
      </c>
      <c r="H480">
        <v>0</v>
      </c>
      <c r="I480" s="4">
        <v>11.76</v>
      </c>
      <c r="J480" s="4">
        <v>175</v>
      </c>
      <c r="K480" s="4">
        <v>3</v>
      </c>
      <c r="L480" s="13">
        <v>28.6</v>
      </c>
      <c r="M480" s="2">
        <f t="shared" si="9"/>
        <v>313.98989999999998</v>
      </c>
      <c r="N480" s="2">
        <f t="shared" si="10"/>
        <v>152.76</v>
      </c>
      <c r="O480" s="4">
        <v>70</v>
      </c>
    </row>
    <row r="481" spans="1:15" x14ac:dyDescent="0.25">
      <c r="A481" s="15"/>
      <c r="B481" s="15"/>
      <c r="C481">
        <v>20</v>
      </c>
      <c r="D481" s="4">
        <v>280</v>
      </c>
      <c r="E481" s="4">
        <v>70</v>
      </c>
      <c r="F481" s="4">
        <v>788</v>
      </c>
      <c r="G481" s="4">
        <v>1023</v>
      </c>
      <c r="H481">
        <v>0</v>
      </c>
      <c r="I481" s="4">
        <v>11.76</v>
      </c>
      <c r="J481" s="4">
        <v>175</v>
      </c>
      <c r="K481" s="4">
        <v>7</v>
      </c>
      <c r="L481" s="13">
        <v>31.3</v>
      </c>
      <c r="M481" s="2">
        <f t="shared" si="9"/>
        <v>313.98989999999998</v>
      </c>
      <c r="N481" s="2">
        <f t="shared" si="10"/>
        <v>152.76</v>
      </c>
      <c r="O481" s="4">
        <v>70</v>
      </c>
    </row>
    <row r="482" spans="1:15" x14ac:dyDescent="0.25">
      <c r="A482" s="15"/>
      <c r="B482" s="15"/>
      <c r="C482">
        <v>20</v>
      </c>
      <c r="D482" s="4">
        <v>280</v>
      </c>
      <c r="E482" s="4">
        <v>70</v>
      </c>
      <c r="F482" s="4">
        <v>788</v>
      </c>
      <c r="G482" s="4">
        <v>1023</v>
      </c>
      <c r="H482">
        <v>0</v>
      </c>
      <c r="I482" s="4">
        <v>11.76</v>
      </c>
      <c r="J482" s="4">
        <v>175</v>
      </c>
      <c r="K482" s="4">
        <v>14</v>
      </c>
      <c r="L482" s="13">
        <v>38</v>
      </c>
      <c r="M482" s="2">
        <f t="shared" si="9"/>
        <v>313.98989999999998</v>
      </c>
      <c r="N482" s="2">
        <f t="shared" si="10"/>
        <v>152.76</v>
      </c>
      <c r="O482" s="4">
        <v>70</v>
      </c>
    </row>
    <row r="483" spans="1:15" x14ac:dyDescent="0.25">
      <c r="A483" s="15"/>
      <c r="B483" s="15"/>
      <c r="C483">
        <v>20</v>
      </c>
      <c r="D483" s="4">
        <v>280</v>
      </c>
      <c r="E483" s="4">
        <v>70</v>
      </c>
      <c r="F483" s="4">
        <v>788</v>
      </c>
      <c r="G483" s="4">
        <v>1023</v>
      </c>
      <c r="H483">
        <v>0</v>
      </c>
      <c r="I483" s="4">
        <v>11.76</v>
      </c>
      <c r="J483" s="4">
        <v>175</v>
      </c>
      <c r="K483" s="4">
        <v>28</v>
      </c>
      <c r="L483" s="13">
        <v>40</v>
      </c>
      <c r="M483" s="2">
        <f t="shared" si="9"/>
        <v>313.98989999999998</v>
      </c>
      <c r="N483" s="2">
        <f t="shared" si="10"/>
        <v>152.76</v>
      </c>
      <c r="O483" s="4">
        <v>70</v>
      </c>
    </row>
    <row r="484" spans="1:15" x14ac:dyDescent="0.25">
      <c r="A484" s="15"/>
      <c r="B484" s="15"/>
      <c r="C484">
        <v>20</v>
      </c>
      <c r="D484" s="4">
        <v>280</v>
      </c>
      <c r="E484" s="4">
        <v>70</v>
      </c>
      <c r="F484" s="4">
        <v>788</v>
      </c>
      <c r="G484" s="4">
        <v>1023</v>
      </c>
      <c r="H484">
        <v>0</v>
      </c>
      <c r="I484" s="4">
        <v>11.76</v>
      </c>
      <c r="J484" s="4">
        <v>175</v>
      </c>
      <c r="K484" s="4">
        <v>60</v>
      </c>
      <c r="L484" s="13">
        <v>47.2</v>
      </c>
      <c r="M484" s="2">
        <f t="shared" si="9"/>
        <v>313.98989999999998</v>
      </c>
      <c r="N484" s="2">
        <f t="shared" si="10"/>
        <v>152.76</v>
      </c>
      <c r="O484" s="4">
        <v>70</v>
      </c>
    </row>
    <row r="485" spans="1:15" x14ac:dyDescent="0.25">
      <c r="A485" s="15"/>
      <c r="B485" s="15"/>
      <c r="C485">
        <v>20</v>
      </c>
      <c r="D485" s="4">
        <v>280</v>
      </c>
      <c r="E485" s="4">
        <v>70</v>
      </c>
      <c r="F485" s="4">
        <v>788</v>
      </c>
      <c r="G485" s="4">
        <v>1023</v>
      </c>
      <c r="H485">
        <v>0</v>
      </c>
      <c r="I485" s="4">
        <v>11.76</v>
      </c>
      <c r="J485" s="4">
        <v>175</v>
      </c>
      <c r="K485" s="4">
        <v>90</v>
      </c>
      <c r="L485" s="13">
        <v>52.4</v>
      </c>
      <c r="M485" s="2">
        <f t="shared" si="9"/>
        <v>313.98989999999998</v>
      </c>
      <c r="N485" s="2">
        <f t="shared" si="10"/>
        <v>152.76</v>
      </c>
      <c r="O485" s="4">
        <v>70</v>
      </c>
    </row>
    <row r="486" spans="1:15" x14ac:dyDescent="0.25">
      <c r="A486" s="15"/>
      <c r="B486" s="15"/>
      <c r="C486">
        <v>20</v>
      </c>
      <c r="D486" s="4">
        <v>280</v>
      </c>
      <c r="E486" s="4">
        <v>70</v>
      </c>
      <c r="F486" s="4">
        <v>788</v>
      </c>
      <c r="G486" s="4">
        <v>1023</v>
      </c>
      <c r="H486">
        <v>0</v>
      </c>
      <c r="I486" s="4">
        <v>5.88</v>
      </c>
      <c r="J486" s="4">
        <v>175</v>
      </c>
      <c r="K486" s="4">
        <v>3</v>
      </c>
      <c r="L486" s="13">
        <v>26.7</v>
      </c>
      <c r="M486" s="2">
        <f t="shared" si="9"/>
        <v>302.22989999999999</v>
      </c>
      <c r="N486" s="2">
        <f t="shared" si="10"/>
        <v>143.94</v>
      </c>
      <c r="O486" s="4">
        <v>60</v>
      </c>
    </row>
    <row r="487" spans="1:15" x14ac:dyDescent="0.25">
      <c r="A487" s="15"/>
      <c r="B487" s="15"/>
      <c r="C487">
        <v>20</v>
      </c>
      <c r="D487" s="4">
        <v>280</v>
      </c>
      <c r="E487" s="4">
        <v>70</v>
      </c>
      <c r="F487" s="4">
        <v>788</v>
      </c>
      <c r="G487" s="4">
        <v>1023</v>
      </c>
      <c r="H487">
        <v>0</v>
      </c>
      <c r="I487" s="4">
        <v>5.88</v>
      </c>
      <c r="J487" s="4">
        <v>175</v>
      </c>
      <c r="K487" s="4">
        <v>7</v>
      </c>
      <c r="L487" s="13">
        <v>29.8</v>
      </c>
      <c r="M487" s="2">
        <f t="shared" si="9"/>
        <v>302.22989999999999</v>
      </c>
      <c r="N487" s="2">
        <f t="shared" si="10"/>
        <v>143.94</v>
      </c>
      <c r="O487" s="4">
        <v>60</v>
      </c>
    </row>
    <row r="488" spans="1:15" x14ac:dyDescent="0.25">
      <c r="A488" s="15"/>
      <c r="B488" s="15"/>
      <c r="C488">
        <v>20</v>
      </c>
      <c r="D488" s="4">
        <v>280</v>
      </c>
      <c r="E488" s="4">
        <v>70</v>
      </c>
      <c r="F488" s="4">
        <v>788</v>
      </c>
      <c r="G488" s="4">
        <v>1023</v>
      </c>
      <c r="H488">
        <v>0</v>
      </c>
      <c r="I488" s="4">
        <v>5.88</v>
      </c>
      <c r="J488" s="4">
        <v>175</v>
      </c>
      <c r="K488" s="4">
        <v>14</v>
      </c>
      <c r="L488" s="13">
        <v>32.299999999999997</v>
      </c>
      <c r="M488" s="2">
        <f t="shared" si="9"/>
        <v>302.22989999999999</v>
      </c>
      <c r="N488" s="2">
        <f t="shared" si="10"/>
        <v>143.94</v>
      </c>
      <c r="O488" s="4">
        <v>60</v>
      </c>
    </row>
    <row r="489" spans="1:15" x14ac:dyDescent="0.25">
      <c r="A489" s="15"/>
      <c r="B489" s="15"/>
      <c r="C489">
        <v>20</v>
      </c>
      <c r="D489" s="4">
        <v>280</v>
      </c>
      <c r="E489" s="4">
        <v>70</v>
      </c>
      <c r="F489" s="4">
        <v>788</v>
      </c>
      <c r="G489" s="4">
        <v>1023</v>
      </c>
      <c r="H489">
        <v>0</v>
      </c>
      <c r="I489" s="4">
        <v>5.88</v>
      </c>
      <c r="J489" s="4">
        <v>175</v>
      </c>
      <c r="K489" s="4">
        <v>28</v>
      </c>
      <c r="L489" s="13">
        <v>35.9</v>
      </c>
      <c r="M489" s="2">
        <f t="shared" si="9"/>
        <v>302.22989999999999</v>
      </c>
      <c r="N489" s="2">
        <f t="shared" si="10"/>
        <v>143.94</v>
      </c>
      <c r="O489" s="4">
        <v>60</v>
      </c>
    </row>
    <row r="490" spans="1:15" x14ac:dyDescent="0.25">
      <c r="A490" s="15"/>
      <c r="B490" s="15"/>
      <c r="C490">
        <v>20</v>
      </c>
      <c r="D490" s="4">
        <v>280</v>
      </c>
      <c r="E490" s="4">
        <v>70</v>
      </c>
      <c r="F490" s="4">
        <v>788</v>
      </c>
      <c r="G490" s="4">
        <v>1023</v>
      </c>
      <c r="H490">
        <v>0</v>
      </c>
      <c r="I490" s="4">
        <v>5.88</v>
      </c>
      <c r="J490" s="4">
        <v>175</v>
      </c>
      <c r="K490" s="4">
        <v>60</v>
      </c>
      <c r="L490" s="13">
        <v>42.8</v>
      </c>
      <c r="M490" s="2">
        <f t="shared" si="9"/>
        <v>302.22989999999999</v>
      </c>
      <c r="N490" s="2">
        <f t="shared" si="10"/>
        <v>143.94</v>
      </c>
      <c r="O490" s="4">
        <v>60</v>
      </c>
    </row>
    <row r="491" spans="1:15" x14ac:dyDescent="0.25">
      <c r="A491" s="15"/>
      <c r="B491" s="15"/>
      <c r="C491">
        <v>20</v>
      </c>
      <c r="D491" s="4">
        <v>280</v>
      </c>
      <c r="E491" s="4">
        <v>70</v>
      </c>
      <c r="F491" s="4">
        <v>788</v>
      </c>
      <c r="G491" s="4">
        <v>1023</v>
      </c>
      <c r="H491">
        <v>0</v>
      </c>
      <c r="I491" s="4">
        <v>5.88</v>
      </c>
      <c r="J491" s="4">
        <v>175</v>
      </c>
      <c r="K491" s="4">
        <v>90</v>
      </c>
      <c r="L491" s="13">
        <v>43.6</v>
      </c>
      <c r="M491" s="2">
        <f t="shared" si="9"/>
        <v>302.22989999999999</v>
      </c>
      <c r="N491" s="2">
        <f t="shared" si="10"/>
        <v>143.94</v>
      </c>
      <c r="O491" s="4">
        <v>60</v>
      </c>
    </row>
    <row r="492" spans="1:15" x14ac:dyDescent="0.25">
      <c r="A492" s="15"/>
      <c r="B492" s="15"/>
      <c r="C492">
        <v>20</v>
      </c>
      <c r="D492" s="4">
        <v>280</v>
      </c>
      <c r="E492" s="4">
        <v>70</v>
      </c>
      <c r="F492" s="4">
        <v>105</v>
      </c>
      <c r="G492" s="4">
        <v>757</v>
      </c>
      <c r="H492">
        <v>0</v>
      </c>
      <c r="I492" s="4">
        <v>0</v>
      </c>
      <c r="J492" s="4">
        <v>175</v>
      </c>
      <c r="K492" s="4">
        <v>3</v>
      </c>
      <c r="L492" s="13">
        <v>21.3</v>
      </c>
      <c r="M492" s="2">
        <f t="shared" si="9"/>
        <v>268.76679999999999</v>
      </c>
      <c r="N492" s="2">
        <f t="shared" si="10"/>
        <v>118.32375</v>
      </c>
      <c r="O492" s="4">
        <v>70</v>
      </c>
    </row>
    <row r="493" spans="1:15" x14ac:dyDescent="0.25">
      <c r="A493" s="15"/>
      <c r="B493" s="15"/>
      <c r="C493">
        <v>20</v>
      </c>
      <c r="D493" s="4">
        <v>280</v>
      </c>
      <c r="E493" s="4">
        <v>70</v>
      </c>
      <c r="F493" s="4">
        <v>105</v>
      </c>
      <c r="G493" s="4">
        <v>757</v>
      </c>
      <c r="H493">
        <v>0</v>
      </c>
      <c r="I493" s="4">
        <v>0</v>
      </c>
      <c r="J493" s="4">
        <v>175</v>
      </c>
      <c r="K493" s="4">
        <v>7</v>
      </c>
      <c r="L493" s="13">
        <v>27.8</v>
      </c>
      <c r="M493" s="2">
        <f t="shared" si="9"/>
        <v>268.76679999999999</v>
      </c>
      <c r="N493" s="2">
        <f t="shared" si="10"/>
        <v>118.32375</v>
      </c>
      <c r="O493" s="4">
        <v>70</v>
      </c>
    </row>
    <row r="494" spans="1:15" x14ac:dyDescent="0.25">
      <c r="A494" s="15"/>
      <c r="B494" s="15"/>
      <c r="C494">
        <v>20</v>
      </c>
      <c r="D494" s="4">
        <v>280</v>
      </c>
      <c r="E494" s="4">
        <v>70</v>
      </c>
      <c r="F494" s="4">
        <v>105</v>
      </c>
      <c r="G494" s="4">
        <v>757</v>
      </c>
      <c r="H494">
        <v>0</v>
      </c>
      <c r="I494" s="4">
        <v>0</v>
      </c>
      <c r="J494" s="4">
        <v>175</v>
      </c>
      <c r="K494" s="4">
        <v>14</v>
      </c>
      <c r="L494" s="13">
        <v>28.5</v>
      </c>
      <c r="M494" s="2">
        <f t="shared" si="9"/>
        <v>268.76679999999999</v>
      </c>
      <c r="N494" s="2">
        <f t="shared" si="10"/>
        <v>118.32375</v>
      </c>
      <c r="O494" s="4">
        <v>70</v>
      </c>
    </row>
    <row r="495" spans="1:15" x14ac:dyDescent="0.25">
      <c r="A495" s="15"/>
      <c r="B495" s="15"/>
      <c r="C495">
        <v>20</v>
      </c>
      <c r="D495" s="4">
        <v>280</v>
      </c>
      <c r="E495" s="4">
        <v>70</v>
      </c>
      <c r="F495" s="4">
        <v>105</v>
      </c>
      <c r="G495" s="4">
        <v>757</v>
      </c>
      <c r="H495">
        <v>0</v>
      </c>
      <c r="I495" s="4">
        <v>0</v>
      </c>
      <c r="J495" s="4">
        <v>175</v>
      </c>
      <c r="K495" s="4">
        <v>28</v>
      </c>
      <c r="L495" s="13">
        <v>32.6</v>
      </c>
      <c r="M495" s="2">
        <f t="shared" si="9"/>
        <v>268.76679999999999</v>
      </c>
      <c r="N495" s="2">
        <f t="shared" si="10"/>
        <v>118.32375</v>
      </c>
      <c r="O495" s="4">
        <v>70</v>
      </c>
    </row>
    <row r="496" spans="1:15" x14ac:dyDescent="0.25">
      <c r="A496" s="15"/>
      <c r="B496" s="15"/>
      <c r="C496">
        <v>20</v>
      </c>
      <c r="D496" s="4">
        <v>280</v>
      </c>
      <c r="E496" s="4">
        <v>70</v>
      </c>
      <c r="F496" s="4">
        <v>105</v>
      </c>
      <c r="G496" s="4">
        <v>757</v>
      </c>
      <c r="H496">
        <v>0</v>
      </c>
      <c r="I496" s="4">
        <v>0</v>
      </c>
      <c r="J496" s="4">
        <v>175</v>
      </c>
      <c r="K496" s="4">
        <v>60</v>
      </c>
      <c r="L496" s="13">
        <v>37.5</v>
      </c>
      <c r="M496" s="2">
        <f t="shared" si="9"/>
        <v>268.76679999999999</v>
      </c>
      <c r="N496" s="2">
        <f t="shared" si="10"/>
        <v>118.32375</v>
      </c>
      <c r="O496" s="4">
        <v>70</v>
      </c>
    </row>
    <row r="497" spans="1:15" x14ac:dyDescent="0.25">
      <c r="A497" s="15"/>
      <c r="B497" s="15"/>
      <c r="C497">
        <v>20</v>
      </c>
      <c r="D497" s="4">
        <v>280</v>
      </c>
      <c r="E497" s="4">
        <v>70</v>
      </c>
      <c r="F497" s="4">
        <v>105</v>
      </c>
      <c r="G497" s="4">
        <v>757</v>
      </c>
      <c r="H497">
        <v>0</v>
      </c>
      <c r="I497" s="4">
        <v>0</v>
      </c>
      <c r="J497" s="4">
        <v>175</v>
      </c>
      <c r="K497" s="4">
        <v>90</v>
      </c>
      <c r="L497" s="13">
        <v>39.4</v>
      </c>
      <c r="M497" s="2">
        <f t="shared" si="9"/>
        <v>268.76679999999999</v>
      </c>
      <c r="N497" s="2">
        <f t="shared" si="10"/>
        <v>118.32375</v>
      </c>
      <c r="O497" s="4">
        <v>70</v>
      </c>
    </row>
    <row r="498" spans="1:15" x14ac:dyDescent="0.25">
      <c r="A498" s="15"/>
      <c r="B498" s="15"/>
      <c r="C498">
        <v>30</v>
      </c>
      <c r="D498" s="4">
        <v>245</v>
      </c>
      <c r="E498" s="4">
        <v>105</v>
      </c>
      <c r="F498" s="4">
        <v>105</v>
      </c>
      <c r="G498" s="4">
        <v>757</v>
      </c>
      <c r="H498">
        <v>0</v>
      </c>
      <c r="I498" s="4">
        <v>12.9</v>
      </c>
      <c r="J498" s="4">
        <v>175</v>
      </c>
      <c r="K498" s="4">
        <v>3</v>
      </c>
      <c r="L498" s="13">
        <v>26.5</v>
      </c>
      <c r="M498" s="2">
        <f t="shared" si="9"/>
        <v>265.59730000000002</v>
      </c>
      <c r="N498" s="2">
        <f t="shared" si="10"/>
        <v>124.54875</v>
      </c>
      <c r="O498" s="4">
        <v>85</v>
      </c>
    </row>
    <row r="499" spans="1:15" x14ac:dyDescent="0.25">
      <c r="A499" s="15"/>
      <c r="B499" s="15"/>
      <c r="C499">
        <v>30</v>
      </c>
      <c r="D499" s="4">
        <v>245</v>
      </c>
      <c r="E499" s="4">
        <v>105</v>
      </c>
      <c r="F499" s="4">
        <v>105</v>
      </c>
      <c r="G499" s="4">
        <v>757</v>
      </c>
      <c r="H499">
        <v>0</v>
      </c>
      <c r="I499" s="4">
        <v>12.9</v>
      </c>
      <c r="J499" s="4">
        <v>175</v>
      </c>
      <c r="K499" s="4">
        <v>7</v>
      </c>
      <c r="L499" s="13">
        <v>30.9</v>
      </c>
      <c r="M499" s="2">
        <f t="shared" si="9"/>
        <v>265.59730000000002</v>
      </c>
      <c r="N499" s="2">
        <f t="shared" si="10"/>
        <v>124.54875</v>
      </c>
      <c r="O499" s="4">
        <v>85</v>
      </c>
    </row>
    <row r="500" spans="1:15" x14ac:dyDescent="0.25">
      <c r="A500" s="15"/>
      <c r="B500" s="15"/>
      <c r="C500">
        <v>30</v>
      </c>
      <c r="D500" s="4">
        <v>245</v>
      </c>
      <c r="E500" s="4">
        <v>105</v>
      </c>
      <c r="F500" s="4">
        <v>105</v>
      </c>
      <c r="G500" s="4">
        <v>757</v>
      </c>
      <c r="H500">
        <v>0</v>
      </c>
      <c r="I500" s="4">
        <v>12.9</v>
      </c>
      <c r="J500" s="4">
        <v>175</v>
      </c>
      <c r="K500" s="4">
        <v>14</v>
      </c>
      <c r="L500" s="13">
        <v>37</v>
      </c>
      <c r="M500" s="2">
        <f t="shared" si="9"/>
        <v>265.59730000000002</v>
      </c>
      <c r="N500" s="2">
        <f t="shared" si="10"/>
        <v>124.54875</v>
      </c>
      <c r="O500" s="4">
        <v>85</v>
      </c>
    </row>
    <row r="501" spans="1:15" x14ac:dyDescent="0.25">
      <c r="A501" s="15"/>
      <c r="B501" s="15"/>
      <c r="C501">
        <v>30</v>
      </c>
      <c r="D501" s="4">
        <v>245</v>
      </c>
      <c r="E501" s="4">
        <v>105</v>
      </c>
      <c r="F501" s="4">
        <v>105</v>
      </c>
      <c r="G501" s="4">
        <v>757</v>
      </c>
      <c r="H501">
        <v>0</v>
      </c>
      <c r="I501" s="4">
        <v>12.9</v>
      </c>
      <c r="J501" s="4">
        <v>175</v>
      </c>
      <c r="K501" s="4">
        <v>28</v>
      </c>
      <c r="L501" s="13">
        <v>36.799999999999997</v>
      </c>
      <c r="M501" s="2">
        <f t="shared" si="9"/>
        <v>265.59730000000002</v>
      </c>
      <c r="N501" s="2">
        <f t="shared" si="10"/>
        <v>124.54875</v>
      </c>
      <c r="O501" s="4">
        <v>85</v>
      </c>
    </row>
    <row r="502" spans="1:15" x14ac:dyDescent="0.25">
      <c r="A502" s="15"/>
      <c r="B502" s="15"/>
      <c r="C502">
        <v>30</v>
      </c>
      <c r="D502" s="4">
        <v>245</v>
      </c>
      <c r="E502" s="4">
        <v>105</v>
      </c>
      <c r="F502" s="4">
        <v>105</v>
      </c>
      <c r="G502" s="4">
        <v>757</v>
      </c>
      <c r="H502">
        <v>0</v>
      </c>
      <c r="I502" s="4">
        <v>12.9</v>
      </c>
      <c r="J502" s="4">
        <v>175</v>
      </c>
      <c r="K502" s="4">
        <v>60</v>
      </c>
      <c r="L502" s="13">
        <v>43.5</v>
      </c>
      <c r="M502" s="2">
        <f t="shared" si="9"/>
        <v>265.59730000000002</v>
      </c>
      <c r="N502" s="2">
        <f t="shared" si="10"/>
        <v>124.54875</v>
      </c>
      <c r="O502" s="4">
        <v>85</v>
      </c>
    </row>
    <row r="503" spans="1:15" x14ac:dyDescent="0.25">
      <c r="A503" s="15"/>
      <c r="B503" s="15"/>
      <c r="C503">
        <v>30</v>
      </c>
      <c r="D503" s="4">
        <v>245</v>
      </c>
      <c r="E503" s="4">
        <v>105</v>
      </c>
      <c r="F503" s="4">
        <v>105</v>
      </c>
      <c r="G503" s="4">
        <v>757</v>
      </c>
      <c r="H503">
        <v>0</v>
      </c>
      <c r="I503" s="4">
        <v>12.9</v>
      </c>
      <c r="J503" s="4">
        <v>175</v>
      </c>
      <c r="K503" s="4">
        <v>90</v>
      </c>
      <c r="L503" s="13">
        <v>46.2</v>
      </c>
      <c r="M503" s="2">
        <f t="shared" si="9"/>
        <v>265.59730000000002</v>
      </c>
      <c r="N503" s="2">
        <f t="shared" si="10"/>
        <v>124.54875</v>
      </c>
      <c r="O503" s="4">
        <v>85</v>
      </c>
    </row>
    <row r="504" spans="1:15" x14ac:dyDescent="0.25">
      <c r="A504" s="15"/>
      <c r="B504" s="15"/>
      <c r="C504">
        <v>30</v>
      </c>
      <c r="D504" s="4">
        <v>245</v>
      </c>
      <c r="E504" s="4">
        <v>105</v>
      </c>
      <c r="F504" s="4">
        <v>105</v>
      </c>
      <c r="G504" s="4">
        <v>757</v>
      </c>
      <c r="H504">
        <v>0</v>
      </c>
      <c r="I504" s="4">
        <v>6.86</v>
      </c>
      <c r="J504" s="4">
        <v>175</v>
      </c>
      <c r="K504" s="4">
        <v>3</v>
      </c>
      <c r="L504" s="13">
        <v>24.3</v>
      </c>
      <c r="M504" s="2">
        <f t="shared" si="9"/>
        <v>253.51730000000001</v>
      </c>
      <c r="N504" s="2">
        <f t="shared" si="10"/>
        <v>115.48874999999998</v>
      </c>
      <c r="O504" s="4">
        <v>75</v>
      </c>
    </row>
    <row r="505" spans="1:15" x14ac:dyDescent="0.25">
      <c r="A505" s="15"/>
      <c r="B505" s="15"/>
      <c r="C505">
        <v>30</v>
      </c>
      <c r="D505" s="4">
        <v>245</v>
      </c>
      <c r="E505" s="4">
        <v>105</v>
      </c>
      <c r="F505" s="4">
        <v>105</v>
      </c>
      <c r="G505" s="4">
        <v>757</v>
      </c>
      <c r="H505">
        <v>0</v>
      </c>
      <c r="I505" s="4">
        <v>6.86</v>
      </c>
      <c r="J505" s="4">
        <v>175</v>
      </c>
      <c r="K505" s="4">
        <v>7</v>
      </c>
      <c r="L505" s="13">
        <v>27.6</v>
      </c>
      <c r="M505" s="2">
        <f t="shared" si="9"/>
        <v>253.51730000000001</v>
      </c>
      <c r="N505" s="2">
        <f t="shared" si="10"/>
        <v>115.48874999999998</v>
      </c>
      <c r="O505" s="4">
        <v>75</v>
      </c>
    </row>
    <row r="506" spans="1:15" x14ac:dyDescent="0.25">
      <c r="A506" s="15"/>
      <c r="B506" s="15"/>
      <c r="C506">
        <v>30</v>
      </c>
      <c r="D506" s="4">
        <v>245</v>
      </c>
      <c r="E506" s="4">
        <v>105</v>
      </c>
      <c r="F506" s="4">
        <v>105</v>
      </c>
      <c r="G506" s="4">
        <v>757</v>
      </c>
      <c r="H506">
        <v>0</v>
      </c>
      <c r="I506" s="4">
        <v>6.86</v>
      </c>
      <c r="J506" s="4">
        <v>175</v>
      </c>
      <c r="K506" s="4">
        <v>14</v>
      </c>
      <c r="L506" s="13">
        <v>31.6</v>
      </c>
      <c r="M506" s="2">
        <f t="shared" si="9"/>
        <v>253.51730000000001</v>
      </c>
      <c r="N506" s="2">
        <f t="shared" si="10"/>
        <v>115.48874999999998</v>
      </c>
      <c r="O506" s="4">
        <v>75</v>
      </c>
    </row>
    <row r="507" spans="1:15" x14ac:dyDescent="0.25">
      <c r="A507" s="15"/>
      <c r="B507" s="15"/>
      <c r="C507">
        <v>30</v>
      </c>
      <c r="D507" s="4">
        <v>245</v>
      </c>
      <c r="E507" s="4">
        <v>105</v>
      </c>
      <c r="F507" s="4">
        <v>105</v>
      </c>
      <c r="G507" s="4">
        <v>757</v>
      </c>
      <c r="H507">
        <v>0</v>
      </c>
      <c r="I507" s="4">
        <v>6.86</v>
      </c>
      <c r="J507" s="4">
        <v>175</v>
      </c>
      <c r="K507" s="4">
        <v>28</v>
      </c>
      <c r="L507" s="13">
        <v>33.4</v>
      </c>
      <c r="M507" s="2">
        <f t="shared" si="9"/>
        <v>253.51730000000001</v>
      </c>
      <c r="N507" s="2">
        <f t="shared" si="10"/>
        <v>115.48874999999998</v>
      </c>
      <c r="O507" s="4">
        <v>75</v>
      </c>
    </row>
    <row r="508" spans="1:15" x14ac:dyDescent="0.25">
      <c r="A508" s="15"/>
      <c r="B508" s="15"/>
      <c r="C508">
        <v>30</v>
      </c>
      <c r="D508" s="4">
        <v>245</v>
      </c>
      <c r="E508" s="4">
        <v>105</v>
      </c>
      <c r="F508" s="4">
        <v>105</v>
      </c>
      <c r="G508" s="4">
        <v>757</v>
      </c>
      <c r="H508">
        <v>0</v>
      </c>
      <c r="I508" s="4">
        <v>6.86</v>
      </c>
      <c r="J508" s="4">
        <v>175</v>
      </c>
      <c r="K508" s="4">
        <v>60</v>
      </c>
      <c r="L508" s="13">
        <v>40.5</v>
      </c>
      <c r="M508" s="2">
        <f t="shared" ref="M508:M571" si="11">SUM((D508*0.83)+(E508*0.0023)+(F508*0.0139)+(G508*0.0459)+(I508*2))</f>
        <v>253.51730000000001</v>
      </c>
      <c r="N508" s="2">
        <f t="shared" si="10"/>
        <v>115.48874999999998</v>
      </c>
      <c r="O508" s="4">
        <v>75</v>
      </c>
    </row>
    <row r="509" spans="1:15" x14ac:dyDescent="0.25">
      <c r="A509" s="15"/>
      <c r="B509" s="15"/>
      <c r="C509">
        <v>30</v>
      </c>
      <c r="D509" s="4">
        <v>245</v>
      </c>
      <c r="E509" s="4">
        <v>105</v>
      </c>
      <c r="F509" s="4">
        <v>105</v>
      </c>
      <c r="G509" s="4">
        <v>757</v>
      </c>
      <c r="H509">
        <v>0</v>
      </c>
      <c r="I509" s="4">
        <v>6.86</v>
      </c>
      <c r="J509" s="4">
        <v>175</v>
      </c>
      <c r="K509" s="4">
        <v>90</v>
      </c>
      <c r="L509" s="13">
        <v>41.6</v>
      </c>
      <c r="M509" s="2">
        <f t="shared" si="11"/>
        <v>253.51730000000001</v>
      </c>
      <c r="N509" s="2">
        <f t="shared" si="10"/>
        <v>115.48874999999998</v>
      </c>
      <c r="O509" s="4">
        <v>75</v>
      </c>
    </row>
    <row r="510" spans="1:15" x14ac:dyDescent="0.25">
      <c r="A510" s="15"/>
      <c r="B510" s="15"/>
      <c r="C510">
        <v>30</v>
      </c>
      <c r="D510" s="4">
        <v>245</v>
      </c>
      <c r="E510" s="4">
        <v>105</v>
      </c>
      <c r="F510" s="4">
        <v>105</v>
      </c>
      <c r="G510" s="4">
        <v>757</v>
      </c>
      <c r="H510">
        <v>0</v>
      </c>
      <c r="I510" s="4">
        <v>0</v>
      </c>
      <c r="J510" s="4">
        <v>175</v>
      </c>
      <c r="K510" s="4">
        <v>3</v>
      </c>
      <c r="L510" s="13">
        <v>18.3</v>
      </c>
      <c r="M510" s="2">
        <f t="shared" si="11"/>
        <v>239.79730000000001</v>
      </c>
      <c r="N510" s="2">
        <f t="shared" si="10"/>
        <v>105.19875</v>
      </c>
      <c r="O510" s="4">
        <v>70</v>
      </c>
    </row>
    <row r="511" spans="1:15" x14ac:dyDescent="0.25">
      <c r="A511" s="15"/>
      <c r="B511" s="15"/>
      <c r="C511">
        <v>30</v>
      </c>
      <c r="D511" s="4">
        <v>245</v>
      </c>
      <c r="E511" s="4">
        <v>105</v>
      </c>
      <c r="F511" s="4">
        <v>105</v>
      </c>
      <c r="G511" s="4">
        <v>757</v>
      </c>
      <c r="H511">
        <v>0</v>
      </c>
      <c r="I511" s="4">
        <v>0</v>
      </c>
      <c r="J511" s="4">
        <v>175</v>
      </c>
      <c r="K511" s="4">
        <v>7</v>
      </c>
      <c r="L511" s="13">
        <v>26.6</v>
      </c>
      <c r="M511" s="2">
        <f t="shared" si="11"/>
        <v>239.79730000000001</v>
      </c>
      <c r="N511" s="2">
        <f t="shared" si="10"/>
        <v>105.19875</v>
      </c>
      <c r="O511" s="4">
        <v>70</v>
      </c>
    </row>
    <row r="512" spans="1:15" x14ac:dyDescent="0.25">
      <c r="A512" s="15"/>
      <c r="B512" s="15"/>
      <c r="C512">
        <v>30</v>
      </c>
      <c r="D512" s="4">
        <v>245</v>
      </c>
      <c r="E512" s="4">
        <v>105</v>
      </c>
      <c r="F512" s="4">
        <v>105</v>
      </c>
      <c r="G512" s="4">
        <v>757</v>
      </c>
      <c r="H512">
        <v>0</v>
      </c>
      <c r="I512" s="4">
        <v>0</v>
      </c>
      <c r="J512" s="4">
        <v>175</v>
      </c>
      <c r="K512" s="4">
        <v>14</v>
      </c>
      <c r="L512" s="13">
        <v>27.7</v>
      </c>
      <c r="M512" s="2">
        <f t="shared" si="11"/>
        <v>239.79730000000001</v>
      </c>
      <c r="N512" s="2">
        <f t="shared" si="10"/>
        <v>105.19875</v>
      </c>
      <c r="O512" s="4">
        <v>70</v>
      </c>
    </row>
    <row r="513" spans="1:15" x14ac:dyDescent="0.25">
      <c r="A513" s="15"/>
      <c r="B513" s="15"/>
      <c r="C513">
        <v>30</v>
      </c>
      <c r="D513" s="4">
        <v>245</v>
      </c>
      <c r="E513" s="4">
        <v>105</v>
      </c>
      <c r="F513" s="4">
        <v>105</v>
      </c>
      <c r="G513" s="4">
        <v>757</v>
      </c>
      <c r="H513">
        <v>0</v>
      </c>
      <c r="I513" s="4">
        <v>0</v>
      </c>
      <c r="J513" s="4">
        <v>175</v>
      </c>
      <c r="K513" s="4">
        <v>28</v>
      </c>
      <c r="L513" s="13">
        <v>30.1</v>
      </c>
      <c r="M513" s="2">
        <f t="shared" si="11"/>
        <v>239.79730000000001</v>
      </c>
      <c r="N513" s="2">
        <f t="shared" si="10"/>
        <v>105.19875</v>
      </c>
      <c r="O513" s="4">
        <v>70</v>
      </c>
    </row>
    <row r="514" spans="1:15" x14ac:dyDescent="0.25">
      <c r="A514" s="15"/>
      <c r="B514" s="15"/>
      <c r="C514">
        <v>30</v>
      </c>
      <c r="D514" s="4">
        <v>245</v>
      </c>
      <c r="E514" s="4">
        <v>105</v>
      </c>
      <c r="F514" s="4">
        <v>105</v>
      </c>
      <c r="G514" s="4">
        <v>757</v>
      </c>
      <c r="H514">
        <v>0</v>
      </c>
      <c r="I514" s="4">
        <v>0</v>
      </c>
      <c r="J514" s="4">
        <v>175</v>
      </c>
      <c r="K514" s="4">
        <v>60</v>
      </c>
      <c r="L514" s="13">
        <v>34.799999999999997</v>
      </c>
      <c r="M514" s="2">
        <f t="shared" si="11"/>
        <v>239.79730000000001</v>
      </c>
      <c r="N514" s="2">
        <f t="shared" si="10"/>
        <v>105.19875</v>
      </c>
      <c r="O514" s="4">
        <v>70</v>
      </c>
    </row>
    <row r="515" spans="1:15" x14ac:dyDescent="0.25">
      <c r="A515" s="15"/>
      <c r="B515" s="15"/>
      <c r="C515">
        <v>30</v>
      </c>
      <c r="D515" s="4">
        <v>245</v>
      </c>
      <c r="E515" s="4">
        <v>105</v>
      </c>
      <c r="F515" s="4">
        <v>105</v>
      </c>
      <c r="G515" s="4">
        <v>757</v>
      </c>
      <c r="H515">
        <v>0</v>
      </c>
      <c r="I515" s="4">
        <v>0</v>
      </c>
      <c r="J515" s="4">
        <v>175</v>
      </c>
      <c r="K515" s="4">
        <v>90</v>
      </c>
      <c r="L515" s="13">
        <v>35.700000000000003</v>
      </c>
      <c r="M515" s="2">
        <f t="shared" si="11"/>
        <v>239.79730000000001</v>
      </c>
      <c r="N515" s="2">
        <f t="shared" ref="N515:N578" si="12">SUM((D515*5)+((F515*0.25)+(G515*0.2)+(I515*20)))*0.075</f>
        <v>105.19875</v>
      </c>
      <c r="O515" s="4">
        <v>70</v>
      </c>
    </row>
    <row r="516" spans="1:15" x14ac:dyDescent="0.25">
      <c r="A516" s="15" t="s">
        <v>142</v>
      </c>
      <c r="B516" s="15" t="s">
        <v>143</v>
      </c>
      <c r="C516">
        <v>0</v>
      </c>
      <c r="D516" s="4">
        <v>300</v>
      </c>
      <c r="E516" s="4">
        <v>0</v>
      </c>
      <c r="F516" s="4">
        <v>809</v>
      </c>
      <c r="G516" s="4">
        <v>1031</v>
      </c>
      <c r="H516">
        <v>0</v>
      </c>
      <c r="I516" s="4">
        <v>0</v>
      </c>
      <c r="J516" s="4">
        <v>210</v>
      </c>
      <c r="K516" s="4">
        <v>7</v>
      </c>
      <c r="L516" s="13">
        <v>24.6</v>
      </c>
      <c r="M516" s="2">
        <f t="shared" si="11"/>
        <v>307.56799999999998</v>
      </c>
      <c r="N516" s="2">
        <f t="shared" si="12"/>
        <v>143.13374999999999</v>
      </c>
      <c r="O516" s="4">
        <v>65</v>
      </c>
    </row>
    <row r="517" spans="1:15" x14ac:dyDescent="0.25">
      <c r="A517" s="15"/>
      <c r="B517" s="15"/>
      <c r="C517">
        <v>0</v>
      </c>
      <c r="D517" s="4">
        <v>300</v>
      </c>
      <c r="E517" s="4">
        <v>0</v>
      </c>
      <c r="F517" s="4">
        <v>809</v>
      </c>
      <c r="G517" s="4">
        <v>1031</v>
      </c>
      <c r="H517">
        <v>0</v>
      </c>
      <c r="I517" s="4">
        <v>0</v>
      </c>
      <c r="J517" s="4">
        <v>210</v>
      </c>
      <c r="K517" s="4">
        <v>28</v>
      </c>
      <c r="L517" s="13">
        <v>32.700000000000003</v>
      </c>
      <c r="M517" s="2">
        <f t="shared" si="11"/>
        <v>307.56799999999998</v>
      </c>
      <c r="N517" s="2">
        <f t="shared" si="12"/>
        <v>143.13374999999999</v>
      </c>
      <c r="O517" s="4">
        <v>65</v>
      </c>
    </row>
    <row r="518" spans="1:15" x14ac:dyDescent="0.25">
      <c r="A518" s="15"/>
      <c r="B518" s="15"/>
      <c r="C518">
        <v>0</v>
      </c>
      <c r="D518" s="4">
        <v>300</v>
      </c>
      <c r="E518" s="4">
        <v>0</v>
      </c>
      <c r="F518" s="4">
        <v>809</v>
      </c>
      <c r="G518" s="4">
        <v>1031</v>
      </c>
      <c r="H518">
        <v>0</v>
      </c>
      <c r="I518" s="4">
        <v>0</v>
      </c>
      <c r="J518" s="4">
        <v>210</v>
      </c>
      <c r="K518" s="4">
        <v>90</v>
      </c>
      <c r="L518" s="13">
        <v>38.799999999999997</v>
      </c>
      <c r="M518" s="2">
        <f t="shared" si="11"/>
        <v>307.56799999999998</v>
      </c>
      <c r="N518" s="2">
        <f t="shared" si="12"/>
        <v>143.13374999999999</v>
      </c>
      <c r="O518" s="4">
        <v>65</v>
      </c>
    </row>
    <row r="519" spans="1:15" x14ac:dyDescent="0.25">
      <c r="A519" s="15"/>
      <c r="B519" s="15"/>
      <c r="C519">
        <v>0</v>
      </c>
      <c r="D519" s="4">
        <v>300</v>
      </c>
      <c r="E519" s="4">
        <v>0</v>
      </c>
      <c r="F519" s="4">
        <v>809</v>
      </c>
      <c r="G519" s="4">
        <v>1031</v>
      </c>
      <c r="H519">
        <v>0</v>
      </c>
      <c r="I519" s="4">
        <v>0</v>
      </c>
      <c r="J519" s="4">
        <v>210</v>
      </c>
      <c r="K519" s="4">
        <v>180</v>
      </c>
      <c r="L519" s="13">
        <v>40.1</v>
      </c>
      <c r="M519" s="2">
        <f t="shared" si="11"/>
        <v>307.56799999999998</v>
      </c>
      <c r="N519" s="2">
        <f t="shared" si="12"/>
        <v>143.13374999999999</v>
      </c>
      <c r="O519" s="4">
        <v>65</v>
      </c>
    </row>
    <row r="520" spans="1:15" x14ac:dyDescent="0.25">
      <c r="A520" s="15"/>
      <c r="B520" s="15"/>
      <c r="C520">
        <v>10</v>
      </c>
      <c r="D520" s="4">
        <v>270</v>
      </c>
      <c r="E520" s="4">
        <v>30</v>
      </c>
      <c r="F520" s="4">
        <v>804</v>
      </c>
      <c r="G520" s="4">
        <v>1024</v>
      </c>
      <c r="H520">
        <v>0</v>
      </c>
      <c r="I520" s="4">
        <v>0</v>
      </c>
      <c r="J520" s="4">
        <v>216</v>
      </c>
      <c r="K520" s="4">
        <v>7</v>
      </c>
      <c r="L520" s="13">
        <v>23.3</v>
      </c>
      <c r="M520" s="2">
        <f t="shared" si="11"/>
        <v>282.34620000000001</v>
      </c>
      <c r="N520" s="2">
        <f t="shared" si="12"/>
        <v>131.685</v>
      </c>
      <c r="O520" s="4">
        <v>80</v>
      </c>
    </row>
    <row r="521" spans="1:15" x14ac:dyDescent="0.25">
      <c r="A521" s="15"/>
      <c r="B521" s="15"/>
      <c r="C521">
        <v>10</v>
      </c>
      <c r="D521" s="4">
        <v>270</v>
      </c>
      <c r="E521" s="4">
        <v>30</v>
      </c>
      <c r="F521" s="4">
        <v>804</v>
      </c>
      <c r="G521" s="4">
        <v>1024</v>
      </c>
      <c r="H521">
        <v>0</v>
      </c>
      <c r="I521" s="4">
        <v>0</v>
      </c>
      <c r="J521" s="4">
        <v>216</v>
      </c>
      <c r="K521" s="4">
        <v>28</v>
      </c>
      <c r="L521" s="13">
        <v>31</v>
      </c>
      <c r="M521" s="2">
        <f t="shared" si="11"/>
        <v>282.34620000000001</v>
      </c>
      <c r="N521" s="2">
        <f t="shared" si="12"/>
        <v>131.685</v>
      </c>
      <c r="O521" s="4">
        <v>80</v>
      </c>
    </row>
    <row r="522" spans="1:15" x14ac:dyDescent="0.25">
      <c r="A522" s="15"/>
      <c r="B522" s="15"/>
      <c r="C522">
        <v>10</v>
      </c>
      <c r="D522" s="4">
        <v>270</v>
      </c>
      <c r="E522" s="4">
        <v>30</v>
      </c>
      <c r="F522" s="4">
        <v>804</v>
      </c>
      <c r="G522" s="4">
        <v>1024</v>
      </c>
      <c r="H522">
        <v>0</v>
      </c>
      <c r="I522" s="4">
        <v>0</v>
      </c>
      <c r="J522" s="4">
        <v>216</v>
      </c>
      <c r="K522" s="4">
        <v>90</v>
      </c>
      <c r="L522" s="13">
        <v>38.200000000000003</v>
      </c>
      <c r="M522" s="2">
        <f t="shared" si="11"/>
        <v>282.34620000000001</v>
      </c>
      <c r="N522" s="2">
        <f t="shared" si="12"/>
        <v>131.685</v>
      </c>
      <c r="O522" s="4">
        <v>80</v>
      </c>
    </row>
    <row r="523" spans="1:15" x14ac:dyDescent="0.25">
      <c r="A523" s="15"/>
      <c r="B523" s="15"/>
      <c r="C523">
        <v>10</v>
      </c>
      <c r="D523" s="4">
        <v>270</v>
      </c>
      <c r="E523" s="4">
        <v>30</v>
      </c>
      <c r="F523" s="4">
        <v>804</v>
      </c>
      <c r="G523" s="4">
        <v>1024</v>
      </c>
      <c r="H523">
        <v>0</v>
      </c>
      <c r="I523" s="4">
        <v>0</v>
      </c>
      <c r="J523" s="4">
        <v>216</v>
      </c>
      <c r="K523" s="4">
        <v>180</v>
      </c>
      <c r="L523" s="13">
        <v>39.1</v>
      </c>
      <c r="M523" s="2">
        <f t="shared" si="11"/>
        <v>282.34620000000001</v>
      </c>
      <c r="N523" s="2">
        <f t="shared" si="12"/>
        <v>131.685</v>
      </c>
      <c r="O523" s="4">
        <v>80</v>
      </c>
    </row>
    <row r="524" spans="1:15" x14ac:dyDescent="0.25">
      <c r="A524" s="15"/>
      <c r="B524" s="15"/>
      <c r="C524">
        <v>20</v>
      </c>
      <c r="D524" s="4">
        <v>240</v>
      </c>
      <c r="E524" s="4">
        <v>60</v>
      </c>
      <c r="F524" s="4">
        <v>799</v>
      </c>
      <c r="G524" s="4">
        <v>1018</v>
      </c>
      <c r="H524">
        <v>0</v>
      </c>
      <c r="I524" s="4">
        <v>0</v>
      </c>
      <c r="J524" s="4">
        <v>219</v>
      </c>
      <c r="K524" s="4">
        <v>7</v>
      </c>
      <c r="L524" s="13">
        <v>19.5</v>
      </c>
      <c r="M524" s="2">
        <f t="shared" si="11"/>
        <v>257.1703</v>
      </c>
      <c r="N524" s="2">
        <f t="shared" si="12"/>
        <v>120.25124999999998</v>
      </c>
      <c r="O524" s="4">
        <v>75</v>
      </c>
    </row>
    <row r="525" spans="1:15" x14ac:dyDescent="0.25">
      <c r="A525" s="15"/>
      <c r="B525" s="15"/>
      <c r="C525">
        <v>20</v>
      </c>
      <c r="D525" s="4">
        <v>240</v>
      </c>
      <c r="E525" s="4">
        <v>60</v>
      </c>
      <c r="F525" s="4">
        <v>799</v>
      </c>
      <c r="G525" s="4">
        <v>1018</v>
      </c>
      <c r="H525">
        <v>0</v>
      </c>
      <c r="I525" s="4">
        <v>0</v>
      </c>
      <c r="J525" s="4">
        <v>219</v>
      </c>
      <c r="K525" s="4">
        <v>28</v>
      </c>
      <c r="L525" s="13">
        <v>22.6</v>
      </c>
      <c r="M525" s="2">
        <f t="shared" si="11"/>
        <v>257.1703</v>
      </c>
      <c r="N525" s="2">
        <f t="shared" si="12"/>
        <v>120.25124999999998</v>
      </c>
      <c r="O525" s="4">
        <v>75</v>
      </c>
    </row>
    <row r="526" spans="1:15" x14ac:dyDescent="0.25">
      <c r="A526" s="15"/>
      <c r="B526" s="15"/>
      <c r="C526">
        <v>20</v>
      </c>
      <c r="D526" s="4">
        <v>240</v>
      </c>
      <c r="E526" s="4">
        <v>60</v>
      </c>
      <c r="F526" s="4">
        <v>799</v>
      </c>
      <c r="G526" s="4">
        <v>1018</v>
      </c>
      <c r="H526">
        <v>0</v>
      </c>
      <c r="I526" s="4">
        <v>0</v>
      </c>
      <c r="J526" s="4">
        <v>219</v>
      </c>
      <c r="K526" s="4">
        <v>90</v>
      </c>
      <c r="L526" s="13">
        <v>34.4</v>
      </c>
      <c r="M526" s="2">
        <f t="shared" si="11"/>
        <v>257.1703</v>
      </c>
      <c r="N526" s="2">
        <f t="shared" si="12"/>
        <v>120.25124999999998</v>
      </c>
      <c r="O526" s="4">
        <v>75</v>
      </c>
    </row>
    <row r="527" spans="1:15" x14ac:dyDescent="0.25">
      <c r="A527" s="15"/>
      <c r="B527" s="15"/>
      <c r="C527">
        <v>20</v>
      </c>
      <c r="D527" s="4">
        <v>240</v>
      </c>
      <c r="E527" s="4">
        <v>60</v>
      </c>
      <c r="F527" s="4">
        <v>799</v>
      </c>
      <c r="G527" s="4">
        <v>1018</v>
      </c>
      <c r="H527">
        <v>0</v>
      </c>
      <c r="I527" s="4">
        <v>0</v>
      </c>
      <c r="J527" s="4">
        <v>219</v>
      </c>
      <c r="K527" s="4">
        <v>180</v>
      </c>
      <c r="L527" s="13">
        <v>36.200000000000003</v>
      </c>
      <c r="M527" s="2">
        <f t="shared" si="11"/>
        <v>257.1703</v>
      </c>
      <c r="N527" s="2">
        <f t="shared" si="12"/>
        <v>120.25124999999998</v>
      </c>
      <c r="O527" s="4">
        <v>75</v>
      </c>
    </row>
    <row r="528" spans="1:15" x14ac:dyDescent="0.25">
      <c r="A528" s="15"/>
      <c r="B528" s="15"/>
      <c r="C528">
        <v>30</v>
      </c>
      <c r="D528" s="4">
        <v>210</v>
      </c>
      <c r="E528" s="4">
        <v>90</v>
      </c>
      <c r="F528" s="4">
        <v>794</v>
      </c>
      <c r="G528" s="4">
        <v>1012</v>
      </c>
      <c r="H528">
        <v>0</v>
      </c>
      <c r="I528" s="4">
        <v>0</v>
      </c>
      <c r="J528" s="4">
        <v>219</v>
      </c>
      <c r="K528" s="4">
        <v>7</v>
      </c>
      <c r="L528" s="13">
        <v>17.3</v>
      </c>
      <c r="M528" s="2">
        <f t="shared" si="11"/>
        <v>231.99439999999998</v>
      </c>
      <c r="N528" s="2">
        <f t="shared" si="12"/>
        <v>108.81750000000001</v>
      </c>
      <c r="O528" s="4">
        <v>70</v>
      </c>
    </row>
    <row r="529" spans="1:15" x14ac:dyDescent="0.25">
      <c r="A529" s="15"/>
      <c r="B529" s="15"/>
      <c r="C529">
        <v>30</v>
      </c>
      <c r="D529" s="4">
        <v>210</v>
      </c>
      <c r="E529" s="4">
        <v>90</v>
      </c>
      <c r="F529" s="4">
        <v>794</v>
      </c>
      <c r="G529" s="4">
        <v>1012</v>
      </c>
      <c r="H529">
        <v>0</v>
      </c>
      <c r="I529" s="4">
        <v>0</v>
      </c>
      <c r="J529" s="4">
        <v>219</v>
      </c>
      <c r="K529" s="4">
        <v>28</v>
      </c>
      <c r="L529" s="13">
        <v>24.3</v>
      </c>
      <c r="M529" s="2">
        <f t="shared" si="11"/>
        <v>231.99439999999998</v>
      </c>
      <c r="N529" s="2">
        <f t="shared" si="12"/>
        <v>108.81750000000001</v>
      </c>
      <c r="O529" s="4">
        <v>70</v>
      </c>
    </row>
    <row r="530" spans="1:15" x14ac:dyDescent="0.25">
      <c r="A530" s="15"/>
      <c r="B530" s="15"/>
      <c r="C530">
        <v>30</v>
      </c>
      <c r="D530" s="4">
        <v>210</v>
      </c>
      <c r="E530" s="4">
        <v>90</v>
      </c>
      <c r="F530" s="4">
        <v>794</v>
      </c>
      <c r="G530" s="4">
        <v>1012</v>
      </c>
      <c r="H530">
        <v>0</v>
      </c>
      <c r="I530" s="4">
        <v>0</v>
      </c>
      <c r="J530" s="4">
        <v>219</v>
      </c>
      <c r="K530" s="4">
        <v>90</v>
      </c>
      <c r="L530" s="13">
        <v>30.4</v>
      </c>
      <c r="M530" s="2">
        <f t="shared" si="11"/>
        <v>231.99439999999998</v>
      </c>
      <c r="N530" s="2">
        <f t="shared" si="12"/>
        <v>108.81750000000001</v>
      </c>
      <c r="O530" s="4">
        <v>70</v>
      </c>
    </row>
    <row r="531" spans="1:15" x14ac:dyDescent="0.25">
      <c r="A531" s="15"/>
      <c r="B531" s="15"/>
      <c r="C531">
        <v>30</v>
      </c>
      <c r="D531" s="4">
        <v>210</v>
      </c>
      <c r="E531" s="4">
        <v>90</v>
      </c>
      <c r="F531" s="4">
        <v>794</v>
      </c>
      <c r="G531" s="4">
        <v>1012</v>
      </c>
      <c r="H531">
        <v>0</v>
      </c>
      <c r="I531" s="4">
        <v>0</v>
      </c>
      <c r="J531" s="4">
        <v>204</v>
      </c>
      <c r="K531" s="4">
        <v>180</v>
      </c>
      <c r="L531" s="13">
        <v>31.6</v>
      </c>
      <c r="M531" s="2">
        <f t="shared" si="11"/>
        <v>231.99439999999998</v>
      </c>
      <c r="N531" s="2">
        <f t="shared" si="12"/>
        <v>108.81750000000001</v>
      </c>
      <c r="O531" s="4">
        <v>70</v>
      </c>
    </row>
    <row r="532" spans="1:15" x14ac:dyDescent="0.25">
      <c r="A532" s="15"/>
      <c r="B532" s="15"/>
      <c r="C532">
        <v>10</v>
      </c>
      <c r="D532" s="4">
        <v>270</v>
      </c>
      <c r="E532" s="4">
        <v>30</v>
      </c>
      <c r="F532" s="4">
        <v>805</v>
      </c>
      <c r="G532" s="4">
        <v>1026</v>
      </c>
      <c r="H532">
        <v>0</v>
      </c>
      <c r="I532" s="4">
        <v>0</v>
      </c>
      <c r="J532" s="4">
        <v>204</v>
      </c>
      <c r="K532" s="4">
        <v>7</v>
      </c>
      <c r="L532" s="13">
        <v>24.5</v>
      </c>
      <c r="M532" s="2">
        <f t="shared" si="11"/>
        <v>282.45190000000002</v>
      </c>
      <c r="N532" s="2">
        <f t="shared" si="12"/>
        <v>131.73374999999999</v>
      </c>
      <c r="O532" s="4">
        <v>55</v>
      </c>
    </row>
    <row r="533" spans="1:15" x14ac:dyDescent="0.25">
      <c r="A533" s="15"/>
      <c r="B533" s="15"/>
      <c r="C533">
        <v>10</v>
      </c>
      <c r="D533" s="4">
        <v>270</v>
      </c>
      <c r="E533" s="4">
        <v>30</v>
      </c>
      <c r="F533" s="4">
        <v>805</v>
      </c>
      <c r="G533" s="4">
        <v>1026</v>
      </c>
      <c r="H533">
        <v>0</v>
      </c>
      <c r="I533" s="4">
        <v>0</v>
      </c>
      <c r="J533" s="4">
        <v>204</v>
      </c>
      <c r="K533" s="4">
        <v>28</v>
      </c>
      <c r="L533" s="13">
        <v>33.299999999999997</v>
      </c>
      <c r="M533" s="2">
        <f t="shared" si="11"/>
        <v>282.45190000000002</v>
      </c>
      <c r="N533" s="2">
        <f t="shared" si="12"/>
        <v>131.73374999999999</v>
      </c>
      <c r="O533" s="4">
        <v>55</v>
      </c>
    </row>
    <row r="534" spans="1:15" x14ac:dyDescent="0.25">
      <c r="A534" s="15"/>
      <c r="B534" s="15"/>
      <c r="C534">
        <v>10</v>
      </c>
      <c r="D534" s="4">
        <v>270</v>
      </c>
      <c r="E534" s="4">
        <v>30</v>
      </c>
      <c r="F534" s="4">
        <v>805</v>
      </c>
      <c r="G534" s="4">
        <v>1026</v>
      </c>
      <c r="H534">
        <v>0</v>
      </c>
      <c r="I534" s="4">
        <v>0</v>
      </c>
      <c r="J534" s="4">
        <v>210</v>
      </c>
      <c r="K534" s="4">
        <v>90</v>
      </c>
      <c r="L534" s="13">
        <v>39.700000000000003</v>
      </c>
      <c r="M534" s="2">
        <f t="shared" si="11"/>
        <v>282.45190000000002</v>
      </c>
      <c r="N534" s="2">
        <f t="shared" si="12"/>
        <v>131.73374999999999</v>
      </c>
      <c r="O534" s="4">
        <v>55</v>
      </c>
    </row>
    <row r="535" spans="1:15" x14ac:dyDescent="0.25">
      <c r="A535" s="15"/>
      <c r="B535" s="15"/>
      <c r="C535">
        <v>10</v>
      </c>
      <c r="D535" s="4">
        <v>270</v>
      </c>
      <c r="E535" s="4">
        <v>30</v>
      </c>
      <c r="F535" s="4">
        <v>805</v>
      </c>
      <c r="G535" s="4">
        <v>1026</v>
      </c>
      <c r="H535">
        <v>0</v>
      </c>
      <c r="I535" s="4">
        <v>0</v>
      </c>
      <c r="J535" s="4">
        <v>210</v>
      </c>
      <c r="K535" s="4">
        <v>180</v>
      </c>
      <c r="L535" s="13">
        <v>40.200000000000003</v>
      </c>
      <c r="M535" s="2">
        <f t="shared" si="11"/>
        <v>282.45190000000002</v>
      </c>
      <c r="N535" s="2">
        <f t="shared" si="12"/>
        <v>131.73374999999999</v>
      </c>
      <c r="O535" s="4">
        <v>55</v>
      </c>
    </row>
    <row r="536" spans="1:15" x14ac:dyDescent="0.25">
      <c r="A536" s="15"/>
      <c r="B536" s="15"/>
      <c r="C536">
        <v>20</v>
      </c>
      <c r="D536" s="4">
        <v>240</v>
      </c>
      <c r="E536" s="4">
        <v>60</v>
      </c>
      <c r="F536" s="4">
        <v>801</v>
      </c>
      <c r="G536" s="4">
        <v>1021</v>
      </c>
      <c r="H536">
        <v>0</v>
      </c>
      <c r="I536" s="4">
        <v>0</v>
      </c>
      <c r="J536" s="4">
        <v>210</v>
      </c>
      <c r="K536" s="4">
        <v>7</v>
      </c>
      <c r="L536" s="13">
        <v>23.3</v>
      </c>
      <c r="M536" s="2">
        <f t="shared" si="11"/>
        <v>257.33580000000001</v>
      </c>
      <c r="N536" s="2">
        <f t="shared" si="12"/>
        <v>120.33374999999999</v>
      </c>
      <c r="O536" s="4">
        <v>60</v>
      </c>
    </row>
    <row r="537" spans="1:15" x14ac:dyDescent="0.25">
      <c r="A537" s="15"/>
      <c r="B537" s="15"/>
      <c r="C537">
        <v>20</v>
      </c>
      <c r="D537" s="4">
        <v>240</v>
      </c>
      <c r="E537" s="4">
        <v>60</v>
      </c>
      <c r="F537" s="4">
        <v>801</v>
      </c>
      <c r="G537" s="4">
        <v>1021</v>
      </c>
      <c r="H537">
        <v>0</v>
      </c>
      <c r="I537" s="4">
        <v>0</v>
      </c>
      <c r="J537" s="4">
        <v>213</v>
      </c>
      <c r="K537" s="4">
        <v>28</v>
      </c>
      <c r="L537" s="13">
        <v>32.200000000000003</v>
      </c>
      <c r="M537" s="2">
        <f t="shared" si="11"/>
        <v>257.33580000000001</v>
      </c>
      <c r="N537" s="2">
        <f t="shared" si="12"/>
        <v>120.33374999999999</v>
      </c>
      <c r="O537" s="4">
        <v>60</v>
      </c>
    </row>
    <row r="538" spans="1:15" x14ac:dyDescent="0.25">
      <c r="A538" s="15"/>
      <c r="B538" s="15"/>
      <c r="C538">
        <v>20</v>
      </c>
      <c r="D538" s="4">
        <v>240</v>
      </c>
      <c r="E538" s="4">
        <v>60</v>
      </c>
      <c r="F538" s="4">
        <v>801</v>
      </c>
      <c r="G538" s="4">
        <v>1021</v>
      </c>
      <c r="H538">
        <v>0</v>
      </c>
      <c r="I538" s="4">
        <v>0</v>
      </c>
      <c r="J538" s="4">
        <v>213</v>
      </c>
      <c r="K538" s="4">
        <v>90</v>
      </c>
      <c r="L538" s="13">
        <v>38.4</v>
      </c>
      <c r="M538" s="2">
        <f t="shared" si="11"/>
        <v>257.33580000000001</v>
      </c>
      <c r="N538" s="2">
        <f t="shared" si="12"/>
        <v>120.33374999999999</v>
      </c>
      <c r="O538" s="4">
        <v>60</v>
      </c>
    </row>
    <row r="539" spans="1:15" x14ac:dyDescent="0.25">
      <c r="A539" s="15"/>
      <c r="B539" s="15"/>
      <c r="C539">
        <v>20</v>
      </c>
      <c r="D539" s="4">
        <v>240</v>
      </c>
      <c r="E539" s="4">
        <v>60</v>
      </c>
      <c r="F539" s="4">
        <v>801</v>
      </c>
      <c r="G539" s="4">
        <v>1021</v>
      </c>
      <c r="H539">
        <v>0</v>
      </c>
      <c r="I539" s="4">
        <v>0</v>
      </c>
      <c r="J539" s="4">
        <v>213</v>
      </c>
      <c r="K539" s="4">
        <v>180</v>
      </c>
      <c r="L539" s="13">
        <v>39.1</v>
      </c>
      <c r="M539" s="2">
        <f t="shared" si="11"/>
        <v>257.33580000000001</v>
      </c>
      <c r="N539" s="2">
        <f t="shared" si="12"/>
        <v>120.33374999999999</v>
      </c>
      <c r="O539" s="4">
        <v>60</v>
      </c>
    </row>
    <row r="540" spans="1:15" x14ac:dyDescent="0.25">
      <c r="A540" s="15"/>
      <c r="B540" s="15"/>
      <c r="C540">
        <v>30</v>
      </c>
      <c r="D540" s="4">
        <v>210</v>
      </c>
      <c r="E540" s="4">
        <v>90</v>
      </c>
      <c r="F540" s="4">
        <v>798</v>
      </c>
      <c r="G540" s="4">
        <v>1016</v>
      </c>
      <c r="H540">
        <v>0</v>
      </c>
      <c r="I540" s="4">
        <v>0</v>
      </c>
      <c r="J540" s="4">
        <v>213</v>
      </c>
      <c r="K540" s="4">
        <v>7</v>
      </c>
      <c r="L540" s="13">
        <v>21.3</v>
      </c>
      <c r="M540" s="2">
        <f t="shared" si="11"/>
        <v>232.23359999999997</v>
      </c>
      <c r="N540" s="2">
        <f t="shared" si="12"/>
        <v>108.9525</v>
      </c>
      <c r="O540" s="4">
        <v>60</v>
      </c>
    </row>
    <row r="541" spans="1:15" x14ac:dyDescent="0.25">
      <c r="A541" s="15"/>
      <c r="B541" s="15"/>
      <c r="C541">
        <v>30</v>
      </c>
      <c r="D541" s="4">
        <v>210</v>
      </c>
      <c r="E541" s="4">
        <v>90</v>
      </c>
      <c r="F541" s="4">
        <v>798</v>
      </c>
      <c r="G541" s="4">
        <v>1016</v>
      </c>
      <c r="H541">
        <v>0</v>
      </c>
      <c r="I541" s="4">
        <v>0</v>
      </c>
      <c r="J541" s="4">
        <v>213</v>
      </c>
      <c r="K541" s="4">
        <v>28</v>
      </c>
      <c r="L541" s="13">
        <v>31.1</v>
      </c>
      <c r="M541" s="2">
        <f t="shared" si="11"/>
        <v>232.23359999999997</v>
      </c>
      <c r="N541" s="2">
        <f t="shared" si="12"/>
        <v>108.9525</v>
      </c>
      <c r="O541" s="4">
        <v>60</v>
      </c>
    </row>
    <row r="542" spans="1:15" x14ac:dyDescent="0.25">
      <c r="A542" s="15"/>
      <c r="B542" s="15"/>
      <c r="C542">
        <v>30</v>
      </c>
      <c r="D542" s="4">
        <v>210</v>
      </c>
      <c r="E542" s="4">
        <v>90</v>
      </c>
      <c r="F542" s="4">
        <v>798</v>
      </c>
      <c r="G542" s="4">
        <v>1016</v>
      </c>
      <c r="H542">
        <v>0</v>
      </c>
      <c r="I542" s="4">
        <v>0</v>
      </c>
      <c r="J542" s="4">
        <v>213</v>
      </c>
      <c r="K542" s="4">
        <v>90</v>
      </c>
      <c r="L542" s="13">
        <v>37.1</v>
      </c>
      <c r="M542" s="2">
        <f t="shared" si="11"/>
        <v>232.23359999999997</v>
      </c>
      <c r="N542" s="2">
        <f t="shared" si="12"/>
        <v>108.9525</v>
      </c>
      <c r="O542" s="4">
        <v>60</v>
      </c>
    </row>
    <row r="543" spans="1:15" x14ac:dyDescent="0.25">
      <c r="A543" s="15"/>
      <c r="B543" s="15"/>
      <c r="C543">
        <v>30</v>
      </c>
      <c r="D543" s="4">
        <v>210</v>
      </c>
      <c r="E543" s="4">
        <v>90</v>
      </c>
      <c r="F543" s="4">
        <v>798</v>
      </c>
      <c r="G543" s="4">
        <v>1016</v>
      </c>
      <c r="H543">
        <v>0</v>
      </c>
      <c r="I543" s="4">
        <v>0</v>
      </c>
      <c r="J543" s="4">
        <v>213</v>
      </c>
      <c r="K543" s="4">
        <v>180</v>
      </c>
      <c r="L543" s="13">
        <v>38.6</v>
      </c>
      <c r="M543" s="2">
        <f t="shared" si="11"/>
        <v>232.23359999999997</v>
      </c>
      <c r="N543" s="2">
        <f t="shared" si="12"/>
        <v>108.9525</v>
      </c>
      <c r="O543" s="4">
        <v>60</v>
      </c>
    </row>
    <row r="544" spans="1:15" x14ac:dyDescent="0.25">
      <c r="A544" s="15" t="s">
        <v>180</v>
      </c>
      <c r="B544" s="15" t="s">
        <v>27</v>
      </c>
      <c r="C544">
        <v>0</v>
      </c>
      <c r="D544" s="3">
        <v>383</v>
      </c>
      <c r="E544" s="3">
        <f>SUM(C544/100*D544)</f>
        <v>0</v>
      </c>
      <c r="F544">
        <v>259</v>
      </c>
      <c r="G544">
        <v>775</v>
      </c>
      <c r="H544">
        <v>0</v>
      </c>
      <c r="I544">
        <v>0</v>
      </c>
      <c r="J544">
        <v>180.48</v>
      </c>
      <c r="K544">
        <v>7</v>
      </c>
      <c r="L544" s="10">
        <v>30.766999999999999</v>
      </c>
      <c r="M544" s="2">
        <f t="shared" si="11"/>
        <v>357.06259999999997</v>
      </c>
      <c r="N544" s="2">
        <f t="shared" si="12"/>
        <v>160.10624999999999</v>
      </c>
      <c r="O544">
        <v>0</v>
      </c>
    </row>
    <row r="545" spans="1:15" x14ac:dyDescent="0.25">
      <c r="A545" s="15"/>
      <c r="B545" s="15"/>
      <c r="C545">
        <v>0</v>
      </c>
      <c r="D545" s="3">
        <v>383</v>
      </c>
      <c r="E545" s="3">
        <f t="shared" ref="E545:E563" si="13">SUM(C545/100*D545)</f>
        <v>0</v>
      </c>
      <c r="F545">
        <v>259</v>
      </c>
      <c r="G545">
        <v>775</v>
      </c>
      <c r="H545">
        <v>0</v>
      </c>
      <c r="I545">
        <v>0</v>
      </c>
      <c r="J545">
        <v>180.48</v>
      </c>
      <c r="K545">
        <v>28</v>
      </c>
      <c r="L545" s="10">
        <v>34.360999999999997</v>
      </c>
      <c r="M545" s="2">
        <f t="shared" si="11"/>
        <v>357.06259999999997</v>
      </c>
      <c r="N545" s="2">
        <f t="shared" si="12"/>
        <v>160.10624999999999</v>
      </c>
      <c r="O545">
        <v>0</v>
      </c>
    </row>
    <row r="546" spans="1:15" x14ac:dyDescent="0.25">
      <c r="A546" s="15"/>
      <c r="B546" s="15"/>
      <c r="C546">
        <v>0</v>
      </c>
      <c r="D546" s="3">
        <v>383</v>
      </c>
      <c r="E546" s="3">
        <f t="shared" si="13"/>
        <v>0</v>
      </c>
      <c r="F546">
        <v>259</v>
      </c>
      <c r="G546">
        <v>775</v>
      </c>
      <c r="H546">
        <v>0</v>
      </c>
      <c r="I546">
        <v>0</v>
      </c>
      <c r="J546">
        <v>180.48</v>
      </c>
      <c r="K546">
        <v>56</v>
      </c>
      <c r="L546" s="10">
        <v>36.354999999999997</v>
      </c>
      <c r="M546" s="2">
        <f t="shared" si="11"/>
        <v>357.06259999999997</v>
      </c>
      <c r="N546" s="2">
        <f t="shared" si="12"/>
        <v>160.10624999999999</v>
      </c>
      <c r="O546">
        <v>0</v>
      </c>
    </row>
    <row r="547" spans="1:15" x14ac:dyDescent="0.25">
      <c r="A547" s="15"/>
      <c r="B547" s="15"/>
      <c r="C547">
        <v>0</v>
      </c>
      <c r="D547" s="3">
        <v>383</v>
      </c>
      <c r="E547" s="3">
        <f t="shared" si="13"/>
        <v>0</v>
      </c>
      <c r="F547">
        <v>259</v>
      </c>
      <c r="G547">
        <v>775</v>
      </c>
      <c r="H547">
        <v>0</v>
      </c>
      <c r="I547">
        <v>0</v>
      </c>
      <c r="J547">
        <v>180.48</v>
      </c>
      <c r="K547">
        <v>90</v>
      </c>
      <c r="L547" s="10">
        <v>37.698999999999998</v>
      </c>
      <c r="M547" s="2">
        <f t="shared" si="11"/>
        <v>357.06259999999997</v>
      </c>
      <c r="N547" s="2">
        <f t="shared" si="12"/>
        <v>160.10624999999999</v>
      </c>
      <c r="O547">
        <v>0</v>
      </c>
    </row>
    <row r="548" spans="1:15" x14ac:dyDescent="0.25">
      <c r="A548" s="15"/>
      <c r="B548" s="15"/>
      <c r="C548">
        <v>5</v>
      </c>
      <c r="D548" s="3">
        <v>364</v>
      </c>
      <c r="E548" s="3">
        <f t="shared" si="13"/>
        <v>18.2</v>
      </c>
      <c r="F548">
        <v>259</v>
      </c>
      <c r="G548">
        <v>775</v>
      </c>
      <c r="H548">
        <v>0</v>
      </c>
      <c r="I548">
        <v>0</v>
      </c>
      <c r="J548">
        <v>180.48</v>
      </c>
      <c r="K548">
        <v>7</v>
      </c>
      <c r="L548" s="10">
        <v>36.424999999999997</v>
      </c>
      <c r="M548" s="2">
        <f t="shared" si="11"/>
        <v>341.33445999999998</v>
      </c>
      <c r="N548" s="2">
        <f t="shared" si="12"/>
        <v>152.98124999999999</v>
      </c>
      <c r="O548">
        <v>0</v>
      </c>
    </row>
    <row r="549" spans="1:15" x14ac:dyDescent="0.25">
      <c r="A549" s="15"/>
      <c r="B549" s="15"/>
      <c r="C549">
        <v>5</v>
      </c>
      <c r="D549" s="3">
        <v>364</v>
      </c>
      <c r="E549" s="3">
        <f t="shared" si="13"/>
        <v>18.2</v>
      </c>
      <c r="F549">
        <v>259</v>
      </c>
      <c r="G549">
        <v>775</v>
      </c>
      <c r="H549">
        <v>0</v>
      </c>
      <c r="I549">
        <v>0</v>
      </c>
      <c r="J549">
        <v>180.48</v>
      </c>
      <c r="K549">
        <v>28</v>
      </c>
      <c r="L549" s="10">
        <v>41.850999999999999</v>
      </c>
      <c r="M549" s="2">
        <f t="shared" si="11"/>
        <v>341.33445999999998</v>
      </c>
      <c r="N549" s="2">
        <f t="shared" si="12"/>
        <v>152.98124999999999</v>
      </c>
      <c r="O549">
        <v>0</v>
      </c>
    </row>
    <row r="550" spans="1:15" x14ac:dyDescent="0.25">
      <c r="A550" s="15"/>
      <c r="B550" s="15"/>
      <c r="C550">
        <v>5</v>
      </c>
      <c r="D550" s="3">
        <v>364</v>
      </c>
      <c r="E550" s="3">
        <f t="shared" si="13"/>
        <v>18.2</v>
      </c>
      <c r="F550">
        <v>259</v>
      </c>
      <c r="G550">
        <v>775</v>
      </c>
      <c r="H550">
        <v>0</v>
      </c>
      <c r="I550">
        <v>0</v>
      </c>
      <c r="J550">
        <v>180.48</v>
      </c>
      <c r="K550">
        <v>56</v>
      </c>
      <c r="L550" s="10">
        <v>42.762</v>
      </c>
      <c r="M550" s="2">
        <f t="shared" si="11"/>
        <v>341.33445999999998</v>
      </c>
      <c r="N550" s="2">
        <f t="shared" si="12"/>
        <v>152.98124999999999</v>
      </c>
      <c r="O550">
        <v>0</v>
      </c>
    </row>
    <row r="551" spans="1:15" x14ac:dyDescent="0.25">
      <c r="A551" s="15"/>
      <c r="B551" s="15"/>
      <c r="C551">
        <v>5</v>
      </c>
      <c r="D551" s="3">
        <v>364</v>
      </c>
      <c r="E551" s="3">
        <f t="shared" si="13"/>
        <v>18.2</v>
      </c>
      <c r="F551">
        <v>259</v>
      </c>
      <c r="G551">
        <v>775</v>
      </c>
      <c r="H551">
        <v>0</v>
      </c>
      <c r="I551">
        <v>0</v>
      </c>
      <c r="J551">
        <v>180.48</v>
      </c>
      <c r="K551">
        <v>90</v>
      </c>
      <c r="L551" s="10">
        <v>43.715000000000003</v>
      </c>
      <c r="M551" s="2">
        <f t="shared" si="11"/>
        <v>341.33445999999998</v>
      </c>
      <c r="N551" s="2">
        <f t="shared" si="12"/>
        <v>152.98124999999999</v>
      </c>
      <c r="O551">
        <v>0</v>
      </c>
    </row>
    <row r="552" spans="1:15" x14ac:dyDescent="0.25">
      <c r="A552" s="15"/>
      <c r="B552" s="15"/>
      <c r="C552">
        <v>10</v>
      </c>
      <c r="D552" s="3">
        <v>345</v>
      </c>
      <c r="E552" s="3">
        <f t="shared" si="13"/>
        <v>34.5</v>
      </c>
      <c r="F552">
        <v>259</v>
      </c>
      <c r="G552">
        <v>775</v>
      </c>
      <c r="H552">
        <v>0</v>
      </c>
      <c r="I552">
        <v>0</v>
      </c>
      <c r="J552">
        <v>180.48</v>
      </c>
      <c r="K552">
        <v>7</v>
      </c>
      <c r="L552" s="10">
        <v>39.223999999999997</v>
      </c>
      <c r="M552" s="2">
        <f t="shared" si="11"/>
        <v>325.60194999999993</v>
      </c>
      <c r="N552" s="2">
        <f t="shared" si="12"/>
        <v>145.85624999999999</v>
      </c>
      <c r="O552">
        <v>0</v>
      </c>
    </row>
    <row r="553" spans="1:15" x14ac:dyDescent="0.25">
      <c r="A553" s="15"/>
      <c r="B553" s="15"/>
      <c r="C553">
        <v>10</v>
      </c>
      <c r="D553" s="3">
        <v>345</v>
      </c>
      <c r="E553" s="3">
        <f t="shared" si="13"/>
        <v>34.5</v>
      </c>
      <c r="F553">
        <v>259</v>
      </c>
      <c r="G553">
        <v>775</v>
      </c>
      <c r="H553">
        <v>0</v>
      </c>
      <c r="I553">
        <v>0</v>
      </c>
      <c r="J553">
        <v>180.48</v>
      </c>
      <c r="K553">
        <v>28</v>
      </c>
      <c r="L553" s="10">
        <v>42.494999999999997</v>
      </c>
      <c r="M553" s="2">
        <f t="shared" si="11"/>
        <v>325.60194999999993</v>
      </c>
      <c r="N553" s="2">
        <f t="shared" si="12"/>
        <v>145.85624999999999</v>
      </c>
      <c r="O553">
        <v>0</v>
      </c>
    </row>
    <row r="554" spans="1:15" x14ac:dyDescent="0.25">
      <c r="A554" s="15"/>
      <c r="B554" s="15"/>
      <c r="C554">
        <v>10</v>
      </c>
      <c r="D554" s="3">
        <v>345</v>
      </c>
      <c r="E554" s="3">
        <f t="shared" si="13"/>
        <v>34.5</v>
      </c>
      <c r="F554">
        <v>259</v>
      </c>
      <c r="G554">
        <v>775</v>
      </c>
      <c r="H554">
        <v>0</v>
      </c>
      <c r="I554">
        <v>0</v>
      </c>
      <c r="J554">
        <v>180.48</v>
      </c>
      <c r="K554">
        <v>56</v>
      </c>
      <c r="L554" s="10">
        <v>44.593000000000004</v>
      </c>
      <c r="M554" s="2">
        <f t="shared" si="11"/>
        <v>325.60194999999993</v>
      </c>
      <c r="N554" s="2">
        <f t="shared" si="12"/>
        <v>145.85624999999999</v>
      </c>
      <c r="O554">
        <v>0</v>
      </c>
    </row>
    <row r="555" spans="1:15" x14ac:dyDescent="0.25">
      <c r="A555" s="15"/>
      <c r="B555" s="15"/>
      <c r="C555">
        <v>10</v>
      </c>
      <c r="D555" s="3">
        <v>345</v>
      </c>
      <c r="E555" s="3">
        <f t="shared" si="13"/>
        <v>34.5</v>
      </c>
      <c r="F555">
        <v>259</v>
      </c>
      <c r="G555">
        <v>775</v>
      </c>
      <c r="H555">
        <v>0</v>
      </c>
      <c r="I555">
        <v>0</v>
      </c>
      <c r="J555">
        <v>180.48</v>
      </c>
      <c r="K555">
        <v>90</v>
      </c>
      <c r="L555" s="10">
        <v>47.414999999999999</v>
      </c>
      <c r="M555" s="2">
        <f t="shared" si="11"/>
        <v>325.60194999999993</v>
      </c>
      <c r="N555" s="2">
        <f t="shared" si="12"/>
        <v>145.85624999999999</v>
      </c>
      <c r="O555">
        <v>0</v>
      </c>
    </row>
    <row r="556" spans="1:15" x14ac:dyDescent="0.25">
      <c r="A556" s="15"/>
      <c r="B556" s="15"/>
      <c r="C556">
        <v>15</v>
      </c>
      <c r="D556" s="3">
        <v>326</v>
      </c>
      <c r="E556" s="3">
        <f t="shared" si="13"/>
        <v>48.9</v>
      </c>
      <c r="F556">
        <v>259</v>
      </c>
      <c r="G556">
        <v>775</v>
      </c>
      <c r="H556">
        <v>0</v>
      </c>
      <c r="I556">
        <v>0</v>
      </c>
      <c r="J556">
        <v>180.48</v>
      </c>
      <c r="K556">
        <v>7</v>
      </c>
      <c r="L556" s="10">
        <v>36.351999999999997</v>
      </c>
      <c r="M556" s="2">
        <f t="shared" si="11"/>
        <v>309.86506999999995</v>
      </c>
      <c r="N556" s="2">
        <f t="shared" si="12"/>
        <v>138.73124999999999</v>
      </c>
      <c r="O556">
        <v>0</v>
      </c>
    </row>
    <row r="557" spans="1:15" x14ac:dyDescent="0.25">
      <c r="A557" s="15"/>
      <c r="B557" s="15"/>
      <c r="C557">
        <v>15</v>
      </c>
      <c r="D557" s="3">
        <v>326</v>
      </c>
      <c r="E557" s="3">
        <f t="shared" si="13"/>
        <v>48.9</v>
      </c>
      <c r="F557">
        <v>259</v>
      </c>
      <c r="G557">
        <v>775</v>
      </c>
      <c r="H557">
        <v>0</v>
      </c>
      <c r="I557">
        <v>0</v>
      </c>
      <c r="J557">
        <v>180.48</v>
      </c>
      <c r="K557">
        <v>28</v>
      </c>
      <c r="L557" s="10">
        <v>41.514000000000003</v>
      </c>
      <c r="M557" s="2">
        <f t="shared" si="11"/>
        <v>309.86506999999995</v>
      </c>
      <c r="N557" s="2">
        <f t="shared" si="12"/>
        <v>138.73124999999999</v>
      </c>
      <c r="O557">
        <v>0</v>
      </c>
    </row>
    <row r="558" spans="1:15" x14ac:dyDescent="0.25">
      <c r="A558" s="15"/>
      <c r="B558" s="15"/>
      <c r="C558">
        <v>15</v>
      </c>
      <c r="D558" s="3">
        <v>326</v>
      </c>
      <c r="E558" s="3">
        <f t="shared" si="13"/>
        <v>48.9</v>
      </c>
      <c r="F558">
        <v>259</v>
      </c>
      <c r="G558">
        <v>775</v>
      </c>
      <c r="H558">
        <v>0</v>
      </c>
      <c r="I558">
        <v>0</v>
      </c>
      <c r="J558">
        <v>180.48</v>
      </c>
      <c r="K558">
        <v>56</v>
      </c>
      <c r="L558" s="10">
        <v>43.445999999999998</v>
      </c>
      <c r="M558" s="2">
        <f t="shared" si="11"/>
        <v>309.86506999999995</v>
      </c>
      <c r="N558" s="2">
        <f t="shared" si="12"/>
        <v>138.73124999999999</v>
      </c>
      <c r="O558">
        <v>0</v>
      </c>
    </row>
    <row r="559" spans="1:15" x14ac:dyDescent="0.25">
      <c r="A559" s="15"/>
      <c r="B559" s="15"/>
      <c r="C559">
        <v>15</v>
      </c>
      <c r="D559" s="3">
        <v>326</v>
      </c>
      <c r="E559" s="3">
        <f t="shared" si="13"/>
        <v>48.9</v>
      </c>
      <c r="F559">
        <v>259</v>
      </c>
      <c r="G559">
        <v>775</v>
      </c>
      <c r="H559">
        <v>0</v>
      </c>
      <c r="I559">
        <v>0</v>
      </c>
      <c r="J559">
        <v>180.48</v>
      </c>
      <c r="K559">
        <v>90</v>
      </c>
      <c r="L559" s="10">
        <v>44.314999999999998</v>
      </c>
      <c r="M559" s="2">
        <f t="shared" si="11"/>
        <v>309.86506999999995</v>
      </c>
      <c r="N559" s="2">
        <f t="shared" si="12"/>
        <v>138.73124999999999</v>
      </c>
      <c r="O559">
        <v>0</v>
      </c>
    </row>
    <row r="560" spans="1:15" x14ac:dyDescent="0.25">
      <c r="A560" s="15"/>
      <c r="B560" s="15"/>
      <c r="C560">
        <v>20</v>
      </c>
      <c r="D560" s="3">
        <v>306</v>
      </c>
      <c r="E560" s="3">
        <f t="shared" si="13"/>
        <v>61.2</v>
      </c>
      <c r="F560">
        <v>259</v>
      </c>
      <c r="G560">
        <v>775</v>
      </c>
      <c r="H560">
        <v>0</v>
      </c>
      <c r="I560">
        <v>0</v>
      </c>
      <c r="J560">
        <v>180.48</v>
      </c>
      <c r="K560">
        <v>7</v>
      </c>
      <c r="L560" s="10">
        <v>30.53</v>
      </c>
      <c r="M560" s="2">
        <f t="shared" si="11"/>
        <v>293.29336000000001</v>
      </c>
      <c r="N560" s="2">
        <f t="shared" si="12"/>
        <v>131.23124999999999</v>
      </c>
      <c r="O560">
        <v>0</v>
      </c>
    </row>
    <row r="561" spans="1:15" x14ac:dyDescent="0.25">
      <c r="A561" s="15"/>
      <c r="B561" s="15"/>
      <c r="C561">
        <v>20</v>
      </c>
      <c r="D561" s="3">
        <v>306</v>
      </c>
      <c r="E561" s="3">
        <f t="shared" si="13"/>
        <v>61.2</v>
      </c>
      <c r="F561">
        <v>259</v>
      </c>
      <c r="G561">
        <v>775</v>
      </c>
      <c r="H561">
        <v>0</v>
      </c>
      <c r="I561">
        <v>0</v>
      </c>
      <c r="J561">
        <v>180.48</v>
      </c>
      <c r="K561">
        <v>28</v>
      </c>
      <c r="L561" s="10">
        <v>33.323</v>
      </c>
      <c r="M561" s="2">
        <f t="shared" si="11"/>
        <v>293.29336000000001</v>
      </c>
      <c r="N561" s="2">
        <f t="shared" si="12"/>
        <v>131.23124999999999</v>
      </c>
      <c r="O561">
        <v>0</v>
      </c>
    </row>
    <row r="562" spans="1:15" x14ac:dyDescent="0.25">
      <c r="A562" s="15"/>
      <c r="B562" s="15"/>
      <c r="C562">
        <v>20</v>
      </c>
      <c r="D562" s="3">
        <v>306</v>
      </c>
      <c r="E562" s="3">
        <f t="shared" si="13"/>
        <v>61.2</v>
      </c>
      <c r="F562">
        <v>259</v>
      </c>
      <c r="G562">
        <v>775</v>
      </c>
      <c r="H562">
        <v>0</v>
      </c>
      <c r="I562">
        <v>0</v>
      </c>
      <c r="J562">
        <v>180.48</v>
      </c>
      <c r="K562">
        <v>56</v>
      </c>
      <c r="L562" s="10">
        <v>34.951000000000001</v>
      </c>
      <c r="M562" s="2">
        <f t="shared" si="11"/>
        <v>293.29336000000001</v>
      </c>
      <c r="N562" s="2">
        <f t="shared" si="12"/>
        <v>131.23124999999999</v>
      </c>
      <c r="O562">
        <v>0</v>
      </c>
    </row>
    <row r="563" spans="1:15" x14ac:dyDescent="0.25">
      <c r="A563" s="15"/>
      <c r="B563" s="15"/>
      <c r="C563">
        <v>20</v>
      </c>
      <c r="D563" s="3">
        <v>306</v>
      </c>
      <c r="E563" s="3">
        <f t="shared" si="13"/>
        <v>61.2</v>
      </c>
      <c r="F563">
        <v>259</v>
      </c>
      <c r="G563">
        <v>775</v>
      </c>
      <c r="H563">
        <v>0</v>
      </c>
      <c r="I563">
        <v>0</v>
      </c>
      <c r="J563">
        <v>180.48</v>
      </c>
      <c r="K563">
        <v>90</v>
      </c>
      <c r="L563" s="10">
        <v>37.167000000000002</v>
      </c>
      <c r="M563" s="2">
        <f t="shared" si="11"/>
        <v>293.29336000000001</v>
      </c>
      <c r="N563" s="2">
        <f t="shared" si="12"/>
        <v>131.23124999999999</v>
      </c>
      <c r="O563">
        <v>0</v>
      </c>
    </row>
    <row r="564" spans="1:15" x14ac:dyDescent="0.25">
      <c r="A564" s="15" t="s">
        <v>324</v>
      </c>
      <c r="B564" s="15" t="s">
        <v>323</v>
      </c>
      <c r="C564">
        <v>0</v>
      </c>
      <c r="D564" s="3">
        <v>480</v>
      </c>
      <c r="E564" s="3">
        <v>0</v>
      </c>
      <c r="F564">
        <v>925</v>
      </c>
      <c r="G564">
        <v>760</v>
      </c>
      <c r="H564">
        <v>0</v>
      </c>
      <c r="I564">
        <f>SUM(1.3/100*D564)</f>
        <v>6.24</v>
      </c>
      <c r="J564">
        <v>168</v>
      </c>
      <c r="K564">
        <v>1</v>
      </c>
      <c r="L564" s="10">
        <v>39</v>
      </c>
      <c r="M564" s="2">
        <f t="shared" si="11"/>
        <v>458.62150000000003</v>
      </c>
      <c r="N564" s="2">
        <f t="shared" si="12"/>
        <v>218.10375000000002</v>
      </c>
      <c r="O564">
        <v>0</v>
      </c>
    </row>
    <row r="565" spans="1:15" x14ac:dyDescent="0.25">
      <c r="A565" s="15"/>
      <c r="B565" s="15"/>
      <c r="C565">
        <v>0</v>
      </c>
      <c r="D565" s="3">
        <v>480</v>
      </c>
      <c r="E565" s="3">
        <v>0</v>
      </c>
      <c r="F565">
        <v>925</v>
      </c>
      <c r="G565">
        <v>760</v>
      </c>
      <c r="H565">
        <v>0</v>
      </c>
      <c r="I565">
        <f t="shared" ref="I565:I605" si="14">SUM(1.3/100*D565)</f>
        <v>6.24</v>
      </c>
      <c r="J565">
        <v>168</v>
      </c>
      <c r="K565">
        <v>3</v>
      </c>
      <c r="L565" s="10">
        <v>51.2</v>
      </c>
      <c r="M565" s="2">
        <f t="shared" si="11"/>
        <v>458.62150000000003</v>
      </c>
      <c r="N565" s="2">
        <f t="shared" si="12"/>
        <v>218.10375000000002</v>
      </c>
      <c r="O565">
        <v>0</v>
      </c>
    </row>
    <row r="566" spans="1:15" x14ac:dyDescent="0.25">
      <c r="A566" s="15"/>
      <c r="B566" s="15"/>
      <c r="C566">
        <v>0</v>
      </c>
      <c r="D566" s="3">
        <v>480</v>
      </c>
      <c r="E566" s="3">
        <v>0</v>
      </c>
      <c r="F566">
        <v>925</v>
      </c>
      <c r="G566">
        <v>760</v>
      </c>
      <c r="H566">
        <v>0</v>
      </c>
      <c r="I566">
        <f t="shared" si="14"/>
        <v>6.24</v>
      </c>
      <c r="J566">
        <v>168</v>
      </c>
      <c r="K566">
        <v>7</v>
      </c>
      <c r="L566" s="10">
        <v>57.5</v>
      </c>
      <c r="M566" s="2">
        <f t="shared" si="11"/>
        <v>458.62150000000003</v>
      </c>
      <c r="N566" s="2">
        <f t="shared" si="12"/>
        <v>218.10375000000002</v>
      </c>
      <c r="O566">
        <v>0</v>
      </c>
    </row>
    <row r="567" spans="1:15" x14ac:dyDescent="0.25">
      <c r="A567" s="15"/>
      <c r="B567" s="15"/>
      <c r="C567">
        <v>0</v>
      </c>
      <c r="D567" s="3">
        <v>480</v>
      </c>
      <c r="E567" s="3">
        <v>0</v>
      </c>
      <c r="F567">
        <v>925</v>
      </c>
      <c r="G567">
        <v>760</v>
      </c>
      <c r="H567">
        <v>0</v>
      </c>
      <c r="I567">
        <f t="shared" si="14"/>
        <v>6.24</v>
      </c>
      <c r="J567">
        <v>168</v>
      </c>
      <c r="K567">
        <v>28</v>
      </c>
      <c r="L567" s="10">
        <v>67.099999999999994</v>
      </c>
      <c r="M567" s="2">
        <f t="shared" si="11"/>
        <v>458.62150000000003</v>
      </c>
      <c r="N567" s="2">
        <f t="shared" si="12"/>
        <v>218.10375000000002</v>
      </c>
      <c r="O567">
        <v>0</v>
      </c>
    </row>
    <row r="568" spans="1:15" x14ac:dyDescent="0.25">
      <c r="A568" s="15"/>
      <c r="B568" s="15"/>
      <c r="C568">
        <v>0</v>
      </c>
      <c r="D568" s="3">
        <v>480</v>
      </c>
      <c r="E568" s="3">
        <v>0</v>
      </c>
      <c r="F568">
        <v>925</v>
      </c>
      <c r="G568">
        <v>760</v>
      </c>
      <c r="H568">
        <v>0</v>
      </c>
      <c r="I568">
        <f t="shared" si="14"/>
        <v>6.24</v>
      </c>
      <c r="J568">
        <v>168</v>
      </c>
      <c r="K568">
        <v>56</v>
      </c>
      <c r="L568" s="10">
        <v>70.5</v>
      </c>
      <c r="M568" s="2">
        <f t="shared" si="11"/>
        <v>458.62150000000003</v>
      </c>
      <c r="N568" s="2">
        <f t="shared" si="12"/>
        <v>218.10375000000002</v>
      </c>
      <c r="O568">
        <v>0</v>
      </c>
    </row>
    <row r="569" spans="1:15" x14ac:dyDescent="0.25">
      <c r="A569" s="15"/>
      <c r="B569" s="15"/>
      <c r="C569">
        <v>0</v>
      </c>
      <c r="D569" s="3">
        <v>480</v>
      </c>
      <c r="E569" s="3">
        <v>0</v>
      </c>
      <c r="F569">
        <v>925</v>
      </c>
      <c r="G569">
        <v>760</v>
      </c>
      <c r="H569">
        <v>0</v>
      </c>
      <c r="I569">
        <f t="shared" si="14"/>
        <v>6.24</v>
      </c>
      <c r="J569">
        <v>168</v>
      </c>
      <c r="K569">
        <v>90</v>
      </c>
      <c r="L569" s="10">
        <v>72</v>
      </c>
      <c r="M569" s="2">
        <f t="shared" si="11"/>
        <v>458.62150000000003</v>
      </c>
      <c r="N569" s="2">
        <f t="shared" si="12"/>
        <v>218.10375000000002</v>
      </c>
      <c r="O569">
        <v>0</v>
      </c>
    </row>
    <row r="570" spans="1:15" x14ac:dyDescent="0.25">
      <c r="A570" s="15"/>
      <c r="B570" s="15"/>
      <c r="C570">
        <v>10</v>
      </c>
      <c r="D570" s="3">
        <v>432</v>
      </c>
      <c r="E570" s="3">
        <v>48</v>
      </c>
      <c r="F570">
        <v>923</v>
      </c>
      <c r="G570">
        <v>760</v>
      </c>
      <c r="H570">
        <v>0</v>
      </c>
      <c r="I570">
        <f t="shared" si="14"/>
        <v>5.6160000000000005</v>
      </c>
      <c r="J570">
        <v>168</v>
      </c>
      <c r="K570">
        <v>1</v>
      </c>
      <c r="L570" s="10">
        <v>40</v>
      </c>
      <c r="M570" s="2">
        <f t="shared" si="11"/>
        <v>417.61610000000007</v>
      </c>
      <c r="N570" s="2">
        <f t="shared" si="12"/>
        <v>199.13025000000002</v>
      </c>
      <c r="O570">
        <v>0</v>
      </c>
    </row>
    <row r="571" spans="1:15" x14ac:dyDescent="0.25">
      <c r="A571" s="15"/>
      <c r="B571" s="15"/>
      <c r="C571">
        <v>10</v>
      </c>
      <c r="D571" s="3">
        <v>432</v>
      </c>
      <c r="E571" s="3">
        <v>48</v>
      </c>
      <c r="F571">
        <v>923</v>
      </c>
      <c r="G571">
        <v>760</v>
      </c>
      <c r="H571">
        <v>0</v>
      </c>
      <c r="I571">
        <f t="shared" si="14"/>
        <v>5.6160000000000005</v>
      </c>
      <c r="J571">
        <v>168</v>
      </c>
      <c r="K571">
        <v>3</v>
      </c>
      <c r="L571" s="10">
        <v>55</v>
      </c>
      <c r="M571" s="2">
        <f t="shared" si="11"/>
        <v>417.61610000000007</v>
      </c>
      <c r="N571" s="2">
        <f t="shared" si="12"/>
        <v>199.13025000000002</v>
      </c>
      <c r="O571">
        <v>0</v>
      </c>
    </row>
    <row r="572" spans="1:15" x14ac:dyDescent="0.25">
      <c r="A572" s="15"/>
      <c r="B572" s="15"/>
      <c r="C572">
        <v>10</v>
      </c>
      <c r="D572" s="3">
        <v>432</v>
      </c>
      <c r="E572" s="3">
        <v>48</v>
      </c>
      <c r="F572">
        <v>923</v>
      </c>
      <c r="G572">
        <v>760</v>
      </c>
      <c r="H572">
        <v>0</v>
      </c>
      <c r="I572">
        <f t="shared" si="14"/>
        <v>5.6160000000000005</v>
      </c>
      <c r="J572">
        <v>168</v>
      </c>
      <c r="K572">
        <v>7</v>
      </c>
      <c r="L572" s="10">
        <v>64</v>
      </c>
      <c r="M572" s="2">
        <f t="shared" ref="M572:M604" si="15">SUM((D572*0.83)+(E572*0.0023)+(F572*0.0139)+(G572*0.0459)+(I572*2))</f>
        <v>417.61610000000007</v>
      </c>
      <c r="N572" s="2">
        <f t="shared" si="12"/>
        <v>199.13025000000002</v>
      </c>
      <c r="O572">
        <v>0</v>
      </c>
    </row>
    <row r="573" spans="1:15" x14ac:dyDescent="0.25">
      <c r="A573" s="15"/>
      <c r="B573" s="15"/>
      <c r="C573">
        <v>10</v>
      </c>
      <c r="D573" s="3">
        <v>432</v>
      </c>
      <c r="E573" s="3">
        <v>48</v>
      </c>
      <c r="F573">
        <v>923</v>
      </c>
      <c r="G573">
        <v>760</v>
      </c>
      <c r="H573">
        <v>0</v>
      </c>
      <c r="I573">
        <f t="shared" si="14"/>
        <v>5.6160000000000005</v>
      </c>
      <c r="J573">
        <v>168</v>
      </c>
      <c r="K573">
        <v>28</v>
      </c>
      <c r="L573" s="10">
        <v>71</v>
      </c>
      <c r="M573" s="2">
        <f t="shared" si="15"/>
        <v>417.61610000000007</v>
      </c>
      <c r="N573" s="2">
        <f t="shared" si="12"/>
        <v>199.13025000000002</v>
      </c>
      <c r="O573">
        <v>0</v>
      </c>
    </row>
    <row r="574" spans="1:15" x14ac:dyDescent="0.25">
      <c r="A574" s="15"/>
      <c r="B574" s="15"/>
      <c r="C574">
        <v>10</v>
      </c>
      <c r="D574" s="3">
        <v>432</v>
      </c>
      <c r="E574" s="3">
        <v>48</v>
      </c>
      <c r="F574">
        <v>923</v>
      </c>
      <c r="G574">
        <v>760</v>
      </c>
      <c r="H574">
        <v>0</v>
      </c>
      <c r="I574">
        <f t="shared" si="14"/>
        <v>5.6160000000000005</v>
      </c>
      <c r="J574">
        <v>168</v>
      </c>
      <c r="K574">
        <v>56</v>
      </c>
      <c r="L574" s="10">
        <v>76</v>
      </c>
      <c r="M574" s="2">
        <f t="shared" si="15"/>
        <v>417.61610000000007</v>
      </c>
      <c r="N574" s="2">
        <f t="shared" si="12"/>
        <v>199.13025000000002</v>
      </c>
      <c r="O574">
        <v>0</v>
      </c>
    </row>
    <row r="575" spans="1:15" x14ac:dyDescent="0.25">
      <c r="A575" s="15"/>
      <c r="B575" s="15"/>
      <c r="C575">
        <v>10</v>
      </c>
      <c r="D575" s="3">
        <v>432</v>
      </c>
      <c r="E575" s="3">
        <v>48</v>
      </c>
      <c r="F575">
        <v>923</v>
      </c>
      <c r="G575">
        <v>760</v>
      </c>
      <c r="H575">
        <v>0</v>
      </c>
      <c r="I575">
        <f t="shared" si="14"/>
        <v>5.6160000000000005</v>
      </c>
      <c r="J575">
        <v>168</v>
      </c>
      <c r="K575">
        <v>90</v>
      </c>
      <c r="L575" s="10">
        <v>81.2</v>
      </c>
      <c r="M575" s="2">
        <f t="shared" si="15"/>
        <v>417.61610000000007</v>
      </c>
      <c r="N575" s="2">
        <f t="shared" si="12"/>
        <v>199.13025000000002</v>
      </c>
      <c r="O575">
        <v>0</v>
      </c>
    </row>
    <row r="576" spans="1:15" x14ac:dyDescent="0.25">
      <c r="A576" s="15"/>
      <c r="B576" s="15"/>
      <c r="C576">
        <v>20</v>
      </c>
      <c r="D576" s="3">
        <v>384</v>
      </c>
      <c r="E576" s="3">
        <v>96</v>
      </c>
      <c r="F576">
        <v>948</v>
      </c>
      <c r="G576">
        <v>770</v>
      </c>
      <c r="H576">
        <v>0</v>
      </c>
      <c r="I576">
        <f>SUM(1.3/100*D576)</f>
        <v>4.9920000000000009</v>
      </c>
      <c r="J576">
        <v>168</v>
      </c>
      <c r="K576">
        <v>1</v>
      </c>
      <c r="L576" s="10">
        <v>37.5</v>
      </c>
      <c r="M576" s="2">
        <f t="shared" si="15"/>
        <v>377.44499999999994</v>
      </c>
      <c r="N576" s="2">
        <f t="shared" si="12"/>
        <v>180.81300000000002</v>
      </c>
      <c r="O576">
        <v>0</v>
      </c>
    </row>
    <row r="577" spans="1:15" x14ac:dyDescent="0.25">
      <c r="A577" s="15"/>
      <c r="B577" s="15"/>
      <c r="C577">
        <v>20</v>
      </c>
      <c r="D577" s="3">
        <v>384</v>
      </c>
      <c r="E577" s="3">
        <v>96</v>
      </c>
      <c r="F577">
        <v>948</v>
      </c>
      <c r="G577">
        <v>770</v>
      </c>
      <c r="H577">
        <v>0</v>
      </c>
      <c r="I577">
        <f t="shared" si="14"/>
        <v>4.9920000000000009</v>
      </c>
      <c r="J577">
        <v>168</v>
      </c>
      <c r="K577">
        <v>3</v>
      </c>
      <c r="L577" s="10">
        <v>55.2</v>
      </c>
      <c r="M577" s="2">
        <f t="shared" si="15"/>
        <v>377.44499999999994</v>
      </c>
      <c r="N577" s="2">
        <f t="shared" si="12"/>
        <v>180.81300000000002</v>
      </c>
      <c r="O577">
        <v>0</v>
      </c>
    </row>
    <row r="578" spans="1:15" x14ac:dyDescent="0.25">
      <c r="A578" s="15"/>
      <c r="B578" s="15"/>
      <c r="C578">
        <v>20</v>
      </c>
      <c r="D578" s="3">
        <v>384</v>
      </c>
      <c r="E578" s="3">
        <v>96</v>
      </c>
      <c r="F578">
        <v>948</v>
      </c>
      <c r="G578">
        <v>770</v>
      </c>
      <c r="H578">
        <v>0</v>
      </c>
      <c r="I578">
        <f t="shared" si="14"/>
        <v>4.9920000000000009</v>
      </c>
      <c r="J578">
        <v>168</v>
      </c>
      <c r="K578">
        <v>7</v>
      </c>
      <c r="L578" s="10">
        <v>62.8</v>
      </c>
      <c r="M578" s="2">
        <f t="shared" si="15"/>
        <v>377.44499999999994</v>
      </c>
      <c r="N578" s="2">
        <f t="shared" si="12"/>
        <v>180.81300000000002</v>
      </c>
      <c r="O578">
        <v>0</v>
      </c>
    </row>
    <row r="579" spans="1:15" x14ac:dyDescent="0.25">
      <c r="A579" s="15"/>
      <c r="B579" s="15"/>
      <c r="C579">
        <v>20</v>
      </c>
      <c r="D579" s="3">
        <v>384</v>
      </c>
      <c r="E579" s="3">
        <v>96</v>
      </c>
      <c r="F579">
        <v>948</v>
      </c>
      <c r="G579">
        <v>770</v>
      </c>
      <c r="H579">
        <v>0</v>
      </c>
      <c r="I579">
        <f t="shared" si="14"/>
        <v>4.9920000000000009</v>
      </c>
      <c r="J579">
        <v>168</v>
      </c>
      <c r="K579">
        <v>28</v>
      </c>
      <c r="L579" s="10">
        <v>74</v>
      </c>
      <c r="M579" s="2">
        <f t="shared" si="15"/>
        <v>377.44499999999994</v>
      </c>
      <c r="N579" s="2">
        <f t="shared" ref="N579:N642" si="16">SUM((D579*5)+((F579*0.25)+(G579*0.2)+(I579*20)))*0.075</f>
        <v>180.81300000000002</v>
      </c>
      <c r="O579">
        <v>0</v>
      </c>
    </row>
    <row r="580" spans="1:15" x14ac:dyDescent="0.25">
      <c r="A580" s="15"/>
      <c r="B580" s="15"/>
      <c r="C580">
        <v>20</v>
      </c>
      <c r="D580" s="3">
        <v>384</v>
      </c>
      <c r="E580" s="3">
        <v>96</v>
      </c>
      <c r="F580">
        <v>948</v>
      </c>
      <c r="G580">
        <v>770</v>
      </c>
      <c r="H580">
        <v>0</v>
      </c>
      <c r="I580">
        <f t="shared" si="14"/>
        <v>4.9920000000000009</v>
      </c>
      <c r="J580">
        <v>168</v>
      </c>
      <c r="K580">
        <v>56</v>
      </c>
      <c r="L580" s="10">
        <v>87</v>
      </c>
      <c r="M580" s="2">
        <f t="shared" si="15"/>
        <v>377.44499999999994</v>
      </c>
      <c r="N580" s="2">
        <f t="shared" si="16"/>
        <v>180.81300000000002</v>
      </c>
      <c r="O580">
        <v>0</v>
      </c>
    </row>
    <row r="581" spans="1:15" x14ac:dyDescent="0.25">
      <c r="A581" s="15"/>
      <c r="B581" s="15"/>
      <c r="C581">
        <v>20</v>
      </c>
      <c r="D581" s="3">
        <v>384</v>
      </c>
      <c r="E581" s="3">
        <v>96</v>
      </c>
      <c r="F581">
        <v>948</v>
      </c>
      <c r="G581">
        <v>770</v>
      </c>
      <c r="H581">
        <v>0</v>
      </c>
      <c r="I581">
        <f t="shared" si="14"/>
        <v>4.9920000000000009</v>
      </c>
      <c r="J581">
        <v>168</v>
      </c>
      <c r="K581">
        <v>90</v>
      </c>
      <c r="L581" s="10">
        <v>87.5</v>
      </c>
      <c r="M581" s="2">
        <f t="shared" si="15"/>
        <v>377.44499999999994</v>
      </c>
      <c r="N581" s="2">
        <f t="shared" si="16"/>
        <v>180.81300000000002</v>
      </c>
      <c r="O581">
        <v>0</v>
      </c>
    </row>
    <row r="582" spans="1:15" x14ac:dyDescent="0.25">
      <c r="A582" s="15"/>
      <c r="B582" s="15"/>
      <c r="C582">
        <v>30</v>
      </c>
      <c r="D582" s="3">
        <v>336</v>
      </c>
      <c r="E582" s="3">
        <v>144</v>
      </c>
      <c r="F582">
        <v>944</v>
      </c>
      <c r="G582">
        <v>770</v>
      </c>
      <c r="H582">
        <v>0</v>
      </c>
      <c r="I582">
        <f t="shared" si="14"/>
        <v>4.3680000000000003</v>
      </c>
      <c r="J582">
        <v>168</v>
      </c>
      <c r="K582">
        <v>1</v>
      </c>
      <c r="L582" s="10">
        <v>34</v>
      </c>
      <c r="M582" s="2">
        <f t="shared" si="15"/>
        <v>336.41180000000003</v>
      </c>
      <c r="N582" s="2">
        <f t="shared" si="16"/>
        <v>161.80199999999999</v>
      </c>
      <c r="O582">
        <v>0</v>
      </c>
    </row>
    <row r="583" spans="1:15" x14ac:dyDescent="0.25">
      <c r="A583" s="15"/>
      <c r="B583" s="15"/>
      <c r="C583">
        <v>30</v>
      </c>
      <c r="D583" s="3">
        <v>336</v>
      </c>
      <c r="E583" s="3">
        <v>144</v>
      </c>
      <c r="F583">
        <v>944</v>
      </c>
      <c r="G583">
        <v>770</v>
      </c>
      <c r="H583">
        <v>0</v>
      </c>
      <c r="I583">
        <f t="shared" si="14"/>
        <v>4.3680000000000003</v>
      </c>
      <c r="J583">
        <v>168</v>
      </c>
      <c r="K583">
        <v>3</v>
      </c>
      <c r="L583" s="10">
        <v>49</v>
      </c>
      <c r="M583" s="2">
        <f t="shared" si="15"/>
        <v>336.41180000000003</v>
      </c>
      <c r="N583" s="2">
        <f t="shared" si="16"/>
        <v>161.80199999999999</v>
      </c>
      <c r="O583">
        <v>0</v>
      </c>
    </row>
    <row r="584" spans="1:15" x14ac:dyDescent="0.25">
      <c r="A584" s="15"/>
      <c r="B584" s="15"/>
      <c r="C584">
        <v>30</v>
      </c>
      <c r="D584" s="3">
        <v>336</v>
      </c>
      <c r="E584" s="3">
        <v>144</v>
      </c>
      <c r="F584">
        <v>944</v>
      </c>
      <c r="G584">
        <v>770</v>
      </c>
      <c r="H584">
        <v>0</v>
      </c>
      <c r="I584">
        <f t="shared" si="14"/>
        <v>4.3680000000000003</v>
      </c>
      <c r="J584">
        <v>168</v>
      </c>
      <c r="K584">
        <v>7</v>
      </c>
      <c r="L584" s="10">
        <v>64</v>
      </c>
      <c r="M584" s="2">
        <f t="shared" si="15"/>
        <v>336.41180000000003</v>
      </c>
      <c r="N584" s="2">
        <f t="shared" si="16"/>
        <v>161.80199999999999</v>
      </c>
      <c r="O584">
        <v>0</v>
      </c>
    </row>
    <row r="585" spans="1:15" x14ac:dyDescent="0.25">
      <c r="A585" s="15"/>
      <c r="B585" s="15"/>
      <c r="C585">
        <v>30</v>
      </c>
      <c r="D585" s="3">
        <v>336</v>
      </c>
      <c r="E585" s="3">
        <v>144</v>
      </c>
      <c r="F585">
        <v>944</v>
      </c>
      <c r="G585">
        <v>770</v>
      </c>
      <c r="H585">
        <v>0</v>
      </c>
      <c r="I585">
        <f t="shared" si="14"/>
        <v>4.3680000000000003</v>
      </c>
      <c r="J585">
        <v>168</v>
      </c>
      <c r="K585">
        <v>28</v>
      </c>
      <c r="L585" s="10">
        <v>70.7</v>
      </c>
      <c r="M585" s="2">
        <f t="shared" si="15"/>
        <v>336.41180000000003</v>
      </c>
      <c r="N585" s="2">
        <f t="shared" si="16"/>
        <v>161.80199999999999</v>
      </c>
      <c r="O585">
        <v>0</v>
      </c>
    </row>
    <row r="586" spans="1:15" x14ac:dyDescent="0.25">
      <c r="A586" s="15"/>
      <c r="B586" s="15"/>
      <c r="C586">
        <v>30</v>
      </c>
      <c r="D586" s="3">
        <v>336</v>
      </c>
      <c r="E586" s="3">
        <v>144</v>
      </c>
      <c r="F586">
        <v>944</v>
      </c>
      <c r="G586">
        <v>770</v>
      </c>
      <c r="H586">
        <v>0</v>
      </c>
      <c r="I586">
        <f t="shared" si="14"/>
        <v>4.3680000000000003</v>
      </c>
      <c r="J586">
        <v>168</v>
      </c>
      <c r="K586">
        <v>56</v>
      </c>
      <c r="L586" s="10">
        <v>85</v>
      </c>
      <c r="M586" s="2">
        <f t="shared" si="15"/>
        <v>336.41180000000003</v>
      </c>
      <c r="N586" s="2">
        <f t="shared" si="16"/>
        <v>161.80199999999999</v>
      </c>
      <c r="O586">
        <v>0</v>
      </c>
    </row>
    <row r="587" spans="1:15" x14ac:dyDescent="0.25">
      <c r="A587" s="15"/>
      <c r="B587" s="15"/>
      <c r="C587">
        <v>30</v>
      </c>
      <c r="D587" s="3">
        <v>336</v>
      </c>
      <c r="E587" s="3">
        <v>144</v>
      </c>
      <c r="F587">
        <v>944</v>
      </c>
      <c r="G587">
        <v>770</v>
      </c>
      <c r="H587">
        <v>0</v>
      </c>
      <c r="I587">
        <f t="shared" si="14"/>
        <v>4.3680000000000003</v>
      </c>
      <c r="J587">
        <v>168</v>
      </c>
      <c r="K587">
        <v>90</v>
      </c>
      <c r="L587" s="10">
        <v>87</v>
      </c>
      <c r="M587" s="2">
        <f t="shared" si="15"/>
        <v>336.41180000000003</v>
      </c>
      <c r="N587" s="2">
        <f t="shared" si="16"/>
        <v>161.80199999999999</v>
      </c>
      <c r="O587">
        <v>0</v>
      </c>
    </row>
    <row r="588" spans="1:15" x14ac:dyDescent="0.25">
      <c r="A588" s="15"/>
      <c r="B588" s="15"/>
      <c r="C588">
        <v>50</v>
      </c>
      <c r="D588" s="3">
        <v>240</v>
      </c>
      <c r="E588" s="3">
        <v>240</v>
      </c>
      <c r="F588">
        <v>925</v>
      </c>
      <c r="G588">
        <v>758.2</v>
      </c>
      <c r="H588">
        <v>0</v>
      </c>
      <c r="I588">
        <f t="shared" si="14"/>
        <v>3.12</v>
      </c>
      <c r="J588">
        <v>168</v>
      </c>
      <c r="K588">
        <v>1</v>
      </c>
      <c r="L588" s="10">
        <v>29</v>
      </c>
      <c r="M588" s="2">
        <f t="shared" si="15"/>
        <v>253.65087999999997</v>
      </c>
      <c r="N588" s="2">
        <f t="shared" si="16"/>
        <v>123.39675</v>
      </c>
      <c r="O588">
        <v>0</v>
      </c>
    </row>
    <row r="589" spans="1:15" x14ac:dyDescent="0.25">
      <c r="A589" s="15"/>
      <c r="B589" s="15"/>
      <c r="C589">
        <v>50</v>
      </c>
      <c r="D589" s="3">
        <v>240</v>
      </c>
      <c r="E589" s="3">
        <v>240</v>
      </c>
      <c r="F589">
        <v>925</v>
      </c>
      <c r="G589">
        <v>758.2</v>
      </c>
      <c r="H589">
        <v>0</v>
      </c>
      <c r="I589">
        <f t="shared" si="14"/>
        <v>3.12</v>
      </c>
      <c r="J589">
        <v>168</v>
      </c>
      <c r="K589">
        <v>3</v>
      </c>
      <c r="L589" s="10">
        <v>42</v>
      </c>
      <c r="M589" s="2">
        <f t="shared" si="15"/>
        <v>253.65087999999997</v>
      </c>
      <c r="N589" s="2">
        <f t="shared" si="16"/>
        <v>123.39675</v>
      </c>
      <c r="O589">
        <v>0</v>
      </c>
    </row>
    <row r="590" spans="1:15" x14ac:dyDescent="0.25">
      <c r="A590" s="15"/>
      <c r="B590" s="15"/>
      <c r="C590">
        <v>50</v>
      </c>
      <c r="D590" s="3">
        <v>240</v>
      </c>
      <c r="E590" s="3">
        <v>240</v>
      </c>
      <c r="F590">
        <v>925</v>
      </c>
      <c r="G590">
        <v>758.2</v>
      </c>
      <c r="H590">
        <v>0</v>
      </c>
      <c r="I590">
        <f t="shared" si="14"/>
        <v>3.12</v>
      </c>
      <c r="J590">
        <v>168</v>
      </c>
      <c r="K590">
        <v>7</v>
      </c>
      <c r="L590" s="10">
        <v>53</v>
      </c>
      <c r="M590" s="2">
        <f t="shared" si="15"/>
        <v>253.65087999999997</v>
      </c>
      <c r="N590" s="2">
        <f t="shared" si="16"/>
        <v>123.39675</v>
      </c>
      <c r="O590">
        <v>0</v>
      </c>
    </row>
    <row r="591" spans="1:15" x14ac:dyDescent="0.25">
      <c r="A591" s="15"/>
      <c r="B591" s="15"/>
      <c r="C591">
        <v>50</v>
      </c>
      <c r="D591" s="3">
        <v>240</v>
      </c>
      <c r="E591" s="3">
        <v>240</v>
      </c>
      <c r="F591">
        <v>925</v>
      </c>
      <c r="G591">
        <v>758.2</v>
      </c>
      <c r="H591">
        <v>0</v>
      </c>
      <c r="I591">
        <f t="shared" si="14"/>
        <v>3.12</v>
      </c>
      <c r="J591">
        <v>168</v>
      </c>
      <c r="K591">
        <v>28</v>
      </c>
      <c r="L591" s="10">
        <v>67</v>
      </c>
      <c r="M591" s="2">
        <f t="shared" si="15"/>
        <v>253.65087999999997</v>
      </c>
      <c r="N591" s="2">
        <f t="shared" si="16"/>
        <v>123.39675</v>
      </c>
      <c r="O591">
        <v>0</v>
      </c>
    </row>
    <row r="592" spans="1:15" x14ac:dyDescent="0.25">
      <c r="A592" s="15"/>
      <c r="B592" s="15"/>
      <c r="C592">
        <v>50</v>
      </c>
      <c r="D592" s="3">
        <v>240</v>
      </c>
      <c r="E592" s="3">
        <v>240</v>
      </c>
      <c r="F592">
        <v>925</v>
      </c>
      <c r="G592">
        <v>758.2</v>
      </c>
      <c r="H592">
        <v>0</v>
      </c>
      <c r="I592">
        <f t="shared" si="14"/>
        <v>3.12</v>
      </c>
      <c r="J592">
        <v>168</v>
      </c>
      <c r="K592">
        <v>56</v>
      </c>
      <c r="L592" s="10">
        <v>76</v>
      </c>
      <c r="M592" s="2">
        <f t="shared" si="15"/>
        <v>253.65087999999997</v>
      </c>
      <c r="N592" s="2">
        <f t="shared" si="16"/>
        <v>123.39675</v>
      </c>
      <c r="O592">
        <v>0</v>
      </c>
    </row>
    <row r="593" spans="1:15" x14ac:dyDescent="0.25">
      <c r="A593" s="15"/>
      <c r="B593" s="15"/>
      <c r="C593">
        <v>50</v>
      </c>
      <c r="D593" s="3">
        <v>240</v>
      </c>
      <c r="E593" s="3">
        <v>240</v>
      </c>
      <c r="F593">
        <v>925</v>
      </c>
      <c r="G593">
        <v>758.2</v>
      </c>
      <c r="H593">
        <v>0</v>
      </c>
      <c r="I593">
        <f t="shared" si="14"/>
        <v>3.12</v>
      </c>
      <c r="J593">
        <v>168</v>
      </c>
      <c r="K593">
        <v>90</v>
      </c>
      <c r="L593" s="10">
        <v>79</v>
      </c>
      <c r="M593" s="2">
        <f t="shared" si="15"/>
        <v>253.65087999999997</v>
      </c>
      <c r="N593" s="2">
        <f t="shared" si="16"/>
        <v>123.39675</v>
      </c>
      <c r="O593">
        <v>0</v>
      </c>
    </row>
    <row r="594" spans="1:15" x14ac:dyDescent="0.25">
      <c r="A594" s="15"/>
      <c r="B594" s="15"/>
      <c r="C594">
        <v>60</v>
      </c>
      <c r="D594" s="3">
        <v>192</v>
      </c>
      <c r="E594" s="3">
        <v>288</v>
      </c>
      <c r="F594">
        <v>925</v>
      </c>
      <c r="G594">
        <v>758.2</v>
      </c>
      <c r="H594">
        <v>0</v>
      </c>
      <c r="I594">
        <f t="shared" si="14"/>
        <v>2.4960000000000004</v>
      </c>
      <c r="J594">
        <v>168</v>
      </c>
      <c r="K594">
        <v>1</v>
      </c>
      <c r="L594" s="10">
        <v>18</v>
      </c>
      <c r="M594" s="2">
        <f t="shared" si="15"/>
        <v>212.67327999999995</v>
      </c>
      <c r="N594" s="2">
        <f t="shared" si="16"/>
        <v>104.46074999999999</v>
      </c>
      <c r="O594">
        <v>0</v>
      </c>
    </row>
    <row r="595" spans="1:15" x14ac:dyDescent="0.25">
      <c r="A595" s="15"/>
      <c r="B595" s="15"/>
      <c r="C595">
        <v>60</v>
      </c>
      <c r="D595" s="3">
        <v>192</v>
      </c>
      <c r="E595" s="3">
        <v>288</v>
      </c>
      <c r="F595">
        <v>925</v>
      </c>
      <c r="G595">
        <v>758.2</v>
      </c>
      <c r="H595">
        <v>0</v>
      </c>
      <c r="I595">
        <f t="shared" si="14"/>
        <v>2.4960000000000004</v>
      </c>
      <c r="J595">
        <v>168</v>
      </c>
      <c r="K595">
        <v>3</v>
      </c>
      <c r="L595" s="10">
        <v>31</v>
      </c>
      <c r="M595" s="2">
        <f t="shared" si="15"/>
        <v>212.67327999999995</v>
      </c>
      <c r="N595" s="2">
        <f t="shared" si="16"/>
        <v>104.46074999999999</v>
      </c>
      <c r="O595">
        <v>0</v>
      </c>
    </row>
    <row r="596" spans="1:15" x14ac:dyDescent="0.25">
      <c r="A596" s="15"/>
      <c r="B596" s="15"/>
      <c r="C596">
        <v>60</v>
      </c>
      <c r="D596" s="3">
        <v>192</v>
      </c>
      <c r="E596" s="3">
        <v>288</v>
      </c>
      <c r="F596">
        <v>925</v>
      </c>
      <c r="G596">
        <v>758.2</v>
      </c>
      <c r="H596">
        <v>0</v>
      </c>
      <c r="I596">
        <f t="shared" si="14"/>
        <v>2.4960000000000004</v>
      </c>
      <c r="J596">
        <v>168</v>
      </c>
      <c r="K596">
        <v>7</v>
      </c>
      <c r="L596" s="10">
        <v>52</v>
      </c>
      <c r="M596" s="2">
        <f t="shared" si="15"/>
        <v>212.67327999999995</v>
      </c>
      <c r="N596" s="2">
        <f t="shared" si="16"/>
        <v>104.46074999999999</v>
      </c>
      <c r="O596">
        <v>0</v>
      </c>
    </row>
    <row r="597" spans="1:15" x14ac:dyDescent="0.25">
      <c r="A597" s="15"/>
      <c r="B597" s="15"/>
      <c r="C597">
        <v>60</v>
      </c>
      <c r="D597" s="3">
        <v>192</v>
      </c>
      <c r="E597" s="3">
        <v>288</v>
      </c>
      <c r="F597">
        <v>925</v>
      </c>
      <c r="G597">
        <v>758.2</v>
      </c>
      <c r="H597">
        <v>0</v>
      </c>
      <c r="I597">
        <f t="shared" si="14"/>
        <v>2.4960000000000004</v>
      </c>
      <c r="J597">
        <v>168</v>
      </c>
      <c r="K597">
        <v>28</v>
      </c>
      <c r="L597" s="10">
        <v>68.5</v>
      </c>
      <c r="M597" s="2">
        <f t="shared" si="15"/>
        <v>212.67327999999995</v>
      </c>
      <c r="N597" s="2">
        <f t="shared" si="16"/>
        <v>104.46074999999999</v>
      </c>
      <c r="O597">
        <v>0</v>
      </c>
    </row>
    <row r="598" spans="1:15" x14ac:dyDescent="0.25">
      <c r="A598" s="15"/>
      <c r="B598" s="15"/>
      <c r="C598">
        <v>60</v>
      </c>
      <c r="D598" s="3">
        <v>192</v>
      </c>
      <c r="E598" s="3">
        <v>288</v>
      </c>
      <c r="F598">
        <v>925</v>
      </c>
      <c r="G598">
        <v>758.2</v>
      </c>
      <c r="H598">
        <v>0</v>
      </c>
      <c r="I598">
        <f t="shared" si="14"/>
        <v>2.4960000000000004</v>
      </c>
      <c r="J598">
        <v>168</v>
      </c>
      <c r="K598">
        <v>56</v>
      </c>
      <c r="L598" s="10">
        <v>75.7</v>
      </c>
      <c r="M598" s="2">
        <f t="shared" si="15"/>
        <v>212.67327999999995</v>
      </c>
      <c r="N598" s="2">
        <f t="shared" si="16"/>
        <v>104.46074999999999</v>
      </c>
      <c r="O598">
        <v>0</v>
      </c>
    </row>
    <row r="599" spans="1:15" x14ac:dyDescent="0.25">
      <c r="A599" s="15"/>
      <c r="B599" s="15"/>
      <c r="C599">
        <v>60</v>
      </c>
      <c r="D599" s="3">
        <v>192</v>
      </c>
      <c r="E599" s="3">
        <v>288</v>
      </c>
      <c r="F599">
        <v>925</v>
      </c>
      <c r="G599">
        <v>758.2</v>
      </c>
      <c r="H599">
        <v>0</v>
      </c>
      <c r="I599">
        <f t="shared" si="14"/>
        <v>2.4960000000000004</v>
      </c>
      <c r="J599">
        <v>168</v>
      </c>
      <c r="K599">
        <v>90</v>
      </c>
      <c r="L599" s="10">
        <v>77.599999999999994</v>
      </c>
      <c r="M599" s="2">
        <f t="shared" si="15"/>
        <v>212.67327999999995</v>
      </c>
      <c r="N599" s="2">
        <f t="shared" si="16"/>
        <v>104.46074999999999</v>
      </c>
      <c r="O599">
        <v>0</v>
      </c>
    </row>
    <row r="600" spans="1:15" x14ac:dyDescent="0.25">
      <c r="A600" s="15"/>
      <c r="B600" s="15"/>
      <c r="C600">
        <v>70</v>
      </c>
      <c r="D600" s="3">
        <v>144</v>
      </c>
      <c r="E600" s="3">
        <v>336</v>
      </c>
      <c r="F600">
        <v>925</v>
      </c>
      <c r="G600">
        <v>758.2</v>
      </c>
      <c r="H600">
        <v>0</v>
      </c>
      <c r="I600">
        <f t="shared" si="14"/>
        <v>1.8720000000000001</v>
      </c>
      <c r="J600">
        <v>168</v>
      </c>
      <c r="K600">
        <v>1</v>
      </c>
      <c r="L600" s="10">
        <v>14.5</v>
      </c>
      <c r="M600" s="2">
        <f t="shared" si="15"/>
        <v>171.69567999999998</v>
      </c>
      <c r="N600" s="2">
        <f t="shared" si="16"/>
        <v>85.524749999999997</v>
      </c>
      <c r="O600">
        <v>0</v>
      </c>
    </row>
    <row r="601" spans="1:15" x14ac:dyDescent="0.25">
      <c r="A601" s="15"/>
      <c r="B601" s="15"/>
      <c r="C601">
        <v>70</v>
      </c>
      <c r="D601" s="3">
        <v>144</v>
      </c>
      <c r="E601" s="3">
        <v>336</v>
      </c>
      <c r="F601">
        <v>925</v>
      </c>
      <c r="G601">
        <v>758.2</v>
      </c>
      <c r="H601">
        <v>0</v>
      </c>
      <c r="I601">
        <f t="shared" si="14"/>
        <v>1.8720000000000001</v>
      </c>
      <c r="J601">
        <v>168</v>
      </c>
      <c r="K601">
        <v>3</v>
      </c>
      <c r="L601" s="10">
        <v>27.5</v>
      </c>
      <c r="M601" s="2">
        <f t="shared" si="15"/>
        <v>171.69567999999998</v>
      </c>
      <c r="N601" s="2">
        <f t="shared" si="16"/>
        <v>85.524749999999997</v>
      </c>
      <c r="O601">
        <v>0</v>
      </c>
    </row>
    <row r="602" spans="1:15" x14ac:dyDescent="0.25">
      <c r="A602" s="15"/>
      <c r="B602" s="15"/>
      <c r="C602">
        <v>70</v>
      </c>
      <c r="D602" s="3">
        <v>144</v>
      </c>
      <c r="E602" s="3">
        <v>336</v>
      </c>
      <c r="F602">
        <v>925</v>
      </c>
      <c r="G602">
        <v>758.2</v>
      </c>
      <c r="H602">
        <v>0</v>
      </c>
      <c r="I602">
        <f t="shared" si="14"/>
        <v>1.8720000000000001</v>
      </c>
      <c r="J602">
        <v>168</v>
      </c>
      <c r="K602">
        <v>7</v>
      </c>
      <c r="L602" s="10">
        <v>49</v>
      </c>
      <c r="M602" s="2">
        <f t="shared" si="15"/>
        <v>171.69567999999998</v>
      </c>
      <c r="N602" s="2">
        <f t="shared" si="16"/>
        <v>85.524749999999997</v>
      </c>
      <c r="O602">
        <v>0</v>
      </c>
    </row>
    <row r="603" spans="1:15" x14ac:dyDescent="0.25">
      <c r="A603" s="15"/>
      <c r="B603" s="15"/>
      <c r="C603">
        <v>70</v>
      </c>
      <c r="D603" s="3">
        <v>144</v>
      </c>
      <c r="E603" s="3">
        <v>336</v>
      </c>
      <c r="F603">
        <v>925</v>
      </c>
      <c r="G603">
        <v>758.2</v>
      </c>
      <c r="H603">
        <v>0</v>
      </c>
      <c r="I603">
        <f t="shared" si="14"/>
        <v>1.8720000000000001</v>
      </c>
      <c r="J603">
        <v>168</v>
      </c>
      <c r="K603">
        <v>28</v>
      </c>
      <c r="L603" s="10">
        <v>66.5</v>
      </c>
      <c r="M603" s="2">
        <f t="shared" si="15"/>
        <v>171.69567999999998</v>
      </c>
      <c r="N603" s="2">
        <f t="shared" si="16"/>
        <v>85.524749999999997</v>
      </c>
      <c r="O603">
        <v>0</v>
      </c>
    </row>
    <row r="604" spans="1:15" x14ac:dyDescent="0.25">
      <c r="A604" s="15"/>
      <c r="B604" s="15"/>
      <c r="C604">
        <v>70</v>
      </c>
      <c r="D604" s="3">
        <v>144</v>
      </c>
      <c r="E604" s="3">
        <v>336</v>
      </c>
      <c r="F604">
        <v>925</v>
      </c>
      <c r="G604">
        <v>758.2</v>
      </c>
      <c r="H604">
        <v>0</v>
      </c>
      <c r="I604">
        <f t="shared" si="14"/>
        <v>1.8720000000000001</v>
      </c>
      <c r="J604">
        <v>168</v>
      </c>
      <c r="K604">
        <v>56</v>
      </c>
      <c r="L604" s="10">
        <v>73.900000000000006</v>
      </c>
      <c r="M604" s="2">
        <f t="shared" si="15"/>
        <v>171.69567999999998</v>
      </c>
      <c r="N604" s="2">
        <f t="shared" si="16"/>
        <v>85.524749999999997</v>
      </c>
      <c r="O604">
        <v>0</v>
      </c>
    </row>
    <row r="605" spans="1:15" x14ac:dyDescent="0.25">
      <c r="A605" s="15"/>
      <c r="B605" s="15"/>
      <c r="C605">
        <v>70</v>
      </c>
      <c r="D605" s="3">
        <v>144</v>
      </c>
      <c r="E605" s="3">
        <v>336</v>
      </c>
      <c r="F605">
        <v>925</v>
      </c>
      <c r="G605">
        <v>758.2</v>
      </c>
      <c r="H605">
        <v>0</v>
      </c>
      <c r="I605">
        <f t="shared" si="14"/>
        <v>1.8720000000000001</v>
      </c>
      <c r="J605">
        <v>168</v>
      </c>
      <c r="K605">
        <v>90</v>
      </c>
      <c r="L605" s="10">
        <v>75.5</v>
      </c>
      <c r="M605" s="2">
        <f>SUM((D605*0.83)+(E605*0.0023)+(F605*0.0139)+(G606*0.0459)+(I605*2))</f>
        <v>179.8108</v>
      </c>
      <c r="N605" s="2">
        <f t="shared" si="16"/>
        <v>85.524749999999997</v>
      </c>
      <c r="O605">
        <v>0</v>
      </c>
    </row>
    <row r="606" spans="1:15" x14ac:dyDescent="0.25">
      <c r="A606" s="15" t="s">
        <v>326</v>
      </c>
      <c r="B606" s="15" t="s">
        <v>327</v>
      </c>
      <c r="C606">
        <v>0</v>
      </c>
      <c r="D606" s="3">
        <v>480</v>
      </c>
      <c r="E606" s="3">
        <v>0</v>
      </c>
      <c r="F606">
        <v>765</v>
      </c>
      <c r="G606">
        <v>935</v>
      </c>
      <c r="H606">
        <v>0</v>
      </c>
      <c r="I606">
        <v>0</v>
      </c>
      <c r="J606">
        <v>190</v>
      </c>
      <c r="K606">
        <v>28</v>
      </c>
      <c r="L606" s="10">
        <v>48.3</v>
      </c>
      <c r="M606" s="2">
        <f t="shared" ref="M606:M669" si="17">SUM((D606*0.83)+(E606*0.0023)+(F606*0.0139)+(G607*0.0459)+(I606*2))</f>
        <v>451.95</v>
      </c>
      <c r="N606" s="2">
        <f t="shared" si="16"/>
        <v>208.36875000000001</v>
      </c>
      <c r="O606">
        <v>0</v>
      </c>
    </row>
    <row r="607" spans="1:15" x14ac:dyDescent="0.25">
      <c r="A607" s="15"/>
      <c r="B607" s="15"/>
      <c r="C607">
        <v>0</v>
      </c>
      <c r="D607" s="3">
        <v>480</v>
      </c>
      <c r="E607" s="3">
        <v>0</v>
      </c>
      <c r="F607">
        <v>765</v>
      </c>
      <c r="G607">
        <v>935</v>
      </c>
      <c r="H607">
        <v>0</v>
      </c>
      <c r="I607">
        <v>0</v>
      </c>
      <c r="J607">
        <v>190</v>
      </c>
      <c r="K607">
        <v>548</v>
      </c>
      <c r="L607" s="10">
        <v>49.1</v>
      </c>
      <c r="M607" s="2">
        <f t="shared" si="17"/>
        <v>451.95</v>
      </c>
      <c r="N607" s="2">
        <f t="shared" si="16"/>
        <v>208.36875000000001</v>
      </c>
      <c r="O607">
        <v>0</v>
      </c>
    </row>
    <row r="608" spans="1:15" x14ac:dyDescent="0.25">
      <c r="A608" s="15"/>
      <c r="B608" s="15"/>
      <c r="C608">
        <v>0</v>
      </c>
      <c r="D608" s="3">
        <v>480</v>
      </c>
      <c r="E608" s="3">
        <v>0</v>
      </c>
      <c r="F608">
        <v>765</v>
      </c>
      <c r="G608">
        <v>935</v>
      </c>
      <c r="H608">
        <v>0</v>
      </c>
      <c r="I608">
        <v>0</v>
      </c>
      <c r="J608">
        <v>190</v>
      </c>
      <c r="K608">
        <v>1095</v>
      </c>
      <c r="L608" s="10">
        <v>49.5</v>
      </c>
      <c r="M608" s="2">
        <f t="shared" si="17"/>
        <v>451.95</v>
      </c>
      <c r="N608" s="2">
        <f t="shared" si="16"/>
        <v>208.36875000000001</v>
      </c>
      <c r="O608">
        <v>0</v>
      </c>
    </row>
    <row r="609" spans="1:15" x14ac:dyDescent="0.25">
      <c r="A609" s="15"/>
      <c r="B609" s="15"/>
      <c r="C609">
        <v>0</v>
      </c>
      <c r="D609" s="3">
        <v>480</v>
      </c>
      <c r="E609" s="3">
        <v>0</v>
      </c>
      <c r="F609">
        <v>765</v>
      </c>
      <c r="G609">
        <v>935</v>
      </c>
      <c r="H609">
        <v>0</v>
      </c>
      <c r="I609">
        <v>0</v>
      </c>
      <c r="J609">
        <v>190</v>
      </c>
      <c r="K609">
        <v>2555</v>
      </c>
      <c r="L609" s="10">
        <v>46.8</v>
      </c>
      <c r="M609" s="2">
        <f t="shared" si="17"/>
        <v>450.80250000000001</v>
      </c>
      <c r="N609" s="2">
        <f t="shared" si="16"/>
        <v>208.36875000000001</v>
      </c>
      <c r="O609">
        <v>0</v>
      </c>
    </row>
    <row r="610" spans="1:15" x14ac:dyDescent="0.25">
      <c r="A610" s="15"/>
      <c r="B610" s="15"/>
      <c r="C610">
        <v>15</v>
      </c>
      <c r="D610" s="3">
        <v>405</v>
      </c>
      <c r="E610" s="3">
        <v>70</v>
      </c>
      <c r="F610">
        <v>765</v>
      </c>
      <c r="G610">
        <v>910</v>
      </c>
      <c r="H610">
        <v>0</v>
      </c>
      <c r="I610">
        <v>0</v>
      </c>
      <c r="J610">
        <v>190</v>
      </c>
      <c r="K610">
        <v>28</v>
      </c>
      <c r="L610" s="10">
        <v>51.7</v>
      </c>
      <c r="M610" s="2">
        <f t="shared" si="17"/>
        <v>388.71350000000001</v>
      </c>
      <c r="N610" s="2">
        <f t="shared" si="16"/>
        <v>179.86875000000001</v>
      </c>
      <c r="O610">
        <v>0</v>
      </c>
    </row>
    <row r="611" spans="1:15" x14ac:dyDescent="0.25">
      <c r="A611" s="15"/>
      <c r="B611" s="15"/>
      <c r="C611">
        <v>15</v>
      </c>
      <c r="D611" s="3">
        <v>405</v>
      </c>
      <c r="E611" s="3">
        <v>70</v>
      </c>
      <c r="F611">
        <v>765</v>
      </c>
      <c r="G611">
        <v>910</v>
      </c>
      <c r="H611">
        <v>0</v>
      </c>
      <c r="I611">
        <v>0</v>
      </c>
      <c r="J611">
        <v>190</v>
      </c>
      <c r="K611">
        <v>548</v>
      </c>
      <c r="L611" s="10">
        <v>55.6</v>
      </c>
      <c r="M611" s="2">
        <f t="shared" si="17"/>
        <v>388.71350000000001</v>
      </c>
      <c r="N611" s="2">
        <f t="shared" si="16"/>
        <v>179.86875000000001</v>
      </c>
      <c r="O611">
        <v>0</v>
      </c>
    </row>
    <row r="612" spans="1:15" x14ac:dyDescent="0.25">
      <c r="A612" s="15"/>
      <c r="B612" s="15"/>
      <c r="C612">
        <v>15</v>
      </c>
      <c r="D612" s="3">
        <v>405</v>
      </c>
      <c r="E612" s="3">
        <v>70</v>
      </c>
      <c r="F612">
        <v>765</v>
      </c>
      <c r="G612">
        <v>910</v>
      </c>
      <c r="H612">
        <v>0</v>
      </c>
      <c r="I612">
        <v>0</v>
      </c>
      <c r="J612">
        <v>190</v>
      </c>
      <c r="K612">
        <v>1095</v>
      </c>
      <c r="L612" s="10">
        <v>57.2</v>
      </c>
      <c r="M612" s="2">
        <f t="shared" si="17"/>
        <v>388.71350000000001</v>
      </c>
      <c r="N612" s="2">
        <f t="shared" si="16"/>
        <v>179.86875000000001</v>
      </c>
      <c r="O612">
        <v>0</v>
      </c>
    </row>
    <row r="613" spans="1:15" x14ac:dyDescent="0.25">
      <c r="A613" s="15"/>
      <c r="B613" s="15"/>
      <c r="C613">
        <v>15</v>
      </c>
      <c r="D613" s="3">
        <v>405</v>
      </c>
      <c r="E613" s="3">
        <v>70</v>
      </c>
      <c r="F613">
        <v>765</v>
      </c>
      <c r="G613">
        <v>910</v>
      </c>
      <c r="H613">
        <v>0</v>
      </c>
      <c r="I613">
        <v>0</v>
      </c>
      <c r="J613">
        <v>190</v>
      </c>
      <c r="K613">
        <v>2555</v>
      </c>
      <c r="L613" s="10">
        <v>54.3</v>
      </c>
      <c r="M613" s="2">
        <f t="shared" si="17"/>
        <v>388.02499999999998</v>
      </c>
      <c r="N613" s="2">
        <f t="shared" si="16"/>
        <v>179.86875000000001</v>
      </c>
      <c r="O613">
        <v>0</v>
      </c>
    </row>
    <row r="614" spans="1:15" x14ac:dyDescent="0.25">
      <c r="A614" s="15"/>
      <c r="B614" s="15"/>
      <c r="C614">
        <v>25</v>
      </c>
      <c r="D614" s="3">
        <v>360</v>
      </c>
      <c r="E614" s="3">
        <v>120</v>
      </c>
      <c r="F614">
        <v>765</v>
      </c>
      <c r="G614">
        <v>895</v>
      </c>
      <c r="H614">
        <v>0</v>
      </c>
      <c r="I614">
        <v>0</v>
      </c>
      <c r="J614">
        <v>190</v>
      </c>
      <c r="K614">
        <v>28</v>
      </c>
      <c r="L614" s="10">
        <v>48</v>
      </c>
      <c r="M614" s="2">
        <f t="shared" si="17"/>
        <v>350.79000000000008</v>
      </c>
      <c r="N614" s="2">
        <f t="shared" si="16"/>
        <v>162.76874999999998</v>
      </c>
      <c r="O614">
        <v>0</v>
      </c>
    </row>
    <row r="615" spans="1:15" x14ac:dyDescent="0.25">
      <c r="A615" s="15"/>
      <c r="B615" s="15"/>
      <c r="C615">
        <v>25</v>
      </c>
      <c r="D615" s="3">
        <v>360</v>
      </c>
      <c r="E615" s="3">
        <v>120</v>
      </c>
      <c r="F615">
        <v>765</v>
      </c>
      <c r="G615">
        <v>895</v>
      </c>
      <c r="H615">
        <v>0</v>
      </c>
      <c r="I615">
        <v>0</v>
      </c>
      <c r="J615">
        <v>190</v>
      </c>
      <c r="K615">
        <v>548</v>
      </c>
      <c r="L615" s="10">
        <v>49.4</v>
      </c>
      <c r="M615" s="2">
        <f t="shared" si="17"/>
        <v>350.79000000000008</v>
      </c>
      <c r="N615" s="2">
        <f t="shared" si="16"/>
        <v>162.76874999999998</v>
      </c>
      <c r="O615">
        <v>0</v>
      </c>
    </row>
    <row r="616" spans="1:15" x14ac:dyDescent="0.25">
      <c r="A616" s="15"/>
      <c r="B616" s="15"/>
      <c r="C616">
        <v>25</v>
      </c>
      <c r="D616" s="3">
        <v>360</v>
      </c>
      <c r="E616" s="3">
        <v>120</v>
      </c>
      <c r="F616">
        <v>765</v>
      </c>
      <c r="G616">
        <v>895</v>
      </c>
      <c r="H616">
        <v>0</v>
      </c>
      <c r="I616">
        <v>0</v>
      </c>
      <c r="J616">
        <v>190</v>
      </c>
      <c r="K616">
        <v>1095</v>
      </c>
      <c r="L616" s="10">
        <v>51</v>
      </c>
      <c r="M616" s="2">
        <f t="shared" si="17"/>
        <v>350.79000000000008</v>
      </c>
      <c r="N616" s="2">
        <f t="shared" si="16"/>
        <v>162.76874999999998</v>
      </c>
      <c r="O616">
        <v>0</v>
      </c>
    </row>
    <row r="617" spans="1:15" x14ac:dyDescent="0.25">
      <c r="A617" s="15"/>
      <c r="B617" s="15"/>
      <c r="C617">
        <v>25</v>
      </c>
      <c r="D617" s="3">
        <v>360</v>
      </c>
      <c r="E617" s="3">
        <v>120</v>
      </c>
      <c r="F617">
        <v>765</v>
      </c>
      <c r="G617">
        <v>895</v>
      </c>
      <c r="H617">
        <v>0</v>
      </c>
      <c r="I617">
        <v>0</v>
      </c>
      <c r="J617">
        <v>190</v>
      </c>
      <c r="K617">
        <v>2555</v>
      </c>
      <c r="L617" s="10">
        <v>52.3</v>
      </c>
      <c r="M617" s="2">
        <f t="shared" si="17"/>
        <v>349.87200000000007</v>
      </c>
      <c r="N617" s="2">
        <f t="shared" si="16"/>
        <v>162.76874999999998</v>
      </c>
      <c r="O617">
        <v>0</v>
      </c>
    </row>
    <row r="618" spans="1:15" x14ac:dyDescent="0.25">
      <c r="A618" s="15"/>
      <c r="B618" s="15"/>
      <c r="C618">
        <v>35</v>
      </c>
      <c r="D618" s="3">
        <v>310</v>
      </c>
      <c r="E618" s="3">
        <v>167</v>
      </c>
      <c r="F618">
        <v>765</v>
      </c>
      <c r="G618">
        <v>875</v>
      </c>
      <c r="H618">
        <v>0</v>
      </c>
      <c r="I618">
        <v>0</v>
      </c>
      <c r="J618">
        <v>190</v>
      </c>
      <c r="K618">
        <v>28</v>
      </c>
      <c r="L618" s="10">
        <v>49.5</v>
      </c>
      <c r="M618" s="2">
        <f t="shared" si="17"/>
        <v>308.48010000000005</v>
      </c>
      <c r="N618" s="2">
        <f t="shared" si="16"/>
        <v>143.71875</v>
      </c>
      <c r="O618">
        <v>0</v>
      </c>
    </row>
    <row r="619" spans="1:15" x14ac:dyDescent="0.25">
      <c r="A619" s="15"/>
      <c r="B619" s="15"/>
      <c r="C619">
        <v>35</v>
      </c>
      <c r="D619" s="3">
        <v>310</v>
      </c>
      <c r="E619" s="3">
        <v>167</v>
      </c>
      <c r="F619">
        <v>765</v>
      </c>
      <c r="G619">
        <v>875</v>
      </c>
      <c r="H619">
        <v>0</v>
      </c>
      <c r="I619">
        <v>0</v>
      </c>
      <c r="J619">
        <v>190</v>
      </c>
      <c r="K619">
        <v>548</v>
      </c>
      <c r="L619" s="10">
        <v>50.9</v>
      </c>
      <c r="M619" s="2">
        <f t="shared" si="17"/>
        <v>308.48010000000005</v>
      </c>
      <c r="N619" s="2">
        <f t="shared" si="16"/>
        <v>143.71875</v>
      </c>
      <c r="O619">
        <v>0</v>
      </c>
    </row>
    <row r="620" spans="1:15" x14ac:dyDescent="0.25">
      <c r="A620" s="15"/>
      <c r="B620" s="15"/>
      <c r="C620">
        <v>35</v>
      </c>
      <c r="D620" s="3">
        <v>310</v>
      </c>
      <c r="E620" s="3">
        <v>167</v>
      </c>
      <c r="F620">
        <v>765</v>
      </c>
      <c r="G620">
        <v>875</v>
      </c>
      <c r="H620">
        <v>0</v>
      </c>
      <c r="I620">
        <v>0</v>
      </c>
      <c r="J620">
        <v>190</v>
      </c>
      <c r="K620">
        <v>1095</v>
      </c>
      <c r="L620" s="10">
        <v>50.6</v>
      </c>
      <c r="M620" s="2">
        <f t="shared" si="17"/>
        <v>308.48010000000005</v>
      </c>
      <c r="N620" s="2">
        <f t="shared" si="16"/>
        <v>143.71875</v>
      </c>
      <c r="O620">
        <v>0</v>
      </c>
    </row>
    <row r="621" spans="1:15" x14ac:dyDescent="0.25">
      <c r="A621" s="15"/>
      <c r="B621" s="15"/>
      <c r="C621">
        <v>35</v>
      </c>
      <c r="D621" s="3">
        <v>310</v>
      </c>
      <c r="E621" s="3">
        <v>167</v>
      </c>
      <c r="F621">
        <v>765</v>
      </c>
      <c r="G621">
        <v>875</v>
      </c>
      <c r="H621">
        <v>0</v>
      </c>
      <c r="I621">
        <v>0</v>
      </c>
      <c r="J621">
        <v>190</v>
      </c>
      <c r="K621">
        <v>2555</v>
      </c>
      <c r="L621" s="10">
        <v>50.5</v>
      </c>
      <c r="M621" s="2">
        <f t="shared" si="17"/>
        <v>307.33260000000001</v>
      </c>
      <c r="N621" s="2">
        <f t="shared" si="16"/>
        <v>143.71875</v>
      </c>
      <c r="O621">
        <v>0</v>
      </c>
    </row>
    <row r="622" spans="1:15" x14ac:dyDescent="0.25">
      <c r="A622" s="15"/>
      <c r="B622" s="15"/>
      <c r="C622">
        <v>50</v>
      </c>
      <c r="D622" s="3">
        <v>240</v>
      </c>
      <c r="E622" s="3">
        <v>240</v>
      </c>
      <c r="F622">
        <v>765</v>
      </c>
      <c r="G622">
        <v>850</v>
      </c>
      <c r="H622">
        <v>0</v>
      </c>
      <c r="I622">
        <v>0</v>
      </c>
      <c r="J622">
        <v>190</v>
      </c>
      <c r="K622">
        <v>28</v>
      </c>
      <c r="L622" s="10">
        <v>44.6</v>
      </c>
      <c r="M622" s="2">
        <f t="shared" si="17"/>
        <v>249.40049999999997</v>
      </c>
      <c r="N622" s="2">
        <f t="shared" si="16"/>
        <v>117.09375</v>
      </c>
      <c r="O622">
        <v>0</v>
      </c>
    </row>
    <row r="623" spans="1:15" x14ac:dyDescent="0.25">
      <c r="A623" s="15"/>
      <c r="B623" s="15"/>
      <c r="C623">
        <v>50</v>
      </c>
      <c r="D623" s="3">
        <v>240</v>
      </c>
      <c r="E623" s="3">
        <v>240</v>
      </c>
      <c r="F623">
        <v>765</v>
      </c>
      <c r="G623">
        <v>850</v>
      </c>
      <c r="H623">
        <v>0</v>
      </c>
      <c r="I623">
        <v>0</v>
      </c>
      <c r="J623">
        <v>190</v>
      </c>
      <c r="K623">
        <v>548</v>
      </c>
      <c r="L623" s="10">
        <v>46.1</v>
      </c>
      <c r="M623" s="2">
        <f t="shared" si="17"/>
        <v>249.40049999999997</v>
      </c>
      <c r="N623" s="2">
        <f t="shared" si="16"/>
        <v>117.09375</v>
      </c>
      <c r="O623">
        <v>0</v>
      </c>
    </row>
    <row r="624" spans="1:15" x14ac:dyDescent="0.25">
      <c r="A624" s="15"/>
      <c r="B624" s="15"/>
      <c r="C624">
        <v>50</v>
      </c>
      <c r="D624" s="3">
        <v>240</v>
      </c>
      <c r="E624" s="3">
        <v>240</v>
      </c>
      <c r="F624">
        <v>765</v>
      </c>
      <c r="G624">
        <v>850</v>
      </c>
      <c r="H624">
        <v>0</v>
      </c>
      <c r="I624">
        <v>0</v>
      </c>
      <c r="J624">
        <v>190</v>
      </c>
      <c r="K624">
        <v>1095</v>
      </c>
      <c r="L624" s="10">
        <v>46.6</v>
      </c>
      <c r="M624" s="2">
        <f t="shared" si="17"/>
        <v>249.40049999999997</v>
      </c>
      <c r="N624" s="2">
        <f t="shared" si="16"/>
        <v>117.09375</v>
      </c>
      <c r="O624">
        <v>0</v>
      </c>
    </row>
    <row r="625" spans="1:15" x14ac:dyDescent="0.25">
      <c r="A625" s="15"/>
      <c r="B625" s="15"/>
      <c r="C625">
        <v>50</v>
      </c>
      <c r="D625" s="3">
        <v>240</v>
      </c>
      <c r="E625" s="3">
        <v>240</v>
      </c>
      <c r="F625">
        <v>765</v>
      </c>
      <c r="G625">
        <v>850</v>
      </c>
      <c r="H625">
        <v>0</v>
      </c>
      <c r="I625">
        <v>0</v>
      </c>
      <c r="J625">
        <v>190</v>
      </c>
      <c r="K625">
        <v>2555</v>
      </c>
      <c r="L625" s="10">
        <v>45</v>
      </c>
      <c r="M625" s="2">
        <f t="shared" si="17"/>
        <v>255.36749999999998</v>
      </c>
      <c r="N625" s="2">
        <f t="shared" si="16"/>
        <v>117.09375</v>
      </c>
      <c r="O625">
        <v>0</v>
      </c>
    </row>
    <row r="626" spans="1:15" x14ac:dyDescent="0.25">
      <c r="A626" s="15"/>
      <c r="B626" s="15"/>
      <c r="C626">
        <v>0</v>
      </c>
      <c r="D626" s="3">
        <v>425</v>
      </c>
      <c r="E626" s="3">
        <v>0</v>
      </c>
      <c r="F626">
        <v>765</v>
      </c>
      <c r="G626">
        <v>980</v>
      </c>
      <c r="H626">
        <v>0</v>
      </c>
      <c r="I626">
        <v>0</v>
      </c>
      <c r="J626">
        <v>190</v>
      </c>
      <c r="K626">
        <v>28</v>
      </c>
      <c r="L626" s="10">
        <v>46.4</v>
      </c>
      <c r="M626" s="2">
        <f t="shared" si="17"/>
        <v>408.36550000000005</v>
      </c>
      <c r="N626" s="2">
        <f t="shared" si="16"/>
        <v>188.41874999999999</v>
      </c>
      <c r="O626">
        <v>0</v>
      </c>
    </row>
    <row r="627" spans="1:15" x14ac:dyDescent="0.25">
      <c r="A627" s="15"/>
      <c r="B627" s="15"/>
      <c r="C627">
        <v>0</v>
      </c>
      <c r="D627" s="3">
        <v>425</v>
      </c>
      <c r="E627" s="3">
        <v>0</v>
      </c>
      <c r="F627">
        <v>765</v>
      </c>
      <c r="G627">
        <v>980</v>
      </c>
      <c r="H627">
        <v>0</v>
      </c>
      <c r="I627">
        <v>0</v>
      </c>
      <c r="J627">
        <v>190</v>
      </c>
      <c r="K627">
        <v>548</v>
      </c>
      <c r="L627" s="10">
        <v>47.5</v>
      </c>
      <c r="M627" s="2">
        <f t="shared" si="17"/>
        <v>408.36550000000005</v>
      </c>
      <c r="N627" s="2">
        <f t="shared" si="16"/>
        <v>188.41874999999999</v>
      </c>
      <c r="O627">
        <v>0</v>
      </c>
    </row>
    <row r="628" spans="1:15" x14ac:dyDescent="0.25">
      <c r="A628" s="15"/>
      <c r="B628" s="15"/>
      <c r="C628">
        <v>0</v>
      </c>
      <c r="D628" s="3">
        <v>425</v>
      </c>
      <c r="E628" s="3">
        <v>0</v>
      </c>
      <c r="F628">
        <v>765</v>
      </c>
      <c r="G628">
        <v>980</v>
      </c>
      <c r="H628">
        <v>0</v>
      </c>
      <c r="I628">
        <v>0</v>
      </c>
      <c r="J628">
        <v>190</v>
      </c>
      <c r="K628">
        <v>1095</v>
      </c>
      <c r="L628" s="10">
        <v>48.8</v>
      </c>
      <c r="M628" s="2">
        <f t="shared" si="17"/>
        <v>408.36550000000005</v>
      </c>
      <c r="N628" s="2">
        <f t="shared" si="16"/>
        <v>188.41874999999999</v>
      </c>
      <c r="O628">
        <v>0</v>
      </c>
    </row>
    <row r="629" spans="1:15" x14ac:dyDescent="0.25">
      <c r="A629" s="15"/>
      <c r="B629" s="15"/>
      <c r="C629">
        <v>0</v>
      </c>
      <c r="D629" s="3">
        <v>425</v>
      </c>
      <c r="E629" s="3">
        <v>0</v>
      </c>
      <c r="F629">
        <v>765</v>
      </c>
      <c r="G629">
        <v>980</v>
      </c>
      <c r="H629">
        <v>0</v>
      </c>
      <c r="I629">
        <v>0</v>
      </c>
      <c r="J629">
        <v>190</v>
      </c>
      <c r="K629">
        <v>2555</v>
      </c>
      <c r="L629" s="10">
        <v>44</v>
      </c>
      <c r="M629" s="2">
        <f t="shared" si="17"/>
        <v>407.21800000000002</v>
      </c>
      <c r="N629" s="2">
        <f t="shared" si="16"/>
        <v>188.41874999999999</v>
      </c>
      <c r="O629">
        <v>0</v>
      </c>
    </row>
    <row r="630" spans="1:15" x14ac:dyDescent="0.25">
      <c r="A630" s="15"/>
      <c r="B630" s="15"/>
      <c r="C630">
        <v>15</v>
      </c>
      <c r="D630" s="3">
        <v>360</v>
      </c>
      <c r="E630" s="3">
        <v>65</v>
      </c>
      <c r="F630">
        <v>765</v>
      </c>
      <c r="G630">
        <v>955</v>
      </c>
      <c r="H630">
        <v>0</v>
      </c>
      <c r="I630">
        <v>0</v>
      </c>
      <c r="J630">
        <v>190</v>
      </c>
      <c r="K630">
        <v>28</v>
      </c>
      <c r="L630" s="10">
        <v>48.4</v>
      </c>
      <c r="M630" s="2">
        <f t="shared" si="17"/>
        <v>353.41750000000002</v>
      </c>
      <c r="N630" s="2">
        <f t="shared" si="16"/>
        <v>163.66874999999999</v>
      </c>
      <c r="O630">
        <v>0</v>
      </c>
    </row>
    <row r="631" spans="1:15" x14ac:dyDescent="0.25">
      <c r="A631" s="15"/>
      <c r="B631" s="15"/>
      <c r="C631">
        <v>15</v>
      </c>
      <c r="D631" s="3">
        <v>360</v>
      </c>
      <c r="E631" s="3">
        <v>65</v>
      </c>
      <c r="F631">
        <v>765</v>
      </c>
      <c r="G631">
        <v>955</v>
      </c>
      <c r="H631">
        <v>0</v>
      </c>
      <c r="I631">
        <v>0</v>
      </c>
      <c r="J631">
        <v>190</v>
      </c>
      <c r="K631">
        <v>548</v>
      </c>
      <c r="L631" s="10">
        <v>49.7</v>
      </c>
      <c r="M631" s="2">
        <f t="shared" si="17"/>
        <v>353.41750000000002</v>
      </c>
      <c r="N631" s="2">
        <f t="shared" si="16"/>
        <v>163.66874999999999</v>
      </c>
      <c r="O631">
        <v>0</v>
      </c>
    </row>
    <row r="632" spans="1:15" x14ac:dyDescent="0.25">
      <c r="A632" s="15"/>
      <c r="B632" s="15"/>
      <c r="C632">
        <v>15</v>
      </c>
      <c r="D632" s="3">
        <v>360</v>
      </c>
      <c r="E632" s="3">
        <v>65</v>
      </c>
      <c r="F632">
        <v>765</v>
      </c>
      <c r="G632">
        <v>955</v>
      </c>
      <c r="H632">
        <v>0</v>
      </c>
      <c r="I632">
        <v>0</v>
      </c>
      <c r="J632">
        <v>190</v>
      </c>
      <c r="K632">
        <v>1095</v>
      </c>
      <c r="L632" s="10">
        <v>51.9</v>
      </c>
      <c r="M632" s="2">
        <f t="shared" si="17"/>
        <v>353.41750000000002</v>
      </c>
      <c r="N632" s="2">
        <f t="shared" si="16"/>
        <v>163.66874999999999</v>
      </c>
      <c r="O632">
        <v>0</v>
      </c>
    </row>
    <row r="633" spans="1:15" x14ac:dyDescent="0.25">
      <c r="A633" s="15"/>
      <c r="B633" s="15"/>
      <c r="C633">
        <v>15</v>
      </c>
      <c r="D633" s="3">
        <v>360</v>
      </c>
      <c r="E633" s="3">
        <v>65</v>
      </c>
      <c r="F633">
        <v>765</v>
      </c>
      <c r="G633">
        <v>955</v>
      </c>
      <c r="H633">
        <v>0</v>
      </c>
      <c r="I633">
        <v>0</v>
      </c>
      <c r="J633">
        <v>190</v>
      </c>
      <c r="K633">
        <v>2555</v>
      </c>
      <c r="L633" s="10">
        <v>50.3</v>
      </c>
      <c r="M633" s="2">
        <f t="shared" si="17"/>
        <v>352.72900000000004</v>
      </c>
      <c r="N633" s="2">
        <f t="shared" si="16"/>
        <v>163.66874999999999</v>
      </c>
      <c r="O633">
        <v>0</v>
      </c>
    </row>
    <row r="634" spans="1:15" x14ac:dyDescent="0.25">
      <c r="A634" s="15"/>
      <c r="B634" s="15"/>
      <c r="C634">
        <v>25</v>
      </c>
      <c r="D634" s="3">
        <v>320</v>
      </c>
      <c r="E634" s="3">
        <v>105</v>
      </c>
      <c r="F634">
        <v>765</v>
      </c>
      <c r="G634">
        <v>940</v>
      </c>
      <c r="H634">
        <v>0</v>
      </c>
      <c r="I634">
        <v>0</v>
      </c>
      <c r="J634">
        <v>190</v>
      </c>
      <c r="K634">
        <v>28</v>
      </c>
      <c r="L634" s="10">
        <v>41.2</v>
      </c>
      <c r="M634" s="2">
        <f t="shared" si="17"/>
        <v>319.62099999999998</v>
      </c>
      <c r="N634" s="2">
        <f t="shared" si="16"/>
        <v>148.44374999999999</v>
      </c>
      <c r="O634">
        <v>0</v>
      </c>
    </row>
    <row r="635" spans="1:15" x14ac:dyDescent="0.25">
      <c r="A635" s="15"/>
      <c r="B635" s="15"/>
      <c r="C635">
        <v>25</v>
      </c>
      <c r="D635" s="3">
        <v>320</v>
      </c>
      <c r="E635" s="3">
        <v>105</v>
      </c>
      <c r="F635">
        <v>765</v>
      </c>
      <c r="G635">
        <v>940</v>
      </c>
      <c r="H635">
        <v>0</v>
      </c>
      <c r="I635">
        <v>0</v>
      </c>
      <c r="J635">
        <v>190</v>
      </c>
      <c r="K635">
        <v>548</v>
      </c>
      <c r="L635" s="10">
        <v>44.3</v>
      </c>
      <c r="M635" s="2">
        <f t="shared" si="17"/>
        <v>319.62099999999998</v>
      </c>
      <c r="N635" s="2">
        <f t="shared" si="16"/>
        <v>148.44374999999999</v>
      </c>
      <c r="O635">
        <v>0</v>
      </c>
    </row>
    <row r="636" spans="1:15" x14ac:dyDescent="0.25">
      <c r="A636" s="15"/>
      <c r="B636" s="15"/>
      <c r="C636">
        <v>25</v>
      </c>
      <c r="D636" s="3">
        <v>320</v>
      </c>
      <c r="E636" s="3">
        <v>105</v>
      </c>
      <c r="F636">
        <v>765</v>
      </c>
      <c r="G636">
        <v>940</v>
      </c>
      <c r="H636">
        <v>0</v>
      </c>
      <c r="I636">
        <v>0</v>
      </c>
      <c r="J636">
        <v>190</v>
      </c>
      <c r="K636">
        <v>1095</v>
      </c>
      <c r="L636" s="10">
        <v>45.2</v>
      </c>
      <c r="M636" s="2">
        <f t="shared" si="17"/>
        <v>319.62099999999998</v>
      </c>
      <c r="N636" s="2">
        <f t="shared" si="16"/>
        <v>148.44374999999999</v>
      </c>
      <c r="O636">
        <v>0</v>
      </c>
    </row>
    <row r="637" spans="1:15" x14ac:dyDescent="0.25">
      <c r="A637" s="15"/>
      <c r="B637" s="15"/>
      <c r="C637">
        <v>25</v>
      </c>
      <c r="D637" s="3">
        <v>320</v>
      </c>
      <c r="E637" s="3">
        <v>105</v>
      </c>
      <c r="F637">
        <v>765</v>
      </c>
      <c r="G637">
        <v>940</v>
      </c>
      <c r="H637">
        <v>0</v>
      </c>
      <c r="I637">
        <v>0</v>
      </c>
      <c r="J637">
        <v>190</v>
      </c>
      <c r="K637">
        <v>2555</v>
      </c>
      <c r="L637" s="10">
        <v>43.7</v>
      </c>
      <c r="M637" s="2">
        <f t="shared" si="17"/>
        <v>318.93249999999995</v>
      </c>
      <c r="N637" s="2">
        <f t="shared" si="16"/>
        <v>148.44374999999999</v>
      </c>
      <c r="O637">
        <v>0</v>
      </c>
    </row>
    <row r="638" spans="1:15" x14ac:dyDescent="0.25">
      <c r="A638" s="15"/>
      <c r="B638" s="15"/>
      <c r="C638">
        <v>35</v>
      </c>
      <c r="D638" s="3">
        <v>275</v>
      </c>
      <c r="E638" s="3">
        <v>150</v>
      </c>
      <c r="F638">
        <v>765</v>
      </c>
      <c r="G638">
        <v>925</v>
      </c>
      <c r="H638">
        <v>0</v>
      </c>
      <c r="I638">
        <v>0</v>
      </c>
      <c r="J638">
        <v>190</v>
      </c>
      <c r="K638">
        <v>28</v>
      </c>
      <c r="L638" s="10">
        <v>40.299999999999997</v>
      </c>
      <c r="M638" s="2">
        <f t="shared" si="17"/>
        <v>281.68599999999998</v>
      </c>
      <c r="N638" s="2">
        <f t="shared" si="16"/>
        <v>131.34375</v>
      </c>
      <c r="O638">
        <v>0</v>
      </c>
    </row>
    <row r="639" spans="1:15" x14ac:dyDescent="0.25">
      <c r="A639" s="15"/>
      <c r="B639" s="15"/>
      <c r="C639">
        <v>35</v>
      </c>
      <c r="D639" s="3">
        <v>275</v>
      </c>
      <c r="E639" s="3">
        <v>150</v>
      </c>
      <c r="F639">
        <v>765</v>
      </c>
      <c r="G639">
        <v>925</v>
      </c>
      <c r="H639">
        <v>0</v>
      </c>
      <c r="I639">
        <v>0</v>
      </c>
      <c r="J639">
        <v>190</v>
      </c>
      <c r="K639">
        <v>548</v>
      </c>
      <c r="L639" s="10">
        <v>41.9</v>
      </c>
      <c r="M639" s="2">
        <f t="shared" si="17"/>
        <v>281.68599999999998</v>
      </c>
      <c r="N639" s="2">
        <f t="shared" si="16"/>
        <v>131.34375</v>
      </c>
      <c r="O639">
        <v>0</v>
      </c>
    </row>
    <row r="640" spans="1:15" x14ac:dyDescent="0.25">
      <c r="A640" s="15"/>
      <c r="B640" s="15"/>
      <c r="C640">
        <v>35</v>
      </c>
      <c r="D640" s="3">
        <v>275</v>
      </c>
      <c r="E640" s="3">
        <v>150</v>
      </c>
      <c r="F640">
        <v>765</v>
      </c>
      <c r="G640">
        <v>925</v>
      </c>
      <c r="H640">
        <v>0</v>
      </c>
      <c r="I640">
        <v>0</v>
      </c>
      <c r="J640">
        <v>190</v>
      </c>
      <c r="K640">
        <v>1095</v>
      </c>
      <c r="L640" s="10">
        <v>42.1</v>
      </c>
      <c r="M640" s="2">
        <f t="shared" si="17"/>
        <v>281.68599999999998</v>
      </c>
      <c r="N640" s="2">
        <f t="shared" si="16"/>
        <v>131.34375</v>
      </c>
      <c r="O640">
        <v>0</v>
      </c>
    </row>
    <row r="641" spans="1:15" x14ac:dyDescent="0.25">
      <c r="A641" s="15"/>
      <c r="B641" s="15"/>
      <c r="C641">
        <v>35</v>
      </c>
      <c r="D641" s="3">
        <v>275</v>
      </c>
      <c r="E641" s="3">
        <v>150</v>
      </c>
      <c r="F641">
        <v>765</v>
      </c>
      <c r="G641">
        <v>925</v>
      </c>
      <c r="H641">
        <v>0</v>
      </c>
      <c r="I641">
        <v>0</v>
      </c>
      <c r="J641">
        <v>190</v>
      </c>
      <c r="K641">
        <v>2555</v>
      </c>
      <c r="L641" s="10">
        <v>41.1</v>
      </c>
      <c r="M641" s="2">
        <f t="shared" si="17"/>
        <v>280.76800000000003</v>
      </c>
      <c r="N641" s="2">
        <f t="shared" si="16"/>
        <v>131.34375</v>
      </c>
      <c r="O641">
        <v>0</v>
      </c>
    </row>
    <row r="642" spans="1:15" x14ac:dyDescent="0.25">
      <c r="A642" s="15"/>
      <c r="B642" s="15"/>
      <c r="C642">
        <v>50</v>
      </c>
      <c r="D642" s="3">
        <v>210</v>
      </c>
      <c r="E642" s="3">
        <v>210</v>
      </c>
      <c r="F642">
        <v>765</v>
      </c>
      <c r="G642">
        <v>905</v>
      </c>
      <c r="H642">
        <v>0</v>
      </c>
      <c r="I642">
        <v>0</v>
      </c>
      <c r="J642">
        <v>190</v>
      </c>
      <c r="K642">
        <v>28</v>
      </c>
      <c r="L642" s="10">
        <v>38.4</v>
      </c>
      <c r="M642" s="2">
        <f t="shared" si="17"/>
        <v>226.95599999999999</v>
      </c>
      <c r="N642" s="2">
        <f t="shared" si="16"/>
        <v>106.66875</v>
      </c>
      <c r="O642">
        <v>0</v>
      </c>
    </row>
    <row r="643" spans="1:15" x14ac:dyDescent="0.25">
      <c r="A643" s="15"/>
      <c r="B643" s="15"/>
      <c r="C643">
        <v>50</v>
      </c>
      <c r="D643" s="3">
        <v>210</v>
      </c>
      <c r="E643" s="3">
        <v>210</v>
      </c>
      <c r="F643">
        <v>765</v>
      </c>
      <c r="G643">
        <v>905</v>
      </c>
      <c r="H643">
        <v>0</v>
      </c>
      <c r="I643">
        <v>0</v>
      </c>
      <c r="J643">
        <v>190</v>
      </c>
      <c r="K643">
        <v>548</v>
      </c>
      <c r="L643" s="10">
        <v>42.3</v>
      </c>
      <c r="M643" s="2">
        <f t="shared" si="17"/>
        <v>226.95599999999999</v>
      </c>
      <c r="N643" s="2">
        <f t="shared" ref="N643:N706" si="18">SUM((D643*5)+((F643*0.25)+(G643*0.2)+(I643*20)))*0.075</f>
        <v>106.66875</v>
      </c>
      <c r="O643">
        <v>0</v>
      </c>
    </row>
    <row r="644" spans="1:15" x14ac:dyDescent="0.25">
      <c r="A644" s="15"/>
      <c r="B644" s="15"/>
      <c r="C644">
        <v>50</v>
      </c>
      <c r="D644" s="3">
        <v>210</v>
      </c>
      <c r="E644" s="3">
        <v>210</v>
      </c>
      <c r="F644">
        <v>765</v>
      </c>
      <c r="G644">
        <v>905</v>
      </c>
      <c r="H644">
        <v>0</v>
      </c>
      <c r="I644">
        <v>0</v>
      </c>
      <c r="J644">
        <v>190</v>
      </c>
      <c r="K644">
        <v>1095</v>
      </c>
      <c r="L644" s="10">
        <v>42.2</v>
      </c>
      <c r="M644" s="2">
        <f t="shared" si="17"/>
        <v>226.95599999999999</v>
      </c>
      <c r="N644" s="2">
        <f t="shared" si="18"/>
        <v>106.66875</v>
      </c>
      <c r="O644">
        <v>0</v>
      </c>
    </row>
    <row r="645" spans="1:15" x14ac:dyDescent="0.25">
      <c r="A645" s="15"/>
      <c r="B645" s="15"/>
      <c r="C645">
        <v>50</v>
      </c>
      <c r="D645" s="3">
        <v>210</v>
      </c>
      <c r="E645" s="3">
        <v>210</v>
      </c>
      <c r="F645">
        <v>765</v>
      </c>
      <c r="G645">
        <v>905</v>
      </c>
      <c r="H645">
        <v>0</v>
      </c>
      <c r="I645">
        <v>0</v>
      </c>
      <c r="J645">
        <v>190</v>
      </c>
      <c r="K645">
        <v>2555</v>
      </c>
      <c r="L645" s="10">
        <v>38</v>
      </c>
      <c r="M645" s="2">
        <f t="shared" si="17"/>
        <v>231.77549999999999</v>
      </c>
      <c r="N645" s="2">
        <f t="shared" si="18"/>
        <v>106.66875</v>
      </c>
      <c r="O645">
        <v>0</v>
      </c>
    </row>
    <row r="646" spans="1:15" x14ac:dyDescent="0.25">
      <c r="A646" s="15"/>
      <c r="B646" s="15"/>
      <c r="C646">
        <v>0</v>
      </c>
      <c r="D646" s="3">
        <v>385</v>
      </c>
      <c r="E646" s="3">
        <v>0</v>
      </c>
      <c r="F646">
        <v>765</v>
      </c>
      <c r="G646">
        <v>1010</v>
      </c>
      <c r="H646">
        <v>0</v>
      </c>
      <c r="I646">
        <v>0</v>
      </c>
      <c r="J646">
        <v>190</v>
      </c>
      <c r="K646">
        <v>28</v>
      </c>
      <c r="L646" s="10">
        <v>39.4</v>
      </c>
      <c r="M646" s="2">
        <f t="shared" si="17"/>
        <v>376.54250000000002</v>
      </c>
      <c r="N646" s="2">
        <f t="shared" si="18"/>
        <v>173.86875000000001</v>
      </c>
      <c r="O646">
        <v>0</v>
      </c>
    </row>
    <row r="647" spans="1:15" x14ac:dyDescent="0.25">
      <c r="A647" s="15"/>
      <c r="B647" s="15"/>
      <c r="C647">
        <v>0</v>
      </c>
      <c r="D647" s="3">
        <v>385</v>
      </c>
      <c r="E647" s="3">
        <v>0</v>
      </c>
      <c r="F647">
        <v>765</v>
      </c>
      <c r="G647">
        <v>1010</v>
      </c>
      <c r="H647">
        <v>0</v>
      </c>
      <c r="I647">
        <v>0</v>
      </c>
      <c r="J647">
        <v>190</v>
      </c>
      <c r="K647">
        <v>548</v>
      </c>
      <c r="L647" s="10">
        <v>40.4</v>
      </c>
      <c r="M647" s="2">
        <f t="shared" si="17"/>
        <v>376.54250000000002</v>
      </c>
      <c r="N647" s="2">
        <f t="shared" si="18"/>
        <v>173.86875000000001</v>
      </c>
      <c r="O647">
        <v>0</v>
      </c>
    </row>
    <row r="648" spans="1:15" x14ac:dyDescent="0.25">
      <c r="A648" s="15"/>
      <c r="B648" s="15"/>
      <c r="C648">
        <v>0</v>
      </c>
      <c r="D648" s="3">
        <v>385</v>
      </c>
      <c r="E648" s="3">
        <v>0</v>
      </c>
      <c r="F648">
        <v>765</v>
      </c>
      <c r="G648">
        <v>1010</v>
      </c>
      <c r="H648">
        <v>0</v>
      </c>
      <c r="I648">
        <v>0</v>
      </c>
      <c r="J648">
        <v>190</v>
      </c>
      <c r="K648">
        <v>1095</v>
      </c>
      <c r="L648" s="10">
        <v>36.6</v>
      </c>
      <c r="M648" s="2">
        <f t="shared" si="17"/>
        <v>376.54250000000002</v>
      </c>
      <c r="N648" s="2">
        <f t="shared" si="18"/>
        <v>173.86875000000001</v>
      </c>
      <c r="O648">
        <v>0</v>
      </c>
    </row>
    <row r="649" spans="1:15" x14ac:dyDescent="0.25">
      <c r="A649" s="15"/>
      <c r="B649" s="15"/>
      <c r="C649">
        <v>0</v>
      </c>
      <c r="D649" s="3">
        <v>385</v>
      </c>
      <c r="E649" s="3">
        <v>0</v>
      </c>
      <c r="F649">
        <v>765</v>
      </c>
      <c r="G649">
        <v>1010</v>
      </c>
      <c r="H649">
        <v>0</v>
      </c>
      <c r="I649">
        <v>0</v>
      </c>
      <c r="J649">
        <v>190</v>
      </c>
      <c r="K649">
        <v>2555</v>
      </c>
      <c r="L649" s="10">
        <v>35.4</v>
      </c>
      <c r="M649" s="2">
        <f t="shared" si="17"/>
        <v>375.62450000000001</v>
      </c>
      <c r="N649" s="2">
        <f t="shared" si="18"/>
        <v>173.86875000000001</v>
      </c>
      <c r="O649">
        <v>0</v>
      </c>
    </row>
    <row r="650" spans="1:15" x14ac:dyDescent="0.25">
      <c r="A650" s="15"/>
      <c r="B650" s="15"/>
      <c r="C650">
        <v>15</v>
      </c>
      <c r="D650" s="3">
        <v>330</v>
      </c>
      <c r="E650" s="3">
        <v>60</v>
      </c>
      <c r="F650">
        <v>765</v>
      </c>
      <c r="G650">
        <v>990</v>
      </c>
      <c r="H650">
        <v>0</v>
      </c>
      <c r="I650">
        <v>0</v>
      </c>
      <c r="J650">
        <v>190</v>
      </c>
      <c r="K650">
        <v>28</v>
      </c>
      <c r="L650" s="10">
        <v>37.6</v>
      </c>
      <c r="M650" s="2">
        <f t="shared" si="17"/>
        <v>330.11249999999995</v>
      </c>
      <c r="N650" s="2">
        <f t="shared" si="18"/>
        <v>152.94374999999999</v>
      </c>
      <c r="O650">
        <v>0</v>
      </c>
    </row>
    <row r="651" spans="1:15" x14ac:dyDescent="0.25">
      <c r="A651" s="15"/>
      <c r="B651" s="15"/>
      <c r="C651">
        <v>15</v>
      </c>
      <c r="D651" s="3">
        <v>330</v>
      </c>
      <c r="E651" s="3">
        <v>60</v>
      </c>
      <c r="F651">
        <v>765</v>
      </c>
      <c r="G651">
        <v>990</v>
      </c>
      <c r="H651">
        <v>0</v>
      </c>
      <c r="I651">
        <v>0</v>
      </c>
      <c r="J651">
        <v>190</v>
      </c>
      <c r="K651">
        <v>548</v>
      </c>
      <c r="L651" s="10">
        <v>43.3</v>
      </c>
      <c r="M651" s="2">
        <f t="shared" si="17"/>
        <v>330.11249999999995</v>
      </c>
      <c r="N651" s="2">
        <f t="shared" si="18"/>
        <v>152.94374999999999</v>
      </c>
      <c r="O651">
        <v>0</v>
      </c>
    </row>
    <row r="652" spans="1:15" x14ac:dyDescent="0.25">
      <c r="A652" s="15"/>
      <c r="B652" s="15"/>
      <c r="C652">
        <v>15</v>
      </c>
      <c r="D652" s="3">
        <v>330</v>
      </c>
      <c r="E652" s="3">
        <v>60</v>
      </c>
      <c r="F652">
        <v>765</v>
      </c>
      <c r="G652">
        <v>990</v>
      </c>
      <c r="H652">
        <v>0</v>
      </c>
      <c r="I652">
        <v>0</v>
      </c>
      <c r="J652">
        <v>190</v>
      </c>
      <c r="K652">
        <v>1095</v>
      </c>
      <c r="L652" s="10">
        <v>44.1</v>
      </c>
      <c r="M652" s="2">
        <f t="shared" si="17"/>
        <v>330.11249999999995</v>
      </c>
      <c r="N652" s="2">
        <f t="shared" si="18"/>
        <v>152.94374999999999</v>
      </c>
      <c r="O652">
        <v>0</v>
      </c>
    </row>
    <row r="653" spans="1:15" x14ac:dyDescent="0.25">
      <c r="A653" s="15"/>
      <c r="B653" s="15"/>
      <c r="C653">
        <v>15</v>
      </c>
      <c r="D653" s="3">
        <v>330</v>
      </c>
      <c r="E653" s="3">
        <v>60</v>
      </c>
      <c r="F653">
        <v>765</v>
      </c>
      <c r="G653">
        <v>990</v>
      </c>
      <c r="H653">
        <v>0</v>
      </c>
      <c r="I653">
        <v>0</v>
      </c>
      <c r="J653">
        <v>190</v>
      </c>
      <c r="K653">
        <v>2555</v>
      </c>
      <c r="L653" s="10">
        <v>38.4</v>
      </c>
      <c r="M653" s="2">
        <f t="shared" si="17"/>
        <v>329.65350000000001</v>
      </c>
      <c r="N653" s="2">
        <f t="shared" si="18"/>
        <v>152.94374999999999</v>
      </c>
      <c r="O653">
        <v>0</v>
      </c>
    </row>
    <row r="654" spans="1:15" x14ac:dyDescent="0.25">
      <c r="A654" s="15"/>
      <c r="B654" s="15"/>
      <c r="C654">
        <v>25</v>
      </c>
      <c r="D654" s="3">
        <v>290</v>
      </c>
      <c r="E654" s="3">
        <v>95</v>
      </c>
      <c r="F654">
        <v>765</v>
      </c>
      <c r="G654">
        <v>980</v>
      </c>
      <c r="H654">
        <v>0</v>
      </c>
      <c r="I654">
        <v>0</v>
      </c>
      <c r="J654">
        <v>190</v>
      </c>
      <c r="K654">
        <v>28</v>
      </c>
      <c r="L654" s="10">
        <v>35.5</v>
      </c>
      <c r="M654" s="2">
        <f t="shared" si="17"/>
        <v>296.53399999999999</v>
      </c>
      <c r="N654" s="2">
        <f t="shared" si="18"/>
        <v>137.79374999999999</v>
      </c>
      <c r="O654">
        <v>0</v>
      </c>
    </row>
    <row r="655" spans="1:15" x14ac:dyDescent="0.25">
      <c r="A655" s="15"/>
      <c r="B655" s="15"/>
      <c r="C655">
        <v>25</v>
      </c>
      <c r="D655" s="3">
        <v>290</v>
      </c>
      <c r="E655" s="3">
        <v>95</v>
      </c>
      <c r="F655">
        <v>765</v>
      </c>
      <c r="G655">
        <v>980</v>
      </c>
      <c r="H655">
        <v>0</v>
      </c>
      <c r="I655">
        <v>0</v>
      </c>
      <c r="J655">
        <v>190</v>
      </c>
      <c r="K655">
        <v>548</v>
      </c>
      <c r="L655" s="10">
        <v>38.299999999999997</v>
      </c>
      <c r="M655" s="2">
        <f t="shared" si="17"/>
        <v>296.53399999999999</v>
      </c>
      <c r="N655" s="2">
        <f t="shared" si="18"/>
        <v>137.79374999999999</v>
      </c>
      <c r="O655">
        <v>0</v>
      </c>
    </row>
    <row r="656" spans="1:15" x14ac:dyDescent="0.25">
      <c r="A656" s="15"/>
      <c r="B656" s="15"/>
      <c r="C656">
        <v>25</v>
      </c>
      <c r="D656" s="3">
        <v>290</v>
      </c>
      <c r="E656" s="3">
        <v>95</v>
      </c>
      <c r="F656">
        <v>765</v>
      </c>
      <c r="G656">
        <v>980</v>
      </c>
      <c r="H656">
        <v>0</v>
      </c>
      <c r="I656">
        <v>0</v>
      </c>
      <c r="J656">
        <v>190</v>
      </c>
      <c r="K656">
        <v>1095</v>
      </c>
      <c r="L656" s="10">
        <v>39.200000000000003</v>
      </c>
      <c r="M656" s="2">
        <f t="shared" si="17"/>
        <v>296.53399999999999</v>
      </c>
      <c r="N656" s="2">
        <f t="shared" si="18"/>
        <v>137.79374999999999</v>
      </c>
      <c r="O656">
        <v>0</v>
      </c>
    </row>
    <row r="657" spans="1:15" x14ac:dyDescent="0.25">
      <c r="A657" s="15"/>
      <c r="B657" s="15"/>
      <c r="C657">
        <v>25</v>
      </c>
      <c r="D657" s="3">
        <v>290</v>
      </c>
      <c r="E657" s="3">
        <v>95</v>
      </c>
      <c r="F657">
        <v>765</v>
      </c>
      <c r="G657">
        <v>980</v>
      </c>
      <c r="H657">
        <v>0</v>
      </c>
      <c r="I657">
        <v>0</v>
      </c>
      <c r="J657">
        <v>190</v>
      </c>
      <c r="K657">
        <v>2555</v>
      </c>
      <c r="L657" s="10">
        <v>36.6</v>
      </c>
      <c r="M657" s="2">
        <f t="shared" si="17"/>
        <v>295.84550000000002</v>
      </c>
      <c r="N657" s="2">
        <f t="shared" si="18"/>
        <v>137.79374999999999</v>
      </c>
      <c r="O657">
        <v>0</v>
      </c>
    </row>
    <row r="658" spans="1:15" x14ac:dyDescent="0.25">
      <c r="A658" s="15"/>
      <c r="B658" s="15"/>
      <c r="C658">
        <v>35</v>
      </c>
      <c r="D658" s="3">
        <v>250</v>
      </c>
      <c r="E658" s="3">
        <v>135</v>
      </c>
      <c r="F658">
        <v>765</v>
      </c>
      <c r="G658">
        <v>965</v>
      </c>
      <c r="H658">
        <v>0</v>
      </c>
      <c r="I658">
        <v>0</v>
      </c>
      <c r="J658">
        <v>190</v>
      </c>
      <c r="K658">
        <v>28</v>
      </c>
      <c r="L658" s="10">
        <v>36</v>
      </c>
      <c r="M658" s="2">
        <f t="shared" si="17"/>
        <v>262.73750000000001</v>
      </c>
      <c r="N658" s="2">
        <f t="shared" si="18"/>
        <v>122.56874999999999</v>
      </c>
      <c r="O658">
        <v>0</v>
      </c>
    </row>
    <row r="659" spans="1:15" x14ac:dyDescent="0.25">
      <c r="A659" s="15"/>
      <c r="B659" s="15"/>
      <c r="C659">
        <v>35</v>
      </c>
      <c r="D659" s="3">
        <v>250</v>
      </c>
      <c r="E659" s="3">
        <v>135</v>
      </c>
      <c r="F659">
        <v>765</v>
      </c>
      <c r="G659">
        <v>965</v>
      </c>
      <c r="H659">
        <v>0</v>
      </c>
      <c r="I659">
        <v>0</v>
      </c>
      <c r="J659">
        <v>190</v>
      </c>
      <c r="K659">
        <v>548</v>
      </c>
      <c r="L659" s="10">
        <v>37.200000000000003</v>
      </c>
      <c r="M659" s="2">
        <f t="shared" si="17"/>
        <v>262.73750000000001</v>
      </c>
      <c r="N659" s="2">
        <f t="shared" si="18"/>
        <v>122.56874999999999</v>
      </c>
      <c r="O659">
        <v>0</v>
      </c>
    </row>
    <row r="660" spans="1:15" x14ac:dyDescent="0.25">
      <c r="A660" s="15"/>
      <c r="B660" s="15"/>
      <c r="C660">
        <v>35</v>
      </c>
      <c r="D660" s="3">
        <v>250</v>
      </c>
      <c r="E660" s="3">
        <v>135</v>
      </c>
      <c r="F660">
        <v>765</v>
      </c>
      <c r="G660">
        <v>965</v>
      </c>
      <c r="H660">
        <v>0</v>
      </c>
      <c r="I660">
        <v>0</v>
      </c>
      <c r="J660">
        <v>190</v>
      </c>
      <c r="K660">
        <v>1095</v>
      </c>
      <c r="L660" s="10">
        <v>37.700000000000003</v>
      </c>
      <c r="M660" s="2">
        <f t="shared" si="17"/>
        <v>262.73750000000001</v>
      </c>
      <c r="N660" s="2">
        <f t="shared" si="18"/>
        <v>122.56874999999999</v>
      </c>
      <c r="O660">
        <v>0</v>
      </c>
    </row>
    <row r="661" spans="1:15" x14ac:dyDescent="0.25">
      <c r="A661" s="15"/>
      <c r="B661" s="15"/>
      <c r="C661">
        <v>35</v>
      </c>
      <c r="D661" s="3">
        <v>250</v>
      </c>
      <c r="E661" s="3">
        <v>135</v>
      </c>
      <c r="F661">
        <v>765</v>
      </c>
      <c r="G661">
        <v>965</v>
      </c>
      <c r="H661">
        <v>0</v>
      </c>
      <c r="I661">
        <v>0</v>
      </c>
      <c r="J661">
        <v>190</v>
      </c>
      <c r="K661">
        <v>2555</v>
      </c>
      <c r="L661" s="10">
        <v>36.4</v>
      </c>
      <c r="M661" s="2">
        <f t="shared" si="17"/>
        <v>261.81950000000001</v>
      </c>
      <c r="N661" s="2">
        <f t="shared" si="18"/>
        <v>122.56874999999999</v>
      </c>
      <c r="O661">
        <v>0</v>
      </c>
    </row>
    <row r="662" spans="1:15" x14ac:dyDescent="0.25">
      <c r="A662" s="15"/>
      <c r="B662" s="15"/>
      <c r="C662">
        <v>50</v>
      </c>
      <c r="D662" s="3">
        <v>195</v>
      </c>
      <c r="E662" s="3">
        <v>195</v>
      </c>
      <c r="F662">
        <v>765</v>
      </c>
      <c r="G662">
        <v>945</v>
      </c>
      <c r="H662">
        <v>0</v>
      </c>
      <c r="I662">
        <v>0</v>
      </c>
      <c r="J662">
        <v>190</v>
      </c>
      <c r="K662">
        <v>28</v>
      </c>
      <c r="L662" s="10">
        <v>34.200000000000003</v>
      </c>
      <c r="M662" s="2">
        <f t="shared" si="17"/>
        <v>216.3075</v>
      </c>
      <c r="N662" s="2">
        <f t="shared" si="18"/>
        <v>101.64375</v>
      </c>
      <c r="O662">
        <v>0</v>
      </c>
    </row>
    <row r="663" spans="1:15" x14ac:dyDescent="0.25">
      <c r="A663" s="15"/>
      <c r="B663" s="15"/>
      <c r="C663">
        <v>50</v>
      </c>
      <c r="D663" s="3">
        <v>195</v>
      </c>
      <c r="E663" s="3">
        <v>195</v>
      </c>
      <c r="F663">
        <v>765</v>
      </c>
      <c r="G663">
        <v>945</v>
      </c>
      <c r="H663">
        <v>0</v>
      </c>
      <c r="I663">
        <v>0</v>
      </c>
      <c r="J663">
        <v>190</v>
      </c>
      <c r="K663">
        <v>548</v>
      </c>
      <c r="L663" s="10">
        <v>36.799999999999997</v>
      </c>
      <c r="M663" s="2">
        <f t="shared" si="17"/>
        <v>216.3075</v>
      </c>
      <c r="N663" s="2">
        <f t="shared" si="18"/>
        <v>101.64375</v>
      </c>
      <c r="O663">
        <v>0</v>
      </c>
    </row>
    <row r="664" spans="1:15" x14ac:dyDescent="0.25">
      <c r="A664" s="15"/>
      <c r="B664" s="15"/>
      <c r="C664">
        <v>50</v>
      </c>
      <c r="D664" s="3">
        <v>195</v>
      </c>
      <c r="E664" s="3">
        <v>195</v>
      </c>
      <c r="F664">
        <v>765</v>
      </c>
      <c r="G664">
        <v>945</v>
      </c>
      <c r="H664">
        <v>0</v>
      </c>
      <c r="I664">
        <v>0</v>
      </c>
      <c r="J664">
        <v>190</v>
      </c>
      <c r="K664">
        <v>1095</v>
      </c>
      <c r="L664" s="10">
        <v>36.6</v>
      </c>
      <c r="M664" s="2">
        <f t="shared" si="17"/>
        <v>216.3075</v>
      </c>
      <c r="N664" s="2">
        <f t="shared" si="18"/>
        <v>101.64375</v>
      </c>
      <c r="O664">
        <v>0</v>
      </c>
    </row>
    <row r="665" spans="1:15" x14ac:dyDescent="0.25">
      <c r="A665" s="15"/>
      <c r="B665" s="15"/>
      <c r="C665">
        <v>50</v>
      </c>
      <c r="D665" s="3">
        <v>195</v>
      </c>
      <c r="E665" s="3">
        <v>195</v>
      </c>
      <c r="F665">
        <v>765</v>
      </c>
      <c r="G665">
        <v>945</v>
      </c>
      <c r="H665">
        <v>0</v>
      </c>
      <c r="I665">
        <v>0</v>
      </c>
      <c r="J665">
        <v>190</v>
      </c>
      <c r="K665">
        <v>2555</v>
      </c>
      <c r="L665" s="10">
        <v>33.5</v>
      </c>
      <c r="M665" s="2">
        <f t="shared" si="17"/>
        <v>172.93199999999999</v>
      </c>
      <c r="N665" s="2">
        <f t="shared" si="18"/>
        <v>101.64375</v>
      </c>
      <c r="O665">
        <v>0</v>
      </c>
    </row>
    <row r="666" spans="1:15" x14ac:dyDescent="0.25">
      <c r="A666" s="15" t="s">
        <v>329</v>
      </c>
      <c r="B666" s="15" t="s">
        <v>328</v>
      </c>
      <c r="C666">
        <v>0</v>
      </c>
      <c r="D666" s="3">
        <v>750</v>
      </c>
      <c r="E666" s="3">
        <v>0</v>
      </c>
      <c r="F666" s="3">
        <v>2250</v>
      </c>
      <c r="G666" s="3">
        <v>0</v>
      </c>
      <c r="H666">
        <v>0</v>
      </c>
      <c r="I666">
        <v>0</v>
      </c>
      <c r="J666">
        <v>375</v>
      </c>
      <c r="K666">
        <v>3</v>
      </c>
      <c r="L666" s="10">
        <v>23</v>
      </c>
      <c r="M666" s="2">
        <f t="shared" si="17"/>
        <v>653.77499999999998</v>
      </c>
      <c r="N666" s="2">
        <f t="shared" si="18"/>
        <v>323.4375</v>
      </c>
      <c r="O666">
        <v>176</v>
      </c>
    </row>
    <row r="667" spans="1:15" x14ac:dyDescent="0.25">
      <c r="A667" s="15"/>
      <c r="B667" s="15"/>
      <c r="C667">
        <v>0</v>
      </c>
      <c r="D667" s="3">
        <v>750</v>
      </c>
      <c r="E667" s="3">
        <v>0</v>
      </c>
      <c r="F667" s="3">
        <v>2250</v>
      </c>
      <c r="G667" s="3">
        <v>0</v>
      </c>
      <c r="H667">
        <v>0</v>
      </c>
      <c r="I667">
        <v>0</v>
      </c>
      <c r="J667">
        <v>375</v>
      </c>
      <c r="K667">
        <v>7</v>
      </c>
      <c r="L667" s="10">
        <v>35.6</v>
      </c>
      <c r="M667" s="2">
        <f t="shared" si="17"/>
        <v>653.77499999999998</v>
      </c>
      <c r="N667" s="2">
        <f t="shared" si="18"/>
        <v>323.4375</v>
      </c>
      <c r="O667">
        <v>176</v>
      </c>
    </row>
    <row r="668" spans="1:15" x14ac:dyDescent="0.25">
      <c r="A668" s="15"/>
      <c r="B668" s="15"/>
      <c r="C668">
        <v>0</v>
      </c>
      <c r="D668" s="3">
        <v>750</v>
      </c>
      <c r="E668" s="3">
        <v>0</v>
      </c>
      <c r="F668" s="3">
        <v>2250</v>
      </c>
      <c r="G668" s="3">
        <v>0</v>
      </c>
      <c r="H668">
        <v>0</v>
      </c>
      <c r="I668">
        <v>0</v>
      </c>
      <c r="J668">
        <v>375</v>
      </c>
      <c r="K668">
        <v>28</v>
      </c>
      <c r="L668" s="10">
        <v>40.299999999999997</v>
      </c>
      <c r="M668" s="2">
        <f t="shared" si="17"/>
        <v>653.77499999999998</v>
      </c>
      <c r="N668" s="2">
        <f t="shared" si="18"/>
        <v>323.4375</v>
      </c>
      <c r="O668">
        <v>176</v>
      </c>
    </row>
    <row r="669" spans="1:15" x14ac:dyDescent="0.25">
      <c r="A669" s="15"/>
      <c r="B669" s="15"/>
      <c r="C669">
        <v>10</v>
      </c>
      <c r="D669" s="3">
        <v>675</v>
      </c>
      <c r="E669" s="3">
        <v>75</v>
      </c>
      <c r="F669" s="3">
        <v>2250</v>
      </c>
      <c r="G669" s="3">
        <v>0</v>
      </c>
      <c r="H669">
        <v>0</v>
      </c>
      <c r="I669">
        <v>0</v>
      </c>
      <c r="J669">
        <v>375</v>
      </c>
      <c r="K669">
        <v>3</v>
      </c>
      <c r="L669" s="10">
        <v>19.5</v>
      </c>
      <c r="M669" s="2">
        <f t="shared" si="17"/>
        <v>591.69749999999999</v>
      </c>
      <c r="N669" s="2">
        <f t="shared" si="18"/>
        <v>295.3125</v>
      </c>
      <c r="O669">
        <v>140</v>
      </c>
    </row>
    <row r="670" spans="1:15" x14ac:dyDescent="0.25">
      <c r="A670" s="15"/>
      <c r="B670" s="15"/>
      <c r="C670">
        <v>10</v>
      </c>
      <c r="D670" s="3">
        <v>675</v>
      </c>
      <c r="E670" s="3">
        <v>75</v>
      </c>
      <c r="F670" s="3">
        <v>2250</v>
      </c>
      <c r="G670" s="3">
        <v>0</v>
      </c>
      <c r="H670">
        <v>0</v>
      </c>
      <c r="I670">
        <v>0</v>
      </c>
      <c r="J670">
        <v>375</v>
      </c>
      <c r="K670">
        <v>7</v>
      </c>
      <c r="L670" s="10">
        <v>23</v>
      </c>
      <c r="M670" s="2">
        <f t="shared" ref="M670:M726" si="19">SUM((D670*0.83)+(E670*0.0023)+(F670*0.0139)+(G671*0.0459)+(I670*2))</f>
        <v>591.69749999999999</v>
      </c>
      <c r="N670" s="2">
        <f t="shared" si="18"/>
        <v>295.3125</v>
      </c>
      <c r="O670">
        <v>140</v>
      </c>
    </row>
    <row r="671" spans="1:15" x14ac:dyDescent="0.25">
      <c r="A671" s="15"/>
      <c r="B671" s="15"/>
      <c r="C671">
        <v>10</v>
      </c>
      <c r="D671" s="3">
        <v>675</v>
      </c>
      <c r="E671" s="3">
        <v>75</v>
      </c>
      <c r="F671" s="3">
        <v>2250</v>
      </c>
      <c r="G671" s="3">
        <v>0</v>
      </c>
      <c r="H671">
        <v>0</v>
      </c>
      <c r="I671">
        <v>0</v>
      </c>
      <c r="J671">
        <v>375</v>
      </c>
      <c r="K671">
        <v>28</v>
      </c>
      <c r="L671" s="10">
        <v>38</v>
      </c>
      <c r="M671" s="2">
        <f t="shared" si="19"/>
        <v>591.69749999999999</v>
      </c>
      <c r="N671" s="2">
        <f t="shared" si="18"/>
        <v>295.3125</v>
      </c>
      <c r="O671">
        <v>140</v>
      </c>
    </row>
    <row r="672" spans="1:15" x14ac:dyDescent="0.25">
      <c r="A672" s="15"/>
      <c r="B672" s="15"/>
      <c r="C672">
        <v>20</v>
      </c>
      <c r="D672" s="3">
        <v>600</v>
      </c>
      <c r="E672" s="3">
        <v>150</v>
      </c>
      <c r="F672" s="3">
        <v>2250</v>
      </c>
      <c r="G672" s="3">
        <v>0</v>
      </c>
      <c r="H672">
        <v>0</v>
      </c>
      <c r="I672">
        <v>0</v>
      </c>
      <c r="J672">
        <v>375</v>
      </c>
      <c r="K672">
        <v>3</v>
      </c>
      <c r="L672" s="10">
        <v>14.6</v>
      </c>
      <c r="M672" s="2">
        <f t="shared" si="19"/>
        <v>529.62</v>
      </c>
      <c r="N672" s="2">
        <f t="shared" si="18"/>
        <v>267.1875</v>
      </c>
      <c r="O672">
        <v>133.5</v>
      </c>
    </row>
    <row r="673" spans="1:15" x14ac:dyDescent="0.25">
      <c r="A673" s="15"/>
      <c r="B673" s="15"/>
      <c r="C673">
        <v>20</v>
      </c>
      <c r="D673" s="3">
        <v>600</v>
      </c>
      <c r="E673" s="3">
        <v>150</v>
      </c>
      <c r="F673" s="3">
        <v>2250</v>
      </c>
      <c r="G673" s="3">
        <v>0</v>
      </c>
      <c r="H673">
        <v>0</v>
      </c>
      <c r="I673">
        <v>0</v>
      </c>
      <c r="J673">
        <v>375</v>
      </c>
      <c r="K673">
        <v>7</v>
      </c>
      <c r="L673" s="10">
        <v>22.3</v>
      </c>
      <c r="M673" s="2">
        <f t="shared" si="19"/>
        <v>529.62</v>
      </c>
      <c r="N673" s="2">
        <f t="shared" si="18"/>
        <v>267.1875</v>
      </c>
      <c r="O673">
        <v>133.5</v>
      </c>
    </row>
    <row r="674" spans="1:15" x14ac:dyDescent="0.25">
      <c r="A674" s="15"/>
      <c r="B674" s="15"/>
      <c r="C674">
        <v>20</v>
      </c>
      <c r="D674" s="3">
        <v>600</v>
      </c>
      <c r="E674" s="3">
        <v>150</v>
      </c>
      <c r="F674" s="3">
        <v>2250</v>
      </c>
      <c r="G674" s="3">
        <v>0</v>
      </c>
      <c r="H674">
        <v>0</v>
      </c>
      <c r="I674">
        <v>0</v>
      </c>
      <c r="J674">
        <v>375</v>
      </c>
      <c r="K674">
        <v>28</v>
      </c>
      <c r="L674" s="10">
        <v>26.9</v>
      </c>
      <c r="M674" s="2">
        <f t="shared" si="19"/>
        <v>529.62</v>
      </c>
      <c r="N674" s="2">
        <f t="shared" si="18"/>
        <v>267.1875</v>
      </c>
      <c r="O674">
        <v>133.5</v>
      </c>
    </row>
    <row r="675" spans="1:15" x14ac:dyDescent="0.25">
      <c r="A675" s="15"/>
      <c r="B675" s="15"/>
      <c r="C675">
        <v>30</v>
      </c>
      <c r="D675" s="3">
        <v>525</v>
      </c>
      <c r="E675" s="3">
        <v>225</v>
      </c>
      <c r="F675" s="3">
        <v>2250</v>
      </c>
      <c r="G675" s="3">
        <v>0</v>
      </c>
      <c r="H675">
        <v>0</v>
      </c>
      <c r="I675">
        <v>0</v>
      </c>
      <c r="J675">
        <v>375</v>
      </c>
      <c r="K675">
        <v>3</v>
      </c>
      <c r="L675" s="10">
        <v>12.3</v>
      </c>
      <c r="M675" s="2">
        <f t="shared" si="19"/>
        <v>467.54249999999996</v>
      </c>
      <c r="N675" s="2">
        <f t="shared" si="18"/>
        <v>239.0625</v>
      </c>
      <c r="O675">
        <v>127</v>
      </c>
    </row>
    <row r="676" spans="1:15" x14ac:dyDescent="0.25">
      <c r="A676" s="15"/>
      <c r="B676" s="15"/>
      <c r="C676">
        <v>30</v>
      </c>
      <c r="D676" s="3">
        <v>525</v>
      </c>
      <c r="E676" s="3">
        <v>225</v>
      </c>
      <c r="F676" s="3">
        <v>2250</v>
      </c>
      <c r="G676" s="3">
        <v>0</v>
      </c>
      <c r="H676">
        <v>0</v>
      </c>
      <c r="I676">
        <v>0</v>
      </c>
      <c r="J676">
        <v>375</v>
      </c>
      <c r="K676">
        <v>7</v>
      </c>
      <c r="L676" s="10">
        <v>21.5</v>
      </c>
      <c r="M676" s="2">
        <f t="shared" si="19"/>
        <v>467.54249999999996</v>
      </c>
      <c r="N676" s="2">
        <f t="shared" si="18"/>
        <v>239.0625</v>
      </c>
      <c r="O676">
        <v>127</v>
      </c>
    </row>
    <row r="677" spans="1:15" x14ac:dyDescent="0.25">
      <c r="A677" s="15"/>
      <c r="B677" s="15"/>
      <c r="C677">
        <v>30</v>
      </c>
      <c r="D677" s="3">
        <v>525</v>
      </c>
      <c r="E677" s="3">
        <v>225</v>
      </c>
      <c r="F677" s="3">
        <v>2250</v>
      </c>
      <c r="G677" s="3">
        <v>0</v>
      </c>
      <c r="H677">
        <v>0</v>
      </c>
      <c r="I677">
        <v>0</v>
      </c>
      <c r="J677">
        <v>375</v>
      </c>
      <c r="K677">
        <v>28</v>
      </c>
      <c r="L677" s="10">
        <v>28.1</v>
      </c>
      <c r="M677" s="2">
        <f t="shared" si="19"/>
        <v>467.54249999999996</v>
      </c>
      <c r="N677" s="2">
        <f t="shared" si="18"/>
        <v>239.0625</v>
      </c>
      <c r="O677">
        <v>127</v>
      </c>
    </row>
    <row r="678" spans="1:15" x14ac:dyDescent="0.25">
      <c r="A678" s="15"/>
      <c r="B678" s="15"/>
      <c r="C678">
        <v>10</v>
      </c>
      <c r="D678" s="3">
        <v>675</v>
      </c>
      <c r="E678" s="3">
        <v>0</v>
      </c>
      <c r="F678" s="3">
        <v>2250</v>
      </c>
      <c r="G678" s="3">
        <v>0</v>
      </c>
      <c r="H678" s="3">
        <v>75</v>
      </c>
      <c r="I678">
        <v>0</v>
      </c>
      <c r="J678">
        <v>375</v>
      </c>
      <c r="K678">
        <v>3</v>
      </c>
      <c r="L678" s="10">
        <v>17.3</v>
      </c>
      <c r="M678" s="2">
        <f t="shared" si="19"/>
        <v>591.52499999999998</v>
      </c>
      <c r="N678" s="2">
        <f t="shared" si="18"/>
        <v>295.3125</v>
      </c>
      <c r="O678">
        <v>169.5</v>
      </c>
    </row>
    <row r="679" spans="1:15" x14ac:dyDescent="0.25">
      <c r="A679" s="15"/>
      <c r="B679" s="15"/>
      <c r="C679">
        <v>10</v>
      </c>
      <c r="D679" s="3">
        <v>675</v>
      </c>
      <c r="E679" s="3">
        <v>0</v>
      </c>
      <c r="F679" s="3">
        <v>2250</v>
      </c>
      <c r="G679" s="3">
        <v>0</v>
      </c>
      <c r="H679" s="3">
        <v>75</v>
      </c>
      <c r="I679">
        <v>0</v>
      </c>
      <c r="J679">
        <v>375</v>
      </c>
      <c r="K679">
        <v>7</v>
      </c>
      <c r="L679" s="10">
        <v>25.6</v>
      </c>
      <c r="M679" s="2">
        <f t="shared" si="19"/>
        <v>591.52499999999998</v>
      </c>
      <c r="N679" s="2">
        <f t="shared" si="18"/>
        <v>295.3125</v>
      </c>
      <c r="O679">
        <v>169.5</v>
      </c>
    </row>
    <row r="680" spans="1:15" x14ac:dyDescent="0.25">
      <c r="A680" s="15"/>
      <c r="B680" s="15"/>
      <c r="C680">
        <v>10</v>
      </c>
      <c r="D680" s="3">
        <v>675</v>
      </c>
      <c r="E680" s="3">
        <v>0</v>
      </c>
      <c r="F680" s="3">
        <v>2250</v>
      </c>
      <c r="G680" s="3">
        <v>0</v>
      </c>
      <c r="H680" s="3">
        <v>75</v>
      </c>
      <c r="I680">
        <v>0</v>
      </c>
      <c r="J680">
        <v>375</v>
      </c>
      <c r="K680">
        <v>28</v>
      </c>
      <c r="L680" s="10">
        <v>33.1</v>
      </c>
      <c r="M680" s="2">
        <f t="shared" si="19"/>
        <v>591.52499999999998</v>
      </c>
      <c r="N680" s="2">
        <f t="shared" si="18"/>
        <v>295.3125</v>
      </c>
      <c r="O680">
        <v>169.5</v>
      </c>
    </row>
    <row r="681" spans="1:15" x14ac:dyDescent="0.25">
      <c r="A681" s="15"/>
      <c r="B681" s="15"/>
      <c r="C681">
        <v>20</v>
      </c>
      <c r="D681" s="3">
        <v>600</v>
      </c>
      <c r="E681" s="3">
        <v>0</v>
      </c>
      <c r="F681" s="3">
        <v>2250</v>
      </c>
      <c r="G681" s="3">
        <v>0</v>
      </c>
      <c r="H681" s="3">
        <v>150</v>
      </c>
      <c r="I681">
        <v>0</v>
      </c>
      <c r="J681">
        <v>375</v>
      </c>
      <c r="K681">
        <v>3</v>
      </c>
      <c r="L681" s="10">
        <v>15.2</v>
      </c>
      <c r="M681" s="2">
        <f t="shared" si="19"/>
        <v>529.27499999999998</v>
      </c>
      <c r="N681" s="2">
        <f t="shared" si="18"/>
        <v>267.1875</v>
      </c>
      <c r="O681">
        <v>169.5</v>
      </c>
    </row>
    <row r="682" spans="1:15" x14ac:dyDescent="0.25">
      <c r="A682" s="15"/>
      <c r="B682" s="15"/>
      <c r="C682">
        <v>20</v>
      </c>
      <c r="D682" s="3">
        <v>600</v>
      </c>
      <c r="E682" s="3">
        <v>0</v>
      </c>
      <c r="F682" s="3">
        <v>2250</v>
      </c>
      <c r="G682" s="3">
        <v>0</v>
      </c>
      <c r="H682" s="3">
        <v>150</v>
      </c>
      <c r="I682">
        <v>0</v>
      </c>
      <c r="J682">
        <v>375</v>
      </c>
      <c r="K682">
        <v>7</v>
      </c>
      <c r="L682" s="10">
        <v>22</v>
      </c>
      <c r="M682" s="2">
        <f t="shared" si="19"/>
        <v>529.27499999999998</v>
      </c>
      <c r="N682" s="2">
        <f t="shared" si="18"/>
        <v>267.1875</v>
      </c>
      <c r="O682">
        <v>169.5</v>
      </c>
    </row>
    <row r="683" spans="1:15" x14ac:dyDescent="0.25">
      <c r="A683" s="15"/>
      <c r="B683" s="15"/>
      <c r="C683">
        <v>20</v>
      </c>
      <c r="D683" s="3">
        <v>600</v>
      </c>
      <c r="E683" s="3">
        <v>0</v>
      </c>
      <c r="F683" s="3">
        <v>2250</v>
      </c>
      <c r="G683" s="3">
        <v>0</v>
      </c>
      <c r="H683" s="3">
        <v>150</v>
      </c>
      <c r="I683">
        <v>0</v>
      </c>
      <c r="J683">
        <v>375</v>
      </c>
      <c r="K683">
        <v>28</v>
      </c>
      <c r="L683" s="10">
        <v>28.2</v>
      </c>
      <c r="M683" s="2">
        <f t="shared" si="19"/>
        <v>529.27499999999998</v>
      </c>
      <c r="N683" s="2">
        <f t="shared" si="18"/>
        <v>267.1875</v>
      </c>
      <c r="O683">
        <v>169.5</v>
      </c>
    </row>
    <row r="684" spans="1:15" x14ac:dyDescent="0.25">
      <c r="A684" s="15"/>
      <c r="B684" s="15"/>
      <c r="C684">
        <v>30</v>
      </c>
      <c r="D684" s="3">
        <v>525</v>
      </c>
      <c r="E684" s="3">
        <v>0</v>
      </c>
      <c r="F684" s="3">
        <v>2250</v>
      </c>
      <c r="G684" s="3">
        <v>0</v>
      </c>
      <c r="H684" s="3">
        <v>225</v>
      </c>
      <c r="I684">
        <v>0</v>
      </c>
      <c r="J684">
        <v>375</v>
      </c>
      <c r="K684">
        <v>3</v>
      </c>
      <c r="L684" s="10">
        <v>12.8</v>
      </c>
      <c r="M684" s="2">
        <f t="shared" si="19"/>
        <v>467.02499999999998</v>
      </c>
      <c r="N684" s="2">
        <f t="shared" si="18"/>
        <v>239.0625</v>
      </c>
      <c r="O684">
        <v>164.5</v>
      </c>
    </row>
    <row r="685" spans="1:15" x14ac:dyDescent="0.25">
      <c r="A685" s="15"/>
      <c r="B685" s="15"/>
      <c r="C685">
        <v>30</v>
      </c>
      <c r="D685" s="3">
        <v>525</v>
      </c>
      <c r="E685" s="3">
        <v>0</v>
      </c>
      <c r="F685" s="3">
        <v>2250</v>
      </c>
      <c r="G685" s="3">
        <v>0</v>
      </c>
      <c r="H685" s="3">
        <v>225</v>
      </c>
      <c r="I685">
        <v>0</v>
      </c>
      <c r="J685">
        <v>375</v>
      </c>
      <c r="K685">
        <v>7</v>
      </c>
      <c r="L685" s="10">
        <v>16.8</v>
      </c>
      <c r="M685" s="2">
        <f t="shared" si="19"/>
        <v>467.02499999999998</v>
      </c>
      <c r="N685" s="2">
        <f t="shared" si="18"/>
        <v>239.0625</v>
      </c>
      <c r="O685">
        <v>164.5</v>
      </c>
    </row>
    <row r="686" spans="1:15" x14ac:dyDescent="0.25">
      <c r="A686" s="15"/>
      <c r="B686" s="15"/>
      <c r="C686">
        <v>30</v>
      </c>
      <c r="D686" s="3">
        <v>525</v>
      </c>
      <c r="E686" s="3">
        <v>0</v>
      </c>
      <c r="F686" s="3">
        <v>2250</v>
      </c>
      <c r="G686" s="3">
        <v>0</v>
      </c>
      <c r="H686" s="3">
        <v>225</v>
      </c>
      <c r="I686">
        <v>0</v>
      </c>
      <c r="J686">
        <v>375</v>
      </c>
      <c r="K686">
        <v>28</v>
      </c>
      <c r="L686" s="10">
        <v>27.9</v>
      </c>
      <c r="M686" s="2">
        <f t="shared" si="19"/>
        <v>519.63695699999994</v>
      </c>
      <c r="N686" s="2">
        <f t="shared" si="18"/>
        <v>239.0625</v>
      </c>
      <c r="O686">
        <v>164.5</v>
      </c>
    </row>
    <row r="687" spans="1:15" x14ac:dyDescent="0.25">
      <c r="A687" s="15" t="s">
        <v>331</v>
      </c>
      <c r="B687" s="15" t="s">
        <v>330</v>
      </c>
      <c r="C687">
        <v>0</v>
      </c>
      <c r="D687" s="3">
        <v>450</v>
      </c>
      <c r="E687" s="3">
        <v>0</v>
      </c>
      <c r="F687" s="3">
        <v>783.45</v>
      </c>
      <c r="G687" s="3">
        <v>1146.23</v>
      </c>
      <c r="H687" s="3">
        <v>0</v>
      </c>
      <c r="I687" s="3">
        <v>0.9</v>
      </c>
      <c r="J687" s="3">
        <v>135</v>
      </c>
      <c r="K687">
        <v>7</v>
      </c>
      <c r="L687" s="10">
        <v>33.89</v>
      </c>
      <c r="M687" s="2">
        <f t="shared" si="19"/>
        <v>438.80191200000002</v>
      </c>
      <c r="N687" s="2">
        <f t="shared" si="18"/>
        <v>201.98313750000003</v>
      </c>
      <c r="O687">
        <v>0</v>
      </c>
    </row>
    <row r="688" spans="1:15" x14ac:dyDescent="0.25">
      <c r="A688" s="15"/>
      <c r="B688" s="15"/>
      <c r="C688">
        <v>0</v>
      </c>
      <c r="D688" s="3">
        <v>450</v>
      </c>
      <c r="E688" s="3">
        <v>0</v>
      </c>
      <c r="F688" s="3">
        <v>783.45</v>
      </c>
      <c r="G688" s="3">
        <v>1146.23</v>
      </c>
      <c r="H688" s="3">
        <v>0</v>
      </c>
      <c r="I688" s="3">
        <v>0.9</v>
      </c>
      <c r="J688" s="3">
        <v>135</v>
      </c>
      <c r="K688">
        <v>28</v>
      </c>
      <c r="L688" s="10">
        <v>40.229999999999997</v>
      </c>
      <c r="M688" s="2">
        <f t="shared" si="19"/>
        <v>438.80191200000002</v>
      </c>
      <c r="N688" s="2">
        <f t="shared" si="18"/>
        <v>201.98313750000003</v>
      </c>
      <c r="O688">
        <v>0</v>
      </c>
    </row>
    <row r="689" spans="1:15" x14ac:dyDescent="0.25">
      <c r="A689" s="15"/>
      <c r="B689" s="15"/>
      <c r="C689">
        <v>5</v>
      </c>
      <c r="D689" s="3">
        <v>427</v>
      </c>
      <c r="E689" s="3">
        <v>22.5</v>
      </c>
      <c r="F689" s="3">
        <v>783.45</v>
      </c>
      <c r="G689" s="3">
        <v>1146.23</v>
      </c>
      <c r="H689" s="3">
        <v>0</v>
      </c>
      <c r="I689" s="3">
        <v>0.9</v>
      </c>
      <c r="J689" s="3">
        <v>135</v>
      </c>
      <c r="K689">
        <v>7</v>
      </c>
      <c r="L689" s="10">
        <v>36.020000000000003</v>
      </c>
      <c r="M689" s="2">
        <f t="shared" si="19"/>
        <v>419.76366200000001</v>
      </c>
      <c r="N689" s="2">
        <f t="shared" si="18"/>
        <v>193.35813750000003</v>
      </c>
      <c r="O689">
        <v>0</v>
      </c>
    </row>
    <row r="690" spans="1:15" x14ac:dyDescent="0.25">
      <c r="A690" s="15"/>
      <c r="B690" s="15"/>
      <c r="C690">
        <v>5</v>
      </c>
      <c r="D690" s="3">
        <v>427</v>
      </c>
      <c r="E690" s="3">
        <v>22.5</v>
      </c>
      <c r="F690" s="3">
        <v>783.45</v>
      </c>
      <c r="G690" s="3">
        <v>1146.23</v>
      </c>
      <c r="H690" s="3">
        <v>0</v>
      </c>
      <c r="I690" s="3">
        <v>0.9</v>
      </c>
      <c r="J690" s="3">
        <v>135</v>
      </c>
      <c r="K690">
        <v>28</v>
      </c>
      <c r="L690" s="10">
        <v>41.61</v>
      </c>
      <c r="M690" s="2">
        <f t="shared" si="19"/>
        <v>419.76366200000001</v>
      </c>
      <c r="N690" s="2">
        <f t="shared" si="18"/>
        <v>193.35813750000003</v>
      </c>
      <c r="O690">
        <v>0</v>
      </c>
    </row>
    <row r="691" spans="1:15" x14ac:dyDescent="0.25">
      <c r="A691" s="15"/>
      <c r="B691" s="15"/>
      <c r="C691">
        <v>10</v>
      </c>
      <c r="D691" s="3">
        <v>405</v>
      </c>
      <c r="E691" s="3">
        <v>45</v>
      </c>
      <c r="F691" s="3">
        <v>783.45</v>
      </c>
      <c r="G691" s="3">
        <v>1146.23</v>
      </c>
      <c r="H691" s="3">
        <v>0</v>
      </c>
      <c r="I691" s="3">
        <v>0.9</v>
      </c>
      <c r="J691" s="3">
        <v>135</v>
      </c>
      <c r="K691">
        <v>7</v>
      </c>
      <c r="L691" s="10">
        <v>37.1</v>
      </c>
      <c r="M691" s="2">
        <f t="shared" si="19"/>
        <v>401.55541199999999</v>
      </c>
      <c r="N691" s="2">
        <f t="shared" si="18"/>
        <v>185.10813750000003</v>
      </c>
      <c r="O691">
        <v>0</v>
      </c>
    </row>
    <row r="692" spans="1:15" x14ac:dyDescent="0.25">
      <c r="A692" s="15"/>
      <c r="B692" s="15"/>
      <c r="C692">
        <v>10</v>
      </c>
      <c r="D692" s="3">
        <v>405</v>
      </c>
      <c r="E692" s="3">
        <v>45</v>
      </c>
      <c r="F692" s="3">
        <v>783.45</v>
      </c>
      <c r="G692" s="3">
        <v>1146.23</v>
      </c>
      <c r="H692" s="3">
        <v>0</v>
      </c>
      <c r="I692" s="3">
        <v>0.9</v>
      </c>
      <c r="J692" s="3">
        <v>135</v>
      </c>
      <c r="K692">
        <v>28</v>
      </c>
      <c r="L692" s="10">
        <v>43.08</v>
      </c>
      <c r="M692" s="2">
        <f t="shared" si="19"/>
        <v>401.55541199999999</v>
      </c>
      <c r="N692" s="2">
        <f t="shared" si="18"/>
        <v>185.10813750000003</v>
      </c>
      <c r="O692">
        <v>0</v>
      </c>
    </row>
    <row r="693" spans="1:15" x14ac:dyDescent="0.25">
      <c r="A693" s="15"/>
      <c r="B693" s="15"/>
      <c r="C693">
        <v>15</v>
      </c>
      <c r="D693" s="3">
        <v>382</v>
      </c>
      <c r="E693" s="3">
        <v>67.5</v>
      </c>
      <c r="F693" s="3">
        <v>783.45</v>
      </c>
      <c r="G693" s="3">
        <v>1146.23</v>
      </c>
      <c r="H693" s="3">
        <v>0</v>
      </c>
      <c r="I693" s="3">
        <v>0.9</v>
      </c>
      <c r="J693" s="3">
        <v>135</v>
      </c>
      <c r="K693">
        <v>7</v>
      </c>
      <c r="L693" s="10">
        <v>34.67</v>
      </c>
      <c r="M693" s="2">
        <f t="shared" si="19"/>
        <v>382.51716200000004</v>
      </c>
      <c r="N693" s="2">
        <f t="shared" si="18"/>
        <v>176.48313750000003</v>
      </c>
      <c r="O693">
        <v>0</v>
      </c>
    </row>
    <row r="694" spans="1:15" x14ac:dyDescent="0.25">
      <c r="A694" s="15"/>
      <c r="B694" s="15"/>
      <c r="C694">
        <v>15</v>
      </c>
      <c r="D694" s="3">
        <v>382</v>
      </c>
      <c r="E694" s="3">
        <v>67.5</v>
      </c>
      <c r="F694" s="3">
        <v>783.45</v>
      </c>
      <c r="G694" s="3">
        <v>1146.23</v>
      </c>
      <c r="H694" s="3">
        <v>0</v>
      </c>
      <c r="I694" s="3">
        <v>0.9</v>
      </c>
      <c r="J694" s="3">
        <v>135</v>
      </c>
      <c r="K694">
        <v>28</v>
      </c>
      <c r="L694" s="10">
        <v>40.82</v>
      </c>
      <c r="M694" s="2">
        <f t="shared" si="19"/>
        <v>382.51716200000004</v>
      </c>
      <c r="N694" s="2">
        <f t="shared" si="18"/>
        <v>176.48313750000003</v>
      </c>
      <c r="O694">
        <v>0</v>
      </c>
    </row>
    <row r="695" spans="1:15" x14ac:dyDescent="0.25">
      <c r="A695" s="15"/>
      <c r="B695" s="15"/>
      <c r="C695">
        <v>20</v>
      </c>
      <c r="D695" s="3">
        <v>360</v>
      </c>
      <c r="E695" s="3">
        <v>90</v>
      </c>
      <c r="F695" s="3">
        <v>783.45</v>
      </c>
      <c r="G695" s="3">
        <v>1146.23</v>
      </c>
      <c r="H695" s="3">
        <v>0</v>
      </c>
      <c r="I695" s="3">
        <v>0.9</v>
      </c>
      <c r="J695" s="3">
        <v>135</v>
      </c>
      <c r="K695">
        <v>7</v>
      </c>
      <c r="L695" s="10">
        <v>31.68</v>
      </c>
      <c r="M695" s="2">
        <f t="shared" si="19"/>
        <v>364.30891200000002</v>
      </c>
      <c r="N695" s="2">
        <f t="shared" si="18"/>
        <v>168.23313750000003</v>
      </c>
      <c r="O695">
        <v>0</v>
      </c>
    </row>
    <row r="696" spans="1:15" x14ac:dyDescent="0.25">
      <c r="A696" s="15"/>
      <c r="B696" s="15"/>
      <c r="C696">
        <v>20</v>
      </c>
      <c r="D696" s="3">
        <v>360</v>
      </c>
      <c r="E696" s="3">
        <v>90</v>
      </c>
      <c r="F696" s="3">
        <v>783.45</v>
      </c>
      <c r="G696" s="3">
        <v>1146.23</v>
      </c>
      <c r="H696" s="3">
        <v>0</v>
      </c>
      <c r="I696" s="3">
        <v>0.9</v>
      </c>
      <c r="J696" s="3">
        <v>135</v>
      </c>
      <c r="K696">
        <v>28</v>
      </c>
      <c r="L696" s="10">
        <v>39.549999999999997</v>
      </c>
      <c r="M696" s="2">
        <f t="shared" si="19"/>
        <v>361.03945500000003</v>
      </c>
      <c r="N696" s="2">
        <f t="shared" si="18"/>
        <v>168.23313750000003</v>
      </c>
      <c r="O696">
        <v>0</v>
      </c>
    </row>
    <row r="697" spans="1:15" x14ac:dyDescent="0.25">
      <c r="A697" s="15" t="s">
        <v>333</v>
      </c>
      <c r="B697" s="15" t="s">
        <v>332</v>
      </c>
      <c r="C697">
        <v>0</v>
      </c>
      <c r="D697" s="3">
        <v>388</v>
      </c>
      <c r="E697" s="3">
        <v>0</v>
      </c>
      <c r="F697" s="3">
        <v>785.39</v>
      </c>
      <c r="G697" s="3">
        <v>1075</v>
      </c>
      <c r="H697" s="3">
        <v>0</v>
      </c>
      <c r="I697" s="3">
        <v>3.48</v>
      </c>
      <c r="J697" s="3">
        <v>158</v>
      </c>
      <c r="K697">
        <v>7</v>
      </c>
      <c r="L697" s="10">
        <v>24.22</v>
      </c>
      <c r="M697" s="2">
        <f t="shared" si="19"/>
        <v>389.25942099999992</v>
      </c>
      <c r="N697" s="2">
        <f t="shared" si="18"/>
        <v>181.57106250000001</v>
      </c>
      <c r="O697">
        <v>0</v>
      </c>
    </row>
    <row r="698" spans="1:15" x14ac:dyDescent="0.25">
      <c r="A698" s="15"/>
      <c r="B698" s="15"/>
      <c r="C698">
        <v>0</v>
      </c>
      <c r="D698" s="3">
        <v>388</v>
      </c>
      <c r="E698" s="3">
        <v>0</v>
      </c>
      <c r="F698" s="3">
        <v>785.39</v>
      </c>
      <c r="G698" s="3">
        <v>1075</v>
      </c>
      <c r="H698" s="3">
        <v>0</v>
      </c>
      <c r="I698" s="3">
        <v>3.48</v>
      </c>
      <c r="J698" s="3">
        <v>158</v>
      </c>
      <c r="K698">
        <v>28</v>
      </c>
      <c r="L698" s="10">
        <v>36.89</v>
      </c>
      <c r="M698" s="2">
        <f t="shared" si="19"/>
        <v>390.08562099999995</v>
      </c>
      <c r="N698" s="2">
        <f t="shared" si="18"/>
        <v>181.57106250000001</v>
      </c>
      <c r="O698">
        <v>0</v>
      </c>
    </row>
    <row r="699" spans="1:15" x14ac:dyDescent="0.25">
      <c r="A699" s="15"/>
      <c r="B699" s="15"/>
      <c r="C699">
        <v>10</v>
      </c>
      <c r="D699" s="3">
        <v>348.4</v>
      </c>
      <c r="E699" s="3">
        <v>38.72</v>
      </c>
      <c r="F699" s="3">
        <v>798</v>
      </c>
      <c r="G699" s="3">
        <v>1093</v>
      </c>
      <c r="H699" s="3">
        <v>0</v>
      </c>
      <c r="I699" s="3">
        <v>3.48</v>
      </c>
      <c r="J699" s="3">
        <v>158</v>
      </c>
      <c r="K699">
        <v>7</v>
      </c>
      <c r="L699" s="10">
        <v>23.1</v>
      </c>
      <c r="M699" s="2">
        <f t="shared" si="19"/>
        <v>357.48195599999997</v>
      </c>
      <c r="N699" s="2">
        <f t="shared" si="18"/>
        <v>167.22749999999999</v>
      </c>
      <c r="O699">
        <v>0</v>
      </c>
    </row>
    <row r="700" spans="1:15" x14ac:dyDescent="0.25">
      <c r="A700" s="15"/>
      <c r="B700" s="15"/>
      <c r="C700">
        <v>10</v>
      </c>
      <c r="D700" s="3">
        <v>348.4</v>
      </c>
      <c r="E700" s="3">
        <v>38.72</v>
      </c>
      <c r="F700" s="3">
        <v>798</v>
      </c>
      <c r="G700" s="3">
        <v>1093</v>
      </c>
      <c r="H700" s="3">
        <v>0</v>
      </c>
      <c r="I700" s="3">
        <v>3.48</v>
      </c>
      <c r="J700" s="3">
        <v>158</v>
      </c>
      <c r="K700">
        <v>28</v>
      </c>
      <c r="L700" s="10">
        <v>35.18</v>
      </c>
      <c r="M700" s="2">
        <f t="shared" si="19"/>
        <v>357.06885599999998</v>
      </c>
      <c r="N700" s="2">
        <f t="shared" si="18"/>
        <v>167.22749999999999</v>
      </c>
      <c r="O700">
        <v>0</v>
      </c>
    </row>
    <row r="701" spans="1:15" x14ac:dyDescent="0.25">
      <c r="A701" s="15"/>
      <c r="B701" s="15"/>
      <c r="C701">
        <v>20</v>
      </c>
      <c r="D701" s="3">
        <v>309.76</v>
      </c>
      <c r="E701" s="3">
        <v>77</v>
      </c>
      <c r="F701" s="3">
        <v>792</v>
      </c>
      <c r="G701" s="3">
        <v>1084</v>
      </c>
      <c r="H701" s="3">
        <v>0</v>
      </c>
      <c r="I701" s="3">
        <v>3.48</v>
      </c>
      <c r="J701" s="3">
        <v>158</v>
      </c>
      <c r="K701">
        <v>7</v>
      </c>
      <c r="L701" s="10">
        <v>25.1</v>
      </c>
      <c r="M701" s="2">
        <f t="shared" si="19"/>
        <v>325.00229999999999</v>
      </c>
      <c r="N701" s="2">
        <f t="shared" si="18"/>
        <v>152.48999999999998</v>
      </c>
      <c r="O701">
        <v>0</v>
      </c>
    </row>
    <row r="702" spans="1:15" x14ac:dyDescent="0.25">
      <c r="A702" s="15"/>
      <c r="B702" s="15"/>
      <c r="C702">
        <v>20</v>
      </c>
      <c r="D702" s="3">
        <v>309.76</v>
      </c>
      <c r="E702" s="3">
        <v>77</v>
      </c>
      <c r="F702" s="3">
        <v>792</v>
      </c>
      <c r="G702" s="3">
        <v>1084</v>
      </c>
      <c r="H702" s="3">
        <v>0</v>
      </c>
      <c r="I702" s="3">
        <v>3.48</v>
      </c>
      <c r="J702" s="3">
        <v>158</v>
      </c>
      <c r="K702">
        <v>28</v>
      </c>
      <c r="L702" s="10">
        <v>38.200000000000003</v>
      </c>
      <c r="M702" s="2">
        <f t="shared" si="19"/>
        <v>324.58919999999995</v>
      </c>
      <c r="N702" s="2">
        <f t="shared" si="18"/>
        <v>152.48999999999998</v>
      </c>
      <c r="O702">
        <v>0</v>
      </c>
    </row>
    <row r="703" spans="1:15" x14ac:dyDescent="0.25">
      <c r="A703" s="15"/>
      <c r="B703" s="15"/>
      <c r="C703">
        <v>30</v>
      </c>
      <c r="D703" s="3">
        <v>271.04000000000002</v>
      </c>
      <c r="E703" s="3">
        <v>116</v>
      </c>
      <c r="F703" s="3">
        <v>785</v>
      </c>
      <c r="G703" s="3">
        <v>1075</v>
      </c>
      <c r="H703" s="3">
        <v>0</v>
      </c>
      <c r="I703" s="3">
        <v>3.48</v>
      </c>
      <c r="J703" s="3">
        <v>158</v>
      </c>
      <c r="K703">
        <v>7</v>
      </c>
      <c r="L703" s="10">
        <v>17.329999999999998</v>
      </c>
      <c r="M703" s="2">
        <f t="shared" si="19"/>
        <v>292.44399999999996</v>
      </c>
      <c r="N703" s="2">
        <f t="shared" si="18"/>
        <v>137.70375000000001</v>
      </c>
      <c r="O703">
        <v>0</v>
      </c>
    </row>
    <row r="704" spans="1:15" x14ac:dyDescent="0.25">
      <c r="A704" s="15"/>
      <c r="B704" s="15"/>
      <c r="C704">
        <v>30</v>
      </c>
      <c r="D704" s="3">
        <v>271.04000000000002</v>
      </c>
      <c r="E704" s="3">
        <v>116</v>
      </c>
      <c r="F704" s="3">
        <v>785</v>
      </c>
      <c r="G704" s="3">
        <v>1075</v>
      </c>
      <c r="H704" s="3">
        <v>0</v>
      </c>
      <c r="I704" s="3">
        <v>3.48</v>
      </c>
      <c r="J704" s="3">
        <v>158</v>
      </c>
      <c r="K704">
        <v>28</v>
      </c>
      <c r="L704" s="10">
        <v>26.39</v>
      </c>
      <c r="M704" s="2">
        <f t="shared" si="19"/>
        <v>255.26499999999999</v>
      </c>
      <c r="N704" s="2">
        <f t="shared" si="18"/>
        <v>137.70375000000001</v>
      </c>
      <c r="O704">
        <v>0</v>
      </c>
    </row>
    <row r="705" spans="1:15" x14ac:dyDescent="0.25">
      <c r="A705" s="15" t="s">
        <v>334</v>
      </c>
      <c r="B705" s="15" t="s">
        <v>325</v>
      </c>
      <c r="C705">
        <v>0</v>
      </c>
      <c r="D705" s="3">
        <v>53</v>
      </c>
      <c r="E705" s="3">
        <v>0</v>
      </c>
      <c r="F705" s="3">
        <v>133</v>
      </c>
      <c r="G705" s="3">
        <v>265</v>
      </c>
      <c r="H705" s="3">
        <v>0</v>
      </c>
      <c r="I705" s="3">
        <v>0</v>
      </c>
      <c r="J705" s="2">
        <v>27.5</v>
      </c>
      <c r="K705">
        <v>7</v>
      </c>
      <c r="L705" s="10">
        <v>13</v>
      </c>
      <c r="M705" s="2">
        <f t="shared" si="19"/>
        <v>58.002199999999995</v>
      </c>
      <c r="N705" s="2">
        <f t="shared" si="18"/>
        <v>26.34375</v>
      </c>
      <c r="O705">
        <v>0</v>
      </c>
    </row>
    <row r="706" spans="1:15" x14ac:dyDescent="0.25">
      <c r="A706" s="15"/>
      <c r="B706" s="15"/>
      <c r="C706">
        <v>0</v>
      </c>
      <c r="D706" s="3">
        <v>53</v>
      </c>
      <c r="E706" s="3">
        <v>0</v>
      </c>
      <c r="F706" s="3">
        <v>133</v>
      </c>
      <c r="G706" s="3">
        <v>265</v>
      </c>
      <c r="H706" s="3">
        <v>0</v>
      </c>
      <c r="I706" s="3">
        <v>0</v>
      </c>
      <c r="J706" s="2">
        <v>27.5</v>
      </c>
      <c r="K706">
        <v>28</v>
      </c>
      <c r="L706" s="10">
        <v>17</v>
      </c>
      <c r="M706" s="2">
        <f t="shared" si="19"/>
        <v>58.002199999999995</v>
      </c>
      <c r="N706" s="2">
        <f t="shared" si="18"/>
        <v>26.34375</v>
      </c>
      <c r="O706">
        <v>0</v>
      </c>
    </row>
    <row r="707" spans="1:15" x14ac:dyDescent="0.25">
      <c r="A707" s="15"/>
      <c r="B707" s="15"/>
      <c r="C707">
        <v>10</v>
      </c>
      <c r="D707" s="3">
        <v>47</v>
      </c>
      <c r="E707" s="2">
        <v>1.2</v>
      </c>
      <c r="F707" s="3">
        <v>133</v>
      </c>
      <c r="G707" s="3">
        <v>265</v>
      </c>
      <c r="H707" s="3">
        <v>0</v>
      </c>
      <c r="I707" s="3">
        <v>0</v>
      </c>
      <c r="J707" s="2">
        <v>27.5</v>
      </c>
      <c r="K707">
        <v>7</v>
      </c>
      <c r="L707" s="10">
        <v>14.1</v>
      </c>
      <c r="M707" s="2">
        <f t="shared" si="19"/>
        <v>53.02496</v>
      </c>
      <c r="N707" s="2">
        <f t="shared" ref="N707:N726" si="20">SUM((D707*5)+((F707*0.25)+(G707*0.2)+(I707*20)))*0.075</f>
        <v>24.09375</v>
      </c>
      <c r="O707">
        <v>0</v>
      </c>
    </row>
    <row r="708" spans="1:15" x14ac:dyDescent="0.25">
      <c r="A708" s="15"/>
      <c r="B708" s="15"/>
      <c r="C708">
        <v>10</v>
      </c>
      <c r="D708" s="3">
        <v>47</v>
      </c>
      <c r="E708" s="2">
        <v>1.2</v>
      </c>
      <c r="F708" s="3">
        <v>133</v>
      </c>
      <c r="G708" s="3">
        <v>265</v>
      </c>
      <c r="H708" s="3">
        <v>0</v>
      </c>
      <c r="I708" s="3">
        <v>0</v>
      </c>
      <c r="J708" s="2">
        <v>27.5</v>
      </c>
      <c r="K708">
        <v>28</v>
      </c>
      <c r="L708" s="10">
        <v>20.5</v>
      </c>
      <c r="M708" s="2">
        <f t="shared" si="19"/>
        <v>53.02496</v>
      </c>
      <c r="N708" s="2">
        <f t="shared" si="20"/>
        <v>24.09375</v>
      </c>
      <c r="O708">
        <v>0</v>
      </c>
    </row>
    <row r="709" spans="1:15" x14ac:dyDescent="0.25">
      <c r="A709" s="15"/>
      <c r="B709" s="15"/>
      <c r="C709">
        <v>15</v>
      </c>
      <c r="D709" s="3">
        <v>42</v>
      </c>
      <c r="E709" s="2">
        <v>2.9</v>
      </c>
      <c r="F709" s="3">
        <v>133</v>
      </c>
      <c r="G709" s="3">
        <v>265</v>
      </c>
      <c r="H709" s="3">
        <v>0</v>
      </c>
      <c r="I709" s="3">
        <v>0</v>
      </c>
      <c r="J709" s="2">
        <v>27.5</v>
      </c>
      <c r="K709">
        <v>7</v>
      </c>
      <c r="L709" s="10">
        <v>14</v>
      </c>
      <c r="M709" s="2">
        <f t="shared" si="19"/>
        <v>48.878869999999999</v>
      </c>
      <c r="N709" s="2">
        <f t="shared" si="20"/>
        <v>22.21875</v>
      </c>
      <c r="O709">
        <v>0</v>
      </c>
    </row>
    <row r="710" spans="1:15" x14ac:dyDescent="0.25">
      <c r="A710" s="15"/>
      <c r="B710" s="15"/>
      <c r="C710">
        <v>15</v>
      </c>
      <c r="D710" s="3">
        <v>42</v>
      </c>
      <c r="E710" s="2">
        <v>2.9</v>
      </c>
      <c r="F710" s="3">
        <v>133</v>
      </c>
      <c r="G710" s="3">
        <v>265</v>
      </c>
      <c r="H710" s="3">
        <v>0</v>
      </c>
      <c r="I710" s="3">
        <v>0</v>
      </c>
      <c r="J710" s="2">
        <v>27.5</v>
      </c>
      <c r="K710">
        <v>28</v>
      </c>
      <c r="L710" s="10">
        <v>20.6</v>
      </c>
      <c r="M710" s="2">
        <f t="shared" si="19"/>
        <v>84.157610000000005</v>
      </c>
      <c r="N710" s="2">
        <f t="shared" si="20"/>
        <v>22.21875</v>
      </c>
      <c r="O710">
        <v>0</v>
      </c>
    </row>
    <row r="711" spans="1:15" x14ac:dyDescent="0.25">
      <c r="A711" s="15" t="s">
        <v>336</v>
      </c>
      <c r="B711" s="15" t="s">
        <v>335</v>
      </c>
      <c r="C711">
        <v>0</v>
      </c>
      <c r="D711" s="3">
        <v>550</v>
      </c>
      <c r="E711" s="2">
        <v>0</v>
      </c>
      <c r="F711" s="3">
        <v>741.2</v>
      </c>
      <c r="G711" s="3">
        <v>1033.5999999999999</v>
      </c>
      <c r="H711" s="3">
        <v>0</v>
      </c>
      <c r="I711" s="10">
        <v>12.1</v>
      </c>
      <c r="J711" s="2">
        <v>148.9</v>
      </c>
      <c r="K711">
        <v>1</v>
      </c>
      <c r="L711" s="10">
        <v>63.2</v>
      </c>
      <c r="M711" s="2">
        <f t="shared" si="19"/>
        <v>538.44492000000002</v>
      </c>
      <c r="N711" s="2">
        <f t="shared" si="20"/>
        <v>253.80149999999998</v>
      </c>
      <c r="O711">
        <v>190</v>
      </c>
    </row>
    <row r="712" spans="1:15" x14ac:dyDescent="0.25">
      <c r="A712" s="15"/>
      <c r="B712" s="15"/>
      <c r="C712">
        <v>0</v>
      </c>
      <c r="D712" s="3">
        <v>550</v>
      </c>
      <c r="E712" s="2">
        <v>0</v>
      </c>
      <c r="F712" s="3">
        <v>741.2</v>
      </c>
      <c r="G712" s="3">
        <v>1033.5999999999999</v>
      </c>
      <c r="H712" s="3">
        <v>0</v>
      </c>
      <c r="I712" s="10">
        <v>12.1</v>
      </c>
      <c r="J712" s="2">
        <v>148.9</v>
      </c>
      <c r="K712">
        <v>3</v>
      </c>
      <c r="L712" s="10">
        <v>79</v>
      </c>
      <c r="M712" s="2">
        <f t="shared" si="19"/>
        <v>538.44492000000002</v>
      </c>
      <c r="N712" s="2">
        <f t="shared" si="20"/>
        <v>253.80149999999998</v>
      </c>
      <c r="O712">
        <v>190</v>
      </c>
    </row>
    <row r="713" spans="1:15" x14ac:dyDescent="0.25">
      <c r="A713" s="15"/>
      <c r="B713" s="15"/>
      <c r="C713">
        <v>0</v>
      </c>
      <c r="D713" s="3">
        <v>550</v>
      </c>
      <c r="E713" s="2">
        <v>0</v>
      </c>
      <c r="F713" s="3">
        <v>741.2</v>
      </c>
      <c r="G713" s="3">
        <v>1033.5999999999999</v>
      </c>
      <c r="H713" s="3">
        <v>0</v>
      </c>
      <c r="I713" s="10">
        <v>12.1</v>
      </c>
      <c r="J713" s="2">
        <v>148.9</v>
      </c>
      <c r="K713">
        <v>7</v>
      </c>
      <c r="L713" s="10">
        <v>86.9</v>
      </c>
      <c r="M713" s="2">
        <f t="shared" si="19"/>
        <v>538.44492000000002</v>
      </c>
      <c r="N713" s="2">
        <f t="shared" si="20"/>
        <v>253.80149999999998</v>
      </c>
      <c r="O713">
        <v>190</v>
      </c>
    </row>
    <row r="714" spans="1:15" x14ac:dyDescent="0.25">
      <c r="A714" s="15"/>
      <c r="B714" s="15"/>
      <c r="C714">
        <v>0</v>
      </c>
      <c r="D714" s="3">
        <v>550</v>
      </c>
      <c r="E714" s="2">
        <v>0</v>
      </c>
      <c r="F714" s="3">
        <v>741.2</v>
      </c>
      <c r="G714" s="3">
        <v>1033.5999999999999</v>
      </c>
      <c r="H714" s="3">
        <v>0</v>
      </c>
      <c r="I714" s="10">
        <v>12.1</v>
      </c>
      <c r="J714" s="2">
        <v>148.9</v>
      </c>
      <c r="K714">
        <v>28</v>
      </c>
      <c r="L714" s="10">
        <v>91.9</v>
      </c>
      <c r="M714" s="2">
        <f t="shared" si="19"/>
        <v>538.44492000000002</v>
      </c>
      <c r="N714" s="2">
        <f t="shared" si="20"/>
        <v>253.80149999999998</v>
      </c>
      <c r="O714">
        <v>190</v>
      </c>
    </row>
    <row r="715" spans="1:15" x14ac:dyDescent="0.25">
      <c r="A715" s="15"/>
      <c r="B715" s="15"/>
      <c r="C715">
        <v>20</v>
      </c>
      <c r="D715" s="3">
        <v>440</v>
      </c>
      <c r="E715" s="3">
        <v>110</v>
      </c>
      <c r="F715" s="3">
        <v>741.2</v>
      </c>
      <c r="G715" s="3">
        <v>1033.5999999999999</v>
      </c>
      <c r="H715" s="3">
        <v>0</v>
      </c>
      <c r="I715" s="10">
        <v>12.1</v>
      </c>
      <c r="J715" s="2">
        <v>148.9</v>
      </c>
      <c r="K715">
        <v>1</v>
      </c>
      <c r="L715" s="10">
        <v>44.8</v>
      </c>
      <c r="M715" s="2">
        <f t="shared" si="19"/>
        <v>447.39791999999994</v>
      </c>
      <c r="N715" s="2">
        <f t="shared" si="20"/>
        <v>212.5515</v>
      </c>
      <c r="O715">
        <v>210</v>
      </c>
    </row>
    <row r="716" spans="1:15" x14ac:dyDescent="0.25">
      <c r="A716" s="15"/>
      <c r="B716" s="15"/>
      <c r="C716">
        <v>20</v>
      </c>
      <c r="D716" s="3">
        <v>440</v>
      </c>
      <c r="E716" s="3">
        <v>110</v>
      </c>
      <c r="F716" s="3">
        <v>741.2</v>
      </c>
      <c r="G716" s="3">
        <v>1033.5999999999999</v>
      </c>
      <c r="H716" s="3">
        <v>0</v>
      </c>
      <c r="I716" s="10">
        <v>12.1</v>
      </c>
      <c r="J716" s="2">
        <v>148.9</v>
      </c>
      <c r="K716">
        <v>3</v>
      </c>
      <c r="L716" s="10">
        <v>73.599999999999994</v>
      </c>
      <c r="M716" s="2">
        <f t="shared" si="19"/>
        <v>447.39791999999994</v>
      </c>
      <c r="N716" s="2">
        <f t="shared" si="20"/>
        <v>212.5515</v>
      </c>
      <c r="O716">
        <v>210</v>
      </c>
    </row>
    <row r="717" spans="1:15" x14ac:dyDescent="0.25">
      <c r="A717" s="15"/>
      <c r="B717" s="15"/>
      <c r="C717">
        <v>20</v>
      </c>
      <c r="D717" s="3">
        <v>440</v>
      </c>
      <c r="E717" s="3">
        <v>110</v>
      </c>
      <c r="F717" s="3">
        <v>741.2</v>
      </c>
      <c r="G717" s="3">
        <v>1033.5999999999999</v>
      </c>
      <c r="H717" s="3">
        <v>0</v>
      </c>
      <c r="I717" s="10">
        <v>12.1</v>
      </c>
      <c r="J717" s="2">
        <v>148.9</v>
      </c>
      <c r="K717">
        <v>7</v>
      </c>
      <c r="L717" s="10">
        <v>87.5</v>
      </c>
      <c r="M717" s="2">
        <f t="shared" si="19"/>
        <v>447.39791999999994</v>
      </c>
      <c r="N717" s="2">
        <f t="shared" si="20"/>
        <v>212.5515</v>
      </c>
      <c r="O717">
        <v>210</v>
      </c>
    </row>
    <row r="718" spans="1:15" x14ac:dyDescent="0.25">
      <c r="A718" s="15"/>
      <c r="B718" s="15"/>
      <c r="C718">
        <v>20</v>
      </c>
      <c r="D718" s="3">
        <v>440</v>
      </c>
      <c r="E718" s="3">
        <v>110</v>
      </c>
      <c r="F718" s="3">
        <v>741.2</v>
      </c>
      <c r="G718" s="3">
        <v>1033.5999999999999</v>
      </c>
      <c r="H718" s="3">
        <v>0</v>
      </c>
      <c r="I718" s="10">
        <v>12.1</v>
      </c>
      <c r="J718" s="2">
        <v>148.9</v>
      </c>
      <c r="K718">
        <v>28</v>
      </c>
      <c r="L718" s="10">
        <v>98.1</v>
      </c>
      <c r="M718" s="2">
        <f t="shared" si="19"/>
        <v>447.39791999999994</v>
      </c>
      <c r="N718" s="2">
        <f t="shared" si="20"/>
        <v>212.5515</v>
      </c>
      <c r="O718">
        <v>210</v>
      </c>
    </row>
    <row r="719" spans="1:15" x14ac:dyDescent="0.25">
      <c r="A719" s="15"/>
      <c r="B719" s="15"/>
      <c r="C719">
        <v>40</v>
      </c>
      <c r="D719" s="3">
        <v>330</v>
      </c>
      <c r="E719" s="3">
        <v>220</v>
      </c>
      <c r="F719" s="3">
        <v>741.2</v>
      </c>
      <c r="G719" s="3">
        <v>1033.5999999999999</v>
      </c>
      <c r="H719" s="3">
        <v>0</v>
      </c>
      <c r="I719" s="10">
        <v>12.1</v>
      </c>
      <c r="J719" s="2">
        <v>148.9</v>
      </c>
      <c r="K719">
        <v>1</v>
      </c>
      <c r="L719" s="10">
        <v>35.5</v>
      </c>
      <c r="M719" s="2">
        <f t="shared" si="19"/>
        <v>356.35091999999992</v>
      </c>
      <c r="N719" s="2">
        <f t="shared" si="20"/>
        <v>171.3015</v>
      </c>
      <c r="O719">
        <v>225</v>
      </c>
    </row>
    <row r="720" spans="1:15" x14ac:dyDescent="0.25">
      <c r="A720" s="15"/>
      <c r="B720" s="15"/>
      <c r="C720">
        <v>40</v>
      </c>
      <c r="D720" s="3">
        <v>330</v>
      </c>
      <c r="E720" s="3">
        <v>220</v>
      </c>
      <c r="F720" s="3">
        <v>741.2</v>
      </c>
      <c r="G720" s="3">
        <v>1033.5999999999999</v>
      </c>
      <c r="H720" s="3">
        <v>0</v>
      </c>
      <c r="I720" s="10">
        <v>12.1</v>
      </c>
      <c r="J720" s="2">
        <v>148.9</v>
      </c>
      <c r="K720">
        <v>3</v>
      </c>
      <c r="L720" s="10">
        <v>65.5</v>
      </c>
      <c r="M720" s="2">
        <f t="shared" si="19"/>
        <v>356.35091999999992</v>
      </c>
      <c r="N720" s="2">
        <f t="shared" si="20"/>
        <v>171.3015</v>
      </c>
      <c r="O720">
        <v>225</v>
      </c>
    </row>
    <row r="721" spans="1:15" x14ac:dyDescent="0.25">
      <c r="A721" s="15"/>
      <c r="B721" s="15"/>
      <c r="C721">
        <v>40</v>
      </c>
      <c r="D721" s="3">
        <v>330</v>
      </c>
      <c r="E721" s="3">
        <v>220</v>
      </c>
      <c r="F721" s="3">
        <v>741.2</v>
      </c>
      <c r="G721" s="3">
        <v>1033.5999999999999</v>
      </c>
      <c r="H721" s="3">
        <v>0</v>
      </c>
      <c r="I721" s="10">
        <v>12.1</v>
      </c>
      <c r="J721" s="2">
        <v>148.9</v>
      </c>
      <c r="K721">
        <v>7</v>
      </c>
      <c r="L721" s="10">
        <v>83.9</v>
      </c>
      <c r="M721" s="2">
        <f t="shared" si="19"/>
        <v>356.35091999999992</v>
      </c>
      <c r="N721" s="2">
        <f t="shared" si="20"/>
        <v>171.3015</v>
      </c>
      <c r="O721">
        <v>225</v>
      </c>
    </row>
    <row r="722" spans="1:15" x14ac:dyDescent="0.25">
      <c r="A722" s="15"/>
      <c r="B722" s="15"/>
      <c r="C722">
        <v>40</v>
      </c>
      <c r="D722" s="3">
        <v>330</v>
      </c>
      <c r="E722" s="3">
        <v>220</v>
      </c>
      <c r="F722" s="3">
        <v>741.2</v>
      </c>
      <c r="G722" s="3">
        <v>1033.5999999999999</v>
      </c>
      <c r="H722" s="3">
        <v>0</v>
      </c>
      <c r="I722" s="10">
        <v>12.1</v>
      </c>
      <c r="J722" s="2">
        <v>148.9</v>
      </c>
      <c r="K722">
        <v>28</v>
      </c>
      <c r="L722" s="10">
        <v>103.5</v>
      </c>
      <c r="M722" s="2">
        <f t="shared" si="19"/>
        <v>356.35091999999992</v>
      </c>
      <c r="N722" s="2">
        <f t="shared" si="20"/>
        <v>171.3015</v>
      </c>
      <c r="O722">
        <v>225</v>
      </c>
    </row>
    <row r="723" spans="1:15" x14ac:dyDescent="0.25">
      <c r="A723" s="15"/>
      <c r="B723" s="15"/>
      <c r="C723">
        <v>60</v>
      </c>
      <c r="D723" s="3">
        <v>220</v>
      </c>
      <c r="E723" s="3">
        <v>330</v>
      </c>
      <c r="F723" s="3">
        <v>741.2</v>
      </c>
      <c r="G723" s="3">
        <v>1033.5999999999999</v>
      </c>
      <c r="H723" s="3">
        <v>0</v>
      </c>
      <c r="I723" s="10">
        <v>12.1</v>
      </c>
      <c r="J723" s="2">
        <v>148.9</v>
      </c>
      <c r="K723">
        <v>1</v>
      </c>
      <c r="L723" s="10">
        <v>25.8</v>
      </c>
      <c r="M723" s="2">
        <f t="shared" si="19"/>
        <v>265.30392000000001</v>
      </c>
      <c r="N723" s="2">
        <f t="shared" si="20"/>
        <v>130.0515</v>
      </c>
      <c r="O723">
        <v>230</v>
      </c>
    </row>
    <row r="724" spans="1:15" x14ac:dyDescent="0.25">
      <c r="A724" s="15"/>
      <c r="B724" s="15"/>
      <c r="C724">
        <v>60</v>
      </c>
      <c r="D724" s="3">
        <v>220</v>
      </c>
      <c r="E724" s="3">
        <v>330</v>
      </c>
      <c r="F724" s="3">
        <v>741.2</v>
      </c>
      <c r="G724" s="3">
        <v>1033.5999999999999</v>
      </c>
      <c r="H724" s="3">
        <v>0</v>
      </c>
      <c r="I724" s="10">
        <v>12.1</v>
      </c>
      <c r="J724" s="2">
        <v>148.9</v>
      </c>
      <c r="K724">
        <v>3</v>
      </c>
      <c r="L724" s="10">
        <v>49.9</v>
      </c>
      <c r="M724" s="2">
        <f t="shared" si="19"/>
        <v>265.30392000000001</v>
      </c>
      <c r="N724" s="2">
        <f t="shared" si="20"/>
        <v>130.0515</v>
      </c>
      <c r="O724">
        <v>230</v>
      </c>
    </row>
    <row r="725" spans="1:15" x14ac:dyDescent="0.25">
      <c r="A725" s="15"/>
      <c r="B725" s="15"/>
      <c r="C725">
        <v>60</v>
      </c>
      <c r="D725" s="3">
        <v>220</v>
      </c>
      <c r="E725" s="3">
        <v>330</v>
      </c>
      <c r="F725" s="3">
        <v>741.2</v>
      </c>
      <c r="G725" s="3">
        <v>1033.5999999999999</v>
      </c>
      <c r="H725" s="3">
        <v>0</v>
      </c>
      <c r="I725" s="10">
        <v>12.1</v>
      </c>
      <c r="J725" s="2">
        <v>148.9</v>
      </c>
      <c r="K725">
        <v>7</v>
      </c>
      <c r="L725" s="10">
        <v>78.8</v>
      </c>
      <c r="M725" s="2">
        <f t="shared" si="19"/>
        <v>265.30392000000001</v>
      </c>
      <c r="N725" s="2">
        <f t="shared" si="20"/>
        <v>130.0515</v>
      </c>
      <c r="O725">
        <v>230</v>
      </c>
    </row>
    <row r="726" spans="1:15" x14ac:dyDescent="0.25">
      <c r="A726" s="15"/>
      <c r="B726" s="15"/>
      <c r="C726">
        <v>60</v>
      </c>
      <c r="D726" s="3">
        <v>220</v>
      </c>
      <c r="E726" s="3">
        <v>330</v>
      </c>
      <c r="F726" s="3">
        <v>741.2</v>
      </c>
      <c r="G726" s="3">
        <v>1033.5999999999999</v>
      </c>
      <c r="H726" s="3">
        <v>0</v>
      </c>
      <c r="I726" s="10">
        <v>12.1</v>
      </c>
      <c r="J726" s="2">
        <v>148.9</v>
      </c>
      <c r="K726">
        <v>28</v>
      </c>
      <c r="L726" s="10">
        <v>98.1</v>
      </c>
      <c r="M726" s="2">
        <f t="shared" si="19"/>
        <v>217.86167999999998</v>
      </c>
      <c r="N726" s="2">
        <f t="shared" si="20"/>
        <v>130.0515</v>
      </c>
      <c r="O726">
        <v>230</v>
      </c>
    </row>
    <row r="727" spans="1:15" x14ac:dyDescent="0.25">
      <c r="M727" s="2" t="s">
        <v>316</v>
      </c>
    </row>
  </sheetData>
  <mergeCells count="44">
    <mergeCell ref="A444:A515"/>
    <mergeCell ref="A99:A142"/>
    <mergeCell ref="A143:A186"/>
    <mergeCell ref="B444:B515"/>
    <mergeCell ref="A516:A543"/>
    <mergeCell ref="B208:B251"/>
    <mergeCell ref="B252:B295"/>
    <mergeCell ref="B296:B339"/>
    <mergeCell ref="B340:B383"/>
    <mergeCell ref="B417:B443"/>
    <mergeCell ref="B384:B416"/>
    <mergeCell ref="A417:A443"/>
    <mergeCell ref="A340:A383"/>
    <mergeCell ref="A384:A416"/>
    <mergeCell ref="A544:A563"/>
    <mergeCell ref="B544:B563"/>
    <mergeCell ref="A2:A10"/>
    <mergeCell ref="B2:B10"/>
    <mergeCell ref="A187:A207"/>
    <mergeCell ref="B187:B207"/>
    <mergeCell ref="B516:B543"/>
    <mergeCell ref="B11:B54"/>
    <mergeCell ref="B55:B98"/>
    <mergeCell ref="B99:B142"/>
    <mergeCell ref="B143:B186"/>
    <mergeCell ref="A208:A251"/>
    <mergeCell ref="A252:A295"/>
    <mergeCell ref="A296:A339"/>
    <mergeCell ref="A11:A54"/>
    <mergeCell ref="A55:A98"/>
    <mergeCell ref="B711:B726"/>
    <mergeCell ref="B564:B605"/>
    <mergeCell ref="B606:B665"/>
    <mergeCell ref="B666:B686"/>
    <mergeCell ref="B697:B704"/>
    <mergeCell ref="B705:B710"/>
    <mergeCell ref="B687:B696"/>
    <mergeCell ref="A697:A704"/>
    <mergeCell ref="A705:A710"/>
    <mergeCell ref="A711:A726"/>
    <mergeCell ref="A564:A605"/>
    <mergeCell ref="A606:A665"/>
    <mergeCell ref="A666:A686"/>
    <mergeCell ref="A687:A696"/>
  </mergeCells>
  <hyperlinks>
    <hyperlink ref="B2" r:id="rId1" display="https://pubs.aip.org/aip/acp/article-pdf/doi/10.1063/1.5062695/14046503/020069_1_online.pdf" xr:uid="{5B751636-1733-492E-9FAB-13806C318526}"/>
    <hyperlink ref="B187" r:id="rId2" display="https://www.researchgate.net/publication/333893210_Influence_of_Palm_Oil_Fuel_Ash_on_Properties_of_High-Strength_Green_Concrete" xr:uid="{A6685F2D-0B4C-473A-AA74-24ACDC703148}"/>
  </hyperlinks>
  <pageMargins left="0.75" right="0.75" top="1" bottom="1" header="0.5" footer="0.5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41"/>
  <sheetViews>
    <sheetView topLeftCell="A928" zoomScale="87" zoomScaleNormal="87" workbookViewId="0">
      <selection activeCell="E682" sqref="E682"/>
    </sheetView>
  </sheetViews>
  <sheetFormatPr defaultRowHeight="15" x14ac:dyDescent="0.25"/>
  <cols>
    <col min="2" max="2" width="15.7109375" customWidth="1"/>
    <col min="3" max="3" width="17.140625" customWidth="1"/>
    <col min="4" max="4" width="14.140625" customWidth="1"/>
    <col min="5" max="5" width="14.7109375" customWidth="1"/>
    <col min="6" max="6" width="21.42578125" bestFit="1" customWidth="1"/>
    <col min="7" max="7" width="21.5703125" customWidth="1"/>
    <col min="8" max="9" width="32.140625" customWidth="1"/>
    <col min="10" max="10" width="26.85546875" customWidth="1"/>
    <col min="11" max="11" width="26.140625" customWidth="1"/>
    <col min="12" max="12" width="15.42578125" customWidth="1"/>
    <col min="13" max="13" width="15.7109375" customWidth="1"/>
    <col min="14" max="14" width="26.42578125" style="10" customWidth="1"/>
    <col min="15" max="15" width="17.42578125" customWidth="1"/>
    <col min="16" max="16" width="17.28515625" customWidth="1"/>
    <col min="17" max="17" width="13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32</v>
      </c>
      <c r="I1" s="1" t="s">
        <v>397</v>
      </c>
      <c r="J1" s="1" t="s">
        <v>341</v>
      </c>
      <c r="K1" s="1" t="s">
        <v>7</v>
      </c>
      <c r="L1" s="1" t="s">
        <v>8</v>
      </c>
      <c r="M1" s="1" t="s">
        <v>9</v>
      </c>
      <c r="N1" s="11" t="s">
        <v>10</v>
      </c>
      <c r="O1" s="14" t="s">
        <v>407</v>
      </c>
      <c r="P1" s="1" t="s">
        <v>406</v>
      </c>
      <c r="Q1" s="1" t="s">
        <v>11</v>
      </c>
    </row>
    <row r="2" spans="1:17" x14ac:dyDescent="0.25">
      <c r="A2" s="19" t="s">
        <v>33</v>
      </c>
      <c r="B2" s="19" t="s">
        <v>34</v>
      </c>
      <c r="C2">
        <v>0</v>
      </c>
      <c r="D2">
        <v>382.6</v>
      </c>
      <c r="E2">
        <v>0</v>
      </c>
      <c r="F2">
        <v>482.45</v>
      </c>
      <c r="G2">
        <v>1394.05</v>
      </c>
      <c r="H2">
        <v>0</v>
      </c>
      <c r="I2">
        <v>0</v>
      </c>
      <c r="J2">
        <v>0</v>
      </c>
      <c r="K2">
        <v>3.83</v>
      </c>
      <c r="L2">
        <v>153</v>
      </c>
      <c r="M2">
        <v>7</v>
      </c>
      <c r="N2" s="10">
        <v>25.94</v>
      </c>
      <c r="O2" s="2">
        <f t="shared" ref="O2:O65" si="0">SUM((D2*0.83)+(E2*0.1032)+(F2*0.0139)+(G2*0.0459)+(K2*2))</f>
        <v>395.91095000000001</v>
      </c>
      <c r="P2" s="2">
        <f>SUM((D2*5)+((F2*0.25)+(G2*0.2)+(K2*20)))*0.075</f>
        <v>179.17668749999999</v>
      </c>
      <c r="Q2">
        <v>0</v>
      </c>
    </row>
    <row r="3" spans="1:17" x14ac:dyDescent="0.25">
      <c r="A3" s="15"/>
      <c r="B3" s="15"/>
      <c r="C3">
        <v>0</v>
      </c>
      <c r="D3">
        <v>382.6</v>
      </c>
      <c r="E3">
        <v>0</v>
      </c>
      <c r="F3">
        <v>482.45</v>
      </c>
      <c r="G3">
        <v>1394.05</v>
      </c>
      <c r="H3">
        <v>0</v>
      </c>
      <c r="I3">
        <v>0</v>
      </c>
      <c r="J3">
        <v>0</v>
      </c>
      <c r="K3">
        <v>3.83</v>
      </c>
      <c r="L3">
        <v>153</v>
      </c>
      <c r="M3">
        <v>14</v>
      </c>
      <c r="N3" s="10">
        <v>26.03</v>
      </c>
      <c r="O3" s="2">
        <f t="shared" si="0"/>
        <v>395.91095000000001</v>
      </c>
      <c r="P3" s="2">
        <f t="shared" ref="P3:P66" si="1">SUM((D3*5)+((F3*0.25)+(G3*0.2)+(K3*20)))*0.075</f>
        <v>179.17668749999999</v>
      </c>
      <c r="Q3">
        <v>0</v>
      </c>
    </row>
    <row r="4" spans="1:17" x14ac:dyDescent="0.25">
      <c r="A4" s="15"/>
      <c r="B4" s="15"/>
      <c r="C4">
        <v>0</v>
      </c>
      <c r="D4">
        <v>382.6</v>
      </c>
      <c r="E4">
        <v>0</v>
      </c>
      <c r="F4">
        <v>482.45</v>
      </c>
      <c r="G4">
        <v>1394.05</v>
      </c>
      <c r="H4">
        <v>0</v>
      </c>
      <c r="I4">
        <v>0</v>
      </c>
      <c r="J4">
        <v>0</v>
      </c>
      <c r="K4">
        <v>3.83</v>
      </c>
      <c r="L4">
        <v>153</v>
      </c>
      <c r="M4">
        <v>56</v>
      </c>
      <c r="N4" s="10">
        <v>32.44</v>
      </c>
      <c r="O4" s="2">
        <f t="shared" si="0"/>
        <v>395.91095000000001</v>
      </c>
      <c r="P4" s="2">
        <f t="shared" si="1"/>
        <v>179.17668749999999</v>
      </c>
      <c r="Q4">
        <v>0</v>
      </c>
    </row>
    <row r="5" spans="1:17" x14ac:dyDescent="0.25">
      <c r="A5" s="15"/>
      <c r="B5" s="15"/>
      <c r="C5">
        <v>0</v>
      </c>
      <c r="D5">
        <v>382.6</v>
      </c>
      <c r="E5">
        <v>0</v>
      </c>
      <c r="F5">
        <v>482.45</v>
      </c>
      <c r="G5">
        <v>1394.05</v>
      </c>
      <c r="H5">
        <v>0</v>
      </c>
      <c r="I5">
        <v>0</v>
      </c>
      <c r="J5">
        <v>0</v>
      </c>
      <c r="K5">
        <v>3.83</v>
      </c>
      <c r="L5">
        <v>153</v>
      </c>
      <c r="M5">
        <v>90</v>
      </c>
      <c r="N5" s="10">
        <v>32.01</v>
      </c>
      <c r="O5" s="2">
        <f t="shared" si="0"/>
        <v>395.91095000000001</v>
      </c>
      <c r="P5" s="2">
        <f t="shared" si="1"/>
        <v>179.17668749999999</v>
      </c>
      <c r="Q5">
        <v>0</v>
      </c>
    </row>
    <row r="6" spans="1:17" x14ac:dyDescent="0.25">
      <c r="A6" s="15"/>
      <c r="B6" s="15"/>
      <c r="C6">
        <v>5</v>
      </c>
      <c r="D6">
        <v>363.47</v>
      </c>
      <c r="E6">
        <v>19.13</v>
      </c>
      <c r="F6">
        <v>482.45</v>
      </c>
      <c r="G6">
        <v>1394.05</v>
      </c>
      <c r="H6">
        <v>0</v>
      </c>
      <c r="I6">
        <v>0</v>
      </c>
      <c r="J6">
        <v>0</v>
      </c>
      <c r="K6">
        <v>3.83</v>
      </c>
      <c r="L6">
        <v>153</v>
      </c>
      <c r="M6">
        <v>7</v>
      </c>
      <c r="N6" s="10">
        <v>20.94</v>
      </c>
      <c r="O6" s="2">
        <f t="shared" si="0"/>
        <v>382.00726600000002</v>
      </c>
      <c r="P6" s="2">
        <f t="shared" si="1"/>
        <v>172.00293750000003</v>
      </c>
      <c r="Q6">
        <v>0</v>
      </c>
    </row>
    <row r="7" spans="1:17" x14ac:dyDescent="0.25">
      <c r="A7" s="15"/>
      <c r="B7" s="15"/>
      <c r="C7">
        <v>5</v>
      </c>
      <c r="D7">
        <v>363.47</v>
      </c>
      <c r="E7">
        <v>19.13</v>
      </c>
      <c r="F7">
        <v>482.45</v>
      </c>
      <c r="G7">
        <v>1394.05</v>
      </c>
      <c r="H7">
        <v>0</v>
      </c>
      <c r="I7">
        <v>0</v>
      </c>
      <c r="J7">
        <v>0</v>
      </c>
      <c r="K7">
        <v>3.83</v>
      </c>
      <c r="L7">
        <v>153</v>
      </c>
      <c r="M7">
        <v>14</v>
      </c>
      <c r="N7" s="10">
        <v>23.08</v>
      </c>
      <c r="O7" s="2">
        <f t="shared" si="0"/>
        <v>382.00726600000002</v>
      </c>
      <c r="P7" s="2">
        <f t="shared" si="1"/>
        <v>172.00293750000003</v>
      </c>
      <c r="Q7">
        <v>0</v>
      </c>
    </row>
    <row r="8" spans="1:17" x14ac:dyDescent="0.25">
      <c r="A8" s="15"/>
      <c r="B8" s="15"/>
      <c r="C8">
        <v>5</v>
      </c>
      <c r="D8">
        <v>363.47</v>
      </c>
      <c r="E8">
        <v>19.13</v>
      </c>
      <c r="F8">
        <v>482.45</v>
      </c>
      <c r="G8">
        <v>1394.05</v>
      </c>
      <c r="H8">
        <v>0</v>
      </c>
      <c r="I8">
        <v>0</v>
      </c>
      <c r="J8">
        <v>0</v>
      </c>
      <c r="K8">
        <v>3.83</v>
      </c>
      <c r="L8">
        <v>153</v>
      </c>
      <c r="M8">
        <v>56</v>
      </c>
      <c r="N8" s="10">
        <v>30.4</v>
      </c>
      <c r="O8" s="2">
        <f t="shared" si="0"/>
        <v>382.00726600000002</v>
      </c>
      <c r="P8" s="2">
        <f t="shared" si="1"/>
        <v>172.00293750000003</v>
      </c>
      <c r="Q8">
        <v>0</v>
      </c>
    </row>
    <row r="9" spans="1:17" x14ac:dyDescent="0.25">
      <c r="A9" s="15"/>
      <c r="B9" s="15"/>
      <c r="C9">
        <v>5</v>
      </c>
      <c r="D9">
        <v>363.47</v>
      </c>
      <c r="E9">
        <v>19.13</v>
      </c>
      <c r="F9">
        <v>482.45</v>
      </c>
      <c r="G9">
        <v>1394.05</v>
      </c>
      <c r="H9">
        <v>0</v>
      </c>
      <c r="I9">
        <v>0</v>
      </c>
      <c r="J9">
        <v>0</v>
      </c>
      <c r="K9">
        <v>3.83</v>
      </c>
      <c r="L9">
        <v>153</v>
      </c>
      <c r="M9">
        <v>90</v>
      </c>
      <c r="N9" s="10">
        <v>34.4</v>
      </c>
      <c r="O9" s="2">
        <f t="shared" si="0"/>
        <v>382.00726600000002</v>
      </c>
      <c r="P9" s="2">
        <f t="shared" si="1"/>
        <v>172.00293750000003</v>
      </c>
      <c r="Q9">
        <v>0</v>
      </c>
    </row>
    <row r="10" spans="1:17" x14ac:dyDescent="0.25">
      <c r="A10" s="15"/>
      <c r="B10" s="15"/>
      <c r="C10">
        <v>10</v>
      </c>
      <c r="D10">
        <v>344.34</v>
      </c>
      <c r="E10">
        <v>38.26</v>
      </c>
      <c r="F10">
        <v>482.45</v>
      </c>
      <c r="G10">
        <v>1394.05</v>
      </c>
      <c r="H10">
        <v>0</v>
      </c>
      <c r="I10">
        <v>0</v>
      </c>
      <c r="J10">
        <v>0</v>
      </c>
      <c r="K10">
        <v>3.83</v>
      </c>
      <c r="L10">
        <v>153</v>
      </c>
      <c r="M10">
        <v>7</v>
      </c>
      <c r="N10" s="10">
        <v>21.1</v>
      </c>
      <c r="O10" s="2">
        <f t="shared" si="0"/>
        <v>368.10358200000002</v>
      </c>
      <c r="P10" s="2">
        <f t="shared" si="1"/>
        <v>164.82918749999999</v>
      </c>
      <c r="Q10">
        <v>0</v>
      </c>
    </row>
    <row r="11" spans="1:17" x14ac:dyDescent="0.25">
      <c r="A11" s="15"/>
      <c r="B11" s="15"/>
      <c r="C11">
        <v>10</v>
      </c>
      <c r="D11">
        <v>344.34</v>
      </c>
      <c r="E11">
        <v>38.26</v>
      </c>
      <c r="F11">
        <v>482.45</v>
      </c>
      <c r="G11">
        <v>1394.05</v>
      </c>
      <c r="H11">
        <v>0</v>
      </c>
      <c r="I11">
        <v>0</v>
      </c>
      <c r="J11">
        <v>0</v>
      </c>
      <c r="K11">
        <v>3.83</v>
      </c>
      <c r="L11">
        <v>153</v>
      </c>
      <c r="M11">
        <v>14</v>
      </c>
      <c r="N11" s="10">
        <v>27.29</v>
      </c>
      <c r="O11" s="2">
        <f t="shared" si="0"/>
        <v>368.10358200000002</v>
      </c>
      <c r="P11" s="2">
        <f t="shared" si="1"/>
        <v>164.82918749999999</v>
      </c>
      <c r="Q11">
        <v>0</v>
      </c>
    </row>
    <row r="12" spans="1:17" x14ac:dyDescent="0.25">
      <c r="A12" s="15"/>
      <c r="B12" s="15"/>
      <c r="C12">
        <v>10</v>
      </c>
      <c r="D12">
        <v>344.34</v>
      </c>
      <c r="E12">
        <v>38.26</v>
      </c>
      <c r="F12">
        <v>482.45</v>
      </c>
      <c r="G12">
        <v>1394.05</v>
      </c>
      <c r="H12">
        <v>0</v>
      </c>
      <c r="I12">
        <v>0</v>
      </c>
      <c r="J12">
        <v>0</v>
      </c>
      <c r="K12">
        <v>3.83</v>
      </c>
      <c r="L12">
        <v>153</v>
      </c>
      <c r="M12">
        <v>56</v>
      </c>
      <c r="N12" s="10">
        <v>29.65</v>
      </c>
      <c r="O12" s="2">
        <f t="shared" si="0"/>
        <v>368.10358200000002</v>
      </c>
      <c r="P12" s="2">
        <f t="shared" si="1"/>
        <v>164.82918749999999</v>
      </c>
      <c r="Q12">
        <v>0</v>
      </c>
    </row>
    <row r="13" spans="1:17" x14ac:dyDescent="0.25">
      <c r="A13" s="15"/>
      <c r="B13" s="15"/>
      <c r="C13">
        <v>10</v>
      </c>
      <c r="D13">
        <v>344.34</v>
      </c>
      <c r="E13">
        <v>38.26</v>
      </c>
      <c r="F13">
        <v>482.45</v>
      </c>
      <c r="G13">
        <v>1394.05</v>
      </c>
      <c r="H13">
        <v>0</v>
      </c>
      <c r="I13">
        <v>0</v>
      </c>
      <c r="J13">
        <v>0</v>
      </c>
      <c r="K13">
        <v>3.83</v>
      </c>
      <c r="L13">
        <v>153</v>
      </c>
      <c r="M13">
        <v>90</v>
      </c>
      <c r="N13" s="10">
        <v>32.47</v>
      </c>
      <c r="O13" s="2">
        <f t="shared" si="0"/>
        <v>368.10358200000002</v>
      </c>
      <c r="P13" s="2">
        <f t="shared" si="1"/>
        <v>164.82918749999999</v>
      </c>
      <c r="Q13">
        <v>0</v>
      </c>
    </row>
    <row r="14" spans="1:17" x14ac:dyDescent="0.25">
      <c r="A14" s="15"/>
      <c r="B14" s="15"/>
      <c r="C14">
        <v>15</v>
      </c>
      <c r="D14">
        <v>325.20999999999998</v>
      </c>
      <c r="E14">
        <v>57.39</v>
      </c>
      <c r="F14">
        <v>482.45</v>
      </c>
      <c r="G14">
        <v>1394.05</v>
      </c>
      <c r="H14">
        <v>0</v>
      </c>
      <c r="I14">
        <v>0</v>
      </c>
      <c r="J14">
        <v>0</v>
      </c>
      <c r="K14">
        <v>3.83</v>
      </c>
      <c r="L14">
        <v>153</v>
      </c>
      <c r="M14">
        <v>7</v>
      </c>
      <c r="N14" s="10">
        <v>21.27</v>
      </c>
      <c r="O14" s="2">
        <f t="shared" si="0"/>
        <v>354.19989799999996</v>
      </c>
      <c r="P14" s="2">
        <f t="shared" si="1"/>
        <v>157.65543750000001</v>
      </c>
      <c r="Q14">
        <v>0</v>
      </c>
    </row>
    <row r="15" spans="1:17" x14ac:dyDescent="0.25">
      <c r="A15" s="15"/>
      <c r="B15" s="15"/>
      <c r="C15">
        <v>15</v>
      </c>
      <c r="D15">
        <v>325.20999999999998</v>
      </c>
      <c r="E15">
        <v>57.39</v>
      </c>
      <c r="F15">
        <v>482.45</v>
      </c>
      <c r="G15">
        <v>1394.05</v>
      </c>
      <c r="H15">
        <v>0</v>
      </c>
      <c r="I15">
        <v>0</v>
      </c>
      <c r="J15">
        <v>0</v>
      </c>
      <c r="K15">
        <v>3.83</v>
      </c>
      <c r="L15">
        <v>153</v>
      </c>
      <c r="M15">
        <v>14</v>
      </c>
      <c r="N15" s="10">
        <v>24.37</v>
      </c>
      <c r="O15" s="2">
        <f t="shared" si="0"/>
        <v>354.19989799999996</v>
      </c>
      <c r="P15" s="2">
        <f t="shared" si="1"/>
        <v>157.65543750000001</v>
      </c>
      <c r="Q15">
        <v>0</v>
      </c>
    </row>
    <row r="16" spans="1:17" x14ac:dyDescent="0.25">
      <c r="A16" s="15"/>
      <c r="B16" s="15"/>
      <c r="C16">
        <v>15</v>
      </c>
      <c r="D16">
        <v>325.20999999999998</v>
      </c>
      <c r="E16">
        <v>57.39</v>
      </c>
      <c r="F16">
        <v>482.45</v>
      </c>
      <c r="G16">
        <v>1394.05</v>
      </c>
      <c r="H16">
        <v>0</v>
      </c>
      <c r="I16">
        <v>0</v>
      </c>
      <c r="J16">
        <v>0</v>
      </c>
      <c r="K16">
        <v>3.83</v>
      </c>
      <c r="L16">
        <v>153</v>
      </c>
      <c r="M16">
        <v>56</v>
      </c>
      <c r="N16" s="10">
        <v>22.74</v>
      </c>
      <c r="O16" s="2">
        <f t="shared" si="0"/>
        <v>354.19989799999996</v>
      </c>
      <c r="P16" s="2">
        <f t="shared" si="1"/>
        <v>157.65543750000001</v>
      </c>
      <c r="Q16">
        <v>0</v>
      </c>
    </row>
    <row r="17" spans="1:17" x14ac:dyDescent="0.25">
      <c r="A17" s="15"/>
      <c r="B17" s="15"/>
      <c r="C17">
        <v>15</v>
      </c>
      <c r="D17">
        <v>325.20999999999998</v>
      </c>
      <c r="E17">
        <v>57.39</v>
      </c>
      <c r="F17">
        <v>482.45</v>
      </c>
      <c r="G17">
        <v>1394.05</v>
      </c>
      <c r="H17">
        <v>0</v>
      </c>
      <c r="I17">
        <v>0</v>
      </c>
      <c r="J17">
        <v>0</v>
      </c>
      <c r="K17">
        <v>3.83</v>
      </c>
      <c r="L17">
        <v>153</v>
      </c>
      <c r="M17">
        <v>90</v>
      </c>
      <c r="N17" s="10">
        <v>31.9</v>
      </c>
      <c r="O17" s="2">
        <f t="shared" si="0"/>
        <v>354.19989799999996</v>
      </c>
      <c r="P17" s="2">
        <f t="shared" si="1"/>
        <v>157.65543750000001</v>
      </c>
      <c r="Q17">
        <v>0</v>
      </c>
    </row>
    <row r="18" spans="1:17" x14ac:dyDescent="0.25">
      <c r="A18" s="15"/>
      <c r="B18" s="15"/>
      <c r="C18">
        <v>20</v>
      </c>
      <c r="D18">
        <v>306.08</v>
      </c>
      <c r="E18">
        <v>76.52</v>
      </c>
      <c r="F18">
        <v>482.45</v>
      </c>
      <c r="G18">
        <v>1394.05</v>
      </c>
      <c r="H18">
        <v>0</v>
      </c>
      <c r="I18">
        <v>0</v>
      </c>
      <c r="J18">
        <v>0</v>
      </c>
      <c r="K18">
        <v>3.83</v>
      </c>
      <c r="L18">
        <v>153</v>
      </c>
      <c r="M18">
        <v>7</v>
      </c>
      <c r="N18" s="10">
        <v>19.260000000000002</v>
      </c>
      <c r="O18" s="2">
        <f t="shared" si="0"/>
        <v>340.29621400000002</v>
      </c>
      <c r="P18" s="2">
        <f t="shared" si="1"/>
        <v>150.48168749999999</v>
      </c>
      <c r="Q18">
        <v>0</v>
      </c>
    </row>
    <row r="19" spans="1:17" x14ac:dyDescent="0.25">
      <c r="A19" s="15"/>
      <c r="B19" s="15"/>
      <c r="C19">
        <v>20</v>
      </c>
      <c r="D19">
        <v>306.08</v>
      </c>
      <c r="E19">
        <v>76.52</v>
      </c>
      <c r="F19">
        <v>482.45</v>
      </c>
      <c r="G19">
        <v>1394.05</v>
      </c>
      <c r="H19">
        <v>0</v>
      </c>
      <c r="I19">
        <v>0</v>
      </c>
      <c r="J19">
        <v>0</v>
      </c>
      <c r="K19">
        <v>3.83</v>
      </c>
      <c r="L19">
        <v>153</v>
      </c>
      <c r="M19">
        <v>14</v>
      </c>
      <c r="N19" s="10">
        <v>27.51</v>
      </c>
      <c r="O19" s="2">
        <f t="shared" si="0"/>
        <v>340.29621400000002</v>
      </c>
      <c r="P19" s="2">
        <f t="shared" si="1"/>
        <v>150.48168749999999</v>
      </c>
      <c r="Q19">
        <v>0</v>
      </c>
    </row>
    <row r="20" spans="1:17" x14ac:dyDescent="0.25">
      <c r="A20" s="15"/>
      <c r="B20" s="15"/>
      <c r="C20">
        <v>20</v>
      </c>
      <c r="D20">
        <v>306.08</v>
      </c>
      <c r="E20">
        <v>76.52</v>
      </c>
      <c r="F20">
        <v>482.45</v>
      </c>
      <c r="G20">
        <v>1394.05</v>
      </c>
      <c r="H20">
        <v>0</v>
      </c>
      <c r="I20">
        <v>0</v>
      </c>
      <c r="J20">
        <v>0</v>
      </c>
      <c r="K20">
        <v>3.83</v>
      </c>
      <c r="L20">
        <v>153</v>
      </c>
      <c r="M20">
        <v>56</v>
      </c>
      <c r="N20" s="10">
        <v>26.19</v>
      </c>
      <c r="O20" s="2">
        <f t="shared" si="0"/>
        <v>340.29621400000002</v>
      </c>
      <c r="P20" s="2">
        <f t="shared" si="1"/>
        <v>150.48168749999999</v>
      </c>
      <c r="Q20">
        <v>0</v>
      </c>
    </row>
    <row r="21" spans="1:17" x14ac:dyDescent="0.25">
      <c r="A21" s="15"/>
      <c r="B21" s="15"/>
      <c r="C21">
        <v>20</v>
      </c>
      <c r="D21">
        <v>306.08</v>
      </c>
      <c r="E21">
        <v>76.52</v>
      </c>
      <c r="F21">
        <v>482.45</v>
      </c>
      <c r="G21">
        <v>1394.05</v>
      </c>
      <c r="H21">
        <v>0</v>
      </c>
      <c r="I21">
        <v>0</v>
      </c>
      <c r="J21">
        <v>0</v>
      </c>
      <c r="K21">
        <v>3.83</v>
      </c>
      <c r="L21">
        <v>153</v>
      </c>
      <c r="M21">
        <v>90</v>
      </c>
      <c r="N21" s="10">
        <v>31.85</v>
      </c>
      <c r="O21" s="2">
        <f t="shared" si="0"/>
        <v>340.29621400000002</v>
      </c>
      <c r="P21" s="2">
        <f t="shared" si="1"/>
        <v>150.48168749999999</v>
      </c>
      <c r="Q21">
        <v>0</v>
      </c>
    </row>
    <row r="22" spans="1:17" x14ac:dyDescent="0.25">
      <c r="A22" s="15"/>
      <c r="B22" s="15"/>
      <c r="C22">
        <v>25</v>
      </c>
      <c r="D22">
        <v>286.95</v>
      </c>
      <c r="E22">
        <v>95.65</v>
      </c>
      <c r="F22">
        <v>482.45</v>
      </c>
      <c r="G22">
        <v>1394.05</v>
      </c>
      <c r="H22">
        <v>0</v>
      </c>
      <c r="I22">
        <v>0</v>
      </c>
      <c r="J22">
        <v>0</v>
      </c>
      <c r="K22">
        <v>3.83</v>
      </c>
      <c r="L22">
        <v>153</v>
      </c>
      <c r="M22">
        <v>7</v>
      </c>
      <c r="N22" s="10">
        <v>18.95</v>
      </c>
      <c r="O22" s="2">
        <f t="shared" si="0"/>
        <v>326.39253000000002</v>
      </c>
      <c r="P22" s="2">
        <f t="shared" si="1"/>
        <v>143.30793750000001</v>
      </c>
      <c r="Q22">
        <v>0</v>
      </c>
    </row>
    <row r="23" spans="1:17" x14ac:dyDescent="0.25">
      <c r="A23" s="15"/>
      <c r="B23" s="15"/>
      <c r="C23">
        <v>25</v>
      </c>
      <c r="D23">
        <v>286.95</v>
      </c>
      <c r="E23">
        <v>95.65</v>
      </c>
      <c r="F23">
        <v>482.45</v>
      </c>
      <c r="G23">
        <v>1394.05</v>
      </c>
      <c r="H23">
        <v>0</v>
      </c>
      <c r="I23">
        <v>0</v>
      </c>
      <c r="J23">
        <v>0</v>
      </c>
      <c r="K23">
        <v>3.83</v>
      </c>
      <c r="L23">
        <v>153</v>
      </c>
      <c r="M23">
        <v>14</v>
      </c>
      <c r="N23" s="10">
        <v>20.69</v>
      </c>
      <c r="O23" s="2">
        <f t="shared" si="0"/>
        <v>326.39253000000002</v>
      </c>
      <c r="P23" s="2">
        <f t="shared" si="1"/>
        <v>143.30793750000001</v>
      </c>
      <c r="Q23">
        <v>0</v>
      </c>
    </row>
    <row r="24" spans="1:17" x14ac:dyDescent="0.25">
      <c r="A24" s="15"/>
      <c r="B24" s="15"/>
      <c r="C24">
        <v>25</v>
      </c>
      <c r="D24">
        <v>286.95</v>
      </c>
      <c r="E24">
        <v>95.65</v>
      </c>
      <c r="F24">
        <v>482.45</v>
      </c>
      <c r="G24">
        <v>1394.05</v>
      </c>
      <c r="H24">
        <v>0</v>
      </c>
      <c r="I24">
        <v>0</v>
      </c>
      <c r="J24">
        <v>0</v>
      </c>
      <c r="K24">
        <v>3.83</v>
      </c>
      <c r="L24">
        <v>153</v>
      </c>
      <c r="M24">
        <v>56</v>
      </c>
      <c r="N24" s="10">
        <v>29.95</v>
      </c>
      <c r="O24" s="2">
        <f t="shared" si="0"/>
        <v>326.39253000000002</v>
      </c>
      <c r="P24" s="2">
        <f t="shared" si="1"/>
        <v>143.30793750000001</v>
      </c>
      <c r="Q24">
        <v>0</v>
      </c>
    </row>
    <row r="25" spans="1:17" x14ac:dyDescent="0.25">
      <c r="A25" s="15"/>
      <c r="B25" s="15"/>
      <c r="C25">
        <v>25</v>
      </c>
      <c r="D25">
        <v>286.95</v>
      </c>
      <c r="E25">
        <v>95.65</v>
      </c>
      <c r="F25">
        <v>482.45</v>
      </c>
      <c r="G25">
        <v>1394.05</v>
      </c>
      <c r="H25">
        <v>0</v>
      </c>
      <c r="I25">
        <v>0</v>
      </c>
      <c r="J25">
        <v>0</v>
      </c>
      <c r="K25">
        <v>3.83</v>
      </c>
      <c r="L25">
        <v>153</v>
      </c>
      <c r="M25">
        <v>90</v>
      </c>
      <c r="N25" s="10">
        <v>27.6</v>
      </c>
      <c r="O25" s="2">
        <f t="shared" si="0"/>
        <v>326.39253000000002</v>
      </c>
      <c r="P25" s="2">
        <f t="shared" si="1"/>
        <v>143.30793750000001</v>
      </c>
      <c r="Q25">
        <v>0</v>
      </c>
    </row>
    <row r="26" spans="1:17" x14ac:dyDescent="0.25">
      <c r="A26" s="15"/>
      <c r="B26" s="15"/>
      <c r="C26">
        <v>30</v>
      </c>
      <c r="D26">
        <v>267.82</v>
      </c>
      <c r="E26">
        <v>114.78</v>
      </c>
      <c r="F26">
        <v>482.45</v>
      </c>
      <c r="G26">
        <v>1394.05</v>
      </c>
      <c r="H26">
        <v>0</v>
      </c>
      <c r="I26">
        <v>0</v>
      </c>
      <c r="J26">
        <v>0</v>
      </c>
      <c r="K26">
        <v>3.83</v>
      </c>
      <c r="L26">
        <v>153</v>
      </c>
      <c r="M26">
        <v>7</v>
      </c>
      <c r="N26" s="10">
        <v>16.7</v>
      </c>
      <c r="O26" s="2">
        <f t="shared" si="0"/>
        <v>312.48884600000002</v>
      </c>
      <c r="P26" s="2">
        <f t="shared" si="1"/>
        <v>136.1341875</v>
      </c>
      <c r="Q26">
        <v>0</v>
      </c>
    </row>
    <row r="27" spans="1:17" x14ac:dyDescent="0.25">
      <c r="A27" s="15"/>
      <c r="B27" s="15"/>
      <c r="C27">
        <v>30</v>
      </c>
      <c r="D27">
        <v>267.82</v>
      </c>
      <c r="E27">
        <v>114.78</v>
      </c>
      <c r="F27">
        <v>482.45</v>
      </c>
      <c r="G27">
        <v>1394.05</v>
      </c>
      <c r="H27">
        <v>0</v>
      </c>
      <c r="I27">
        <v>0</v>
      </c>
      <c r="J27">
        <v>0</v>
      </c>
      <c r="K27">
        <v>3.83</v>
      </c>
      <c r="L27">
        <v>153</v>
      </c>
      <c r="M27">
        <v>14</v>
      </c>
      <c r="N27" s="10">
        <v>21.65</v>
      </c>
      <c r="O27" s="2">
        <f t="shared" si="0"/>
        <v>312.48884600000002</v>
      </c>
      <c r="P27" s="2">
        <f t="shared" si="1"/>
        <v>136.1341875</v>
      </c>
      <c r="Q27">
        <v>0</v>
      </c>
    </row>
    <row r="28" spans="1:17" x14ac:dyDescent="0.25">
      <c r="A28" s="15"/>
      <c r="B28" s="15"/>
      <c r="C28">
        <v>30</v>
      </c>
      <c r="D28">
        <v>267.82</v>
      </c>
      <c r="E28">
        <v>114.78</v>
      </c>
      <c r="F28">
        <v>482.45</v>
      </c>
      <c r="G28">
        <v>1394.05</v>
      </c>
      <c r="H28">
        <v>0</v>
      </c>
      <c r="I28">
        <v>0</v>
      </c>
      <c r="J28">
        <v>0</v>
      </c>
      <c r="K28">
        <v>3.83</v>
      </c>
      <c r="L28">
        <v>153</v>
      </c>
      <c r="M28">
        <v>56</v>
      </c>
      <c r="N28" s="10">
        <v>32.14</v>
      </c>
      <c r="O28" s="2">
        <f t="shared" si="0"/>
        <v>312.48884600000002</v>
      </c>
      <c r="P28" s="2">
        <f t="shared" si="1"/>
        <v>136.1341875</v>
      </c>
      <c r="Q28">
        <v>0</v>
      </c>
    </row>
    <row r="29" spans="1:17" x14ac:dyDescent="0.25">
      <c r="A29" s="15"/>
      <c r="B29" s="15"/>
      <c r="C29">
        <v>30</v>
      </c>
      <c r="D29">
        <v>267.82</v>
      </c>
      <c r="E29">
        <v>114.78</v>
      </c>
      <c r="F29">
        <v>482.45</v>
      </c>
      <c r="G29">
        <v>1394.05</v>
      </c>
      <c r="H29">
        <v>0</v>
      </c>
      <c r="I29">
        <v>0</v>
      </c>
      <c r="J29">
        <v>0</v>
      </c>
      <c r="K29">
        <v>3.83</v>
      </c>
      <c r="L29">
        <v>153</v>
      </c>
      <c r="M29">
        <v>90</v>
      </c>
      <c r="N29" s="10">
        <v>25.61</v>
      </c>
      <c r="O29" s="2">
        <f t="shared" si="0"/>
        <v>312.48884600000002</v>
      </c>
      <c r="P29" s="2">
        <f t="shared" si="1"/>
        <v>136.1341875</v>
      </c>
      <c r="Q29">
        <v>0</v>
      </c>
    </row>
    <row r="30" spans="1:17" x14ac:dyDescent="0.25">
      <c r="A30" s="15"/>
      <c r="B30" s="15"/>
      <c r="C30">
        <v>35</v>
      </c>
      <c r="D30">
        <v>248.69</v>
      </c>
      <c r="E30">
        <v>133.91</v>
      </c>
      <c r="F30">
        <v>482.45</v>
      </c>
      <c r="G30">
        <v>1394.05</v>
      </c>
      <c r="H30">
        <v>0</v>
      </c>
      <c r="I30">
        <v>0</v>
      </c>
      <c r="J30">
        <v>0</v>
      </c>
      <c r="K30">
        <v>3.83</v>
      </c>
      <c r="L30">
        <v>153</v>
      </c>
      <c r="M30">
        <v>7</v>
      </c>
      <c r="N30" s="10">
        <v>21.4</v>
      </c>
      <c r="O30" s="2">
        <f t="shared" si="0"/>
        <v>298.58516200000003</v>
      </c>
      <c r="P30" s="2">
        <f t="shared" si="1"/>
        <v>128.96043750000001</v>
      </c>
      <c r="Q30">
        <v>0</v>
      </c>
    </row>
    <row r="31" spans="1:17" x14ac:dyDescent="0.25">
      <c r="A31" s="15"/>
      <c r="B31" s="15"/>
      <c r="C31">
        <v>35</v>
      </c>
      <c r="D31">
        <v>248.69</v>
      </c>
      <c r="E31">
        <v>133.91</v>
      </c>
      <c r="F31">
        <v>482.45</v>
      </c>
      <c r="G31">
        <v>1394.05</v>
      </c>
      <c r="H31">
        <v>0</v>
      </c>
      <c r="I31">
        <v>0</v>
      </c>
      <c r="J31">
        <v>0</v>
      </c>
      <c r="K31">
        <v>3.83</v>
      </c>
      <c r="L31">
        <v>153</v>
      </c>
      <c r="M31">
        <v>14</v>
      </c>
      <c r="N31" s="10">
        <v>18.13</v>
      </c>
      <c r="O31" s="2">
        <f t="shared" si="0"/>
        <v>298.58516200000003</v>
      </c>
      <c r="P31" s="2">
        <f t="shared" si="1"/>
        <v>128.96043750000001</v>
      </c>
      <c r="Q31">
        <v>0</v>
      </c>
    </row>
    <row r="32" spans="1:17" x14ac:dyDescent="0.25">
      <c r="A32" s="15"/>
      <c r="B32" s="15"/>
      <c r="C32">
        <v>35</v>
      </c>
      <c r="D32">
        <v>248.69</v>
      </c>
      <c r="E32">
        <v>133.91</v>
      </c>
      <c r="F32">
        <v>482.45</v>
      </c>
      <c r="G32">
        <v>1394.05</v>
      </c>
      <c r="H32">
        <v>0</v>
      </c>
      <c r="I32">
        <v>0</v>
      </c>
      <c r="J32">
        <v>0</v>
      </c>
      <c r="K32">
        <v>3.83</v>
      </c>
      <c r="L32">
        <v>153</v>
      </c>
      <c r="M32">
        <v>56</v>
      </c>
      <c r="N32" s="10">
        <v>23.48</v>
      </c>
      <c r="O32" s="2">
        <f t="shared" si="0"/>
        <v>298.58516200000003</v>
      </c>
      <c r="P32" s="2">
        <f t="shared" si="1"/>
        <v>128.96043750000001</v>
      </c>
      <c r="Q32">
        <v>0</v>
      </c>
    </row>
    <row r="33" spans="1:17" x14ac:dyDescent="0.25">
      <c r="A33" s="15"/>
      <c r="B33" s="15"/>
      <c r="C33">
        <v>35</v>
      </c>
      <c r="D33">
        <v>248.69</v>
      </c>
      <c r="E33">
        <v>133.91</v>
      </c>
      <c r="F33">
        <v>482.45</v>
      </c>
      <c r="G33">
        <v>1394.05</v>
      </c>
      <c r="H33">
        <v>0</v>
      </c>
      <c r="I33">
        <v>0</v>
      </c>
      <c r="J33">
        <v>0</v>
      </c>
      <c r="K33">
        <v>3.83</v>
      </c>
      <c r="L33">
        <v>153</v>
      </c>
      <c r="M33">
        <v>90</v>
      </c>
      <c r="N33" s="10">
        <v>28.28</v>
      </c>
      <c r="O33" s="2">
        <f t="shared" si="0"/>
        <v>298.58516200000003</v>
      </c>
      <c r="P33" s="2">
        <f t="shared" si="1"/>
        <v>128.96043750000001</v>
      </c>
      <c r="Q33">
        <v>0</v>
      </c>
    </row>
    <row r="34" spans="1:17" x14ac:dyDescent="0.25">
      <c r="A34" s="15"/>
      <c r="B34" s="15"/>
      <c r="C34">
        <v>40</v>
      </c>
      <c r="D34">
        <v>229.56</v>
      </c>
      <c r="E34">
        <v>153.04</v>
      </c>
      <c r="F34">
        <v>482.45</v>
      </c>
      <c r="G34">
        <v>1394.05</v>
      </c>
      <c r="H34">
        <v>0</v>
      </c>
      <c r="I34">
        <v>0</v>
      </c>
      <c r="J34">
        <v>0</v>
      </c>
      <c r="K34">
        <v>3.83</v>
      </c>
      <c r="L34">
        <v>153</v>
      </c>
      <c r="M34">
        <v>7</v>
      </c>
      <c r="N34" s="10">
        <v>20.94</v>
      </c>
      <c r="O34" s="2">
        <f t="shared" si="0"/>
        <v>284.68147800000003</v>
      </c>
      <c r="P34" s="2">
        <f t="shared" si="1"/>
        <v>121.7866875</v>
      </c>
      <c r="Q34">
        <v>0</v>
      </c>
    </row>
    <row r="35" spans="1:17" x14ac:dyDescent="0.25">
      <c r="A35" s="15"/>
      <c r="B35" s="15"/>
      <c r="C35">
        <v>40</v>
      </c>
      <c r="D35">
        <v>229.56</v>
      </c>
      <c r="E35">
        <v>153.04</v>
      </c>
      <c r="F35">
        <v>482.45</v>
      </c>
      <c r="G35">
        <v>1394.05</v>
      </c>
      <c r="H35">
        <v>0</v>
      </c>
      <c r="I35">
        <v>0</v>
      </c>
      <c r="J35">
        <v>0</v>
      </c>
      <c r="K35">
        <v>3.83</v>
      </c>
      <c r="L35">
        <v>153</v>
      </c>
      <c r="M35">
        <v>14</v>
      </c>
      <c r="N35" s="10">
        <v>21.91</v>
      </c>
      <c r="O35" s="2">
        <f t="shared" si="0"/>
        <v>284.68147800000003</v>
      </c>
      <c r="P35" s="2">
        <f t="shared" si="1"/>
        <v>121.7866875</v>
      </c>
      <c r="Q35">
        <v>0</v>
      </c>
    </row>
    <row r="36" spans="1:17" x14ac:dyDescent="0.25">
      <c r="A36" s="15"/>
      <c r="B36" s="15"/>
      <c r="C36">
        <v>40</v>
      </c>
      <c r="D36">
        <v>229.56</v>
      </c>
      <c r="E36">
        <v>153.04</v>
      </c>
      <c r="F36">
        <v>482.45</v>
      </c>
      <c r="G36">
        <v>1394.05</v>
      </c>
      <c r="H36">
        <v>0</v>
      </c>
      <c r="I36">
        <v>0</v>
      </c>
      <c r="J36">
        <v>0</v>
      </c>
      <c r="K36">
        <v>3.83</v>
      </c>
      <c r="L36">
        <v>153</v>
      </c>
      <c r="M36">
        <v>56</v>
      </c>
      <c r="N36" s="10">
        <v>22.18</v>
      </c>
      <c r="O36" s="2">
        <f t="shared" si="0"/>
        <v>284.68147800000003</v>
      </c>
      <c r="P36" s="2">
        <f t="shared" si="1"/>
        <v>121.7866875</v>
      </c>
      <c r="Q36">
        <v>0</v>
      </c>
    </row>
    <row r="37" spans="1:17" x14ac:dyDescent="0.25">
      <c r="A37" s="15"/>
      <c r="B37" s="15"/>
      <c r="C37">
        <v>40</v>
      </c>
      <c r="D37">
        <v>229.56</v>
      </c>
      <c r="E37">
        <v>153.04</v>
      </c>
      <c r="F37">
        <v>482.45</v>
      </c>
      <c r="G37">
        <v>1394.05</v>
      </c>
      <c r="H37">
        <v>0</v>
      </c>
      <c r="I37">
        <v>0</v>
      </c>
      <c r="J37">
        <v>0</v>
      </c>
      <c r="K37">
        <v>3.83</v>
      </c>
      <c r="L37">
        <v>153</v>
      </c>
      <c r="M37">
        <v>90</v>
      </c>
      <c r="N37" s="10">
        <v>27.19</v>
      </c>
      <c r="O37" s="2">
        <f t="shared" si="0"/>
        <v>284.68147800000003</v>
      </c>
      <c r="P37" s="2">
        <f t="shared" si="1"/>
        <v>121.7866875</v>
      </c>
      <c r="Q37">
        <v>0</v>
      </c>
    </row>
    <row r="38" spans="1:17" x14ac:dyDescent="0.25">
      <c r="A38" s="15" t="s">
        <v>35</v>
      </c>
      <c r="B38" s="15" t="s">
        <v>36</v>
      </c>
      <c r="C38">
        <v>0</v>
      </c>
      <c r="D38">
        <v>534</v>
      </c>
      <c r="E38">
        <v>0</v>
      </c>
      <c r="F38">
        <v>690</v>
      </c>
      <c r="G38">
        <v>1050</v>
      </c>
      <c r="H38">
        <v>0</v>
      </c>
      <c r="I38">
        <v>0</v>
      </c>
      <c r="J38">
        <v>0</v>
      </c>
      <c r="K38">
        <v>213</v>
      </c>
      <c r="L38">
        <v>170.88</v>
      </c>
      <c r="M38">
        <v>7</v>
      </c>
      <c r="N38" s="10">
        <v>41</v>
      </c>
      <c r="O38" s="2">
        <f t="shared" si="0"/>
        <v>927.00599999999997</v>
      </c>
      <c r="P38" s="2">
        <f t="shared" si="1"/>
        <v>548.4375</v>
      </c>
      <c r="Q38">
        <v>0</v>
      </c>
    </row>
    <row r="39" spans="1:17" x14ac:dyDescent="0.25">
      <c r="A39" s="15"/>
      <c r="B39" s="15"/>
      <c r="C39">
        <v>0</v>
      </c>
      <c r="D39">
        <v>534</v>
      </c>
      <c r="E39">
        <v>0</v>
      </c>
      <c r="F39">
        <v>690</v>
      </c>
      <c r="G39">
        <v>1050</v>
      </c>
      <c r="H39">
        <v>0</v>
      </c>
      <c r="I39">
        <v>0</v>
      </c>
      <c r="J39">
        <v>0</v>
      </c>
      <c r="K39">
        <v>213</v>
      </c>
      <c r="L39">
        <v>170.88</v>
      </c>
      <c r="M39">
        <v>14</v>
      </c>
      <c r="N39" s="10">
        <v>43.67</v>
      </c>
      <c r="O39" s="2">
        <f t="shared" si="0"/>
        <v>927.00599999999997</v>
      </c>
      <c r="P39" s="2">
        <f t="shared" si="1"/>
        <v>548.4375</v>
      </c>
      <c r="Q39">
        <v>0</v>
      </c>
    </row>
    <row r="40" spans="1:17" x14ac:dyDescent="0.25">
      <c r="A40" s="15"/>
      <c r="B40" s="15"/>
      <c r="C40">
        <v>0</v>
      </c>
      <c r="D40">
        <v>534</v>
      </c>
      <c r="E40">
        <v>0</v>
      </c>
      <c r="F40">
        <v>690</v>
      </c>
      <c r="G40">
        <v>1050</v>
      </c>
      <c r="H40">
        <v>0</v>
      </c>
      <c r="I40">
        <v>0</v>
      </c>
      <c r="J40">
        <v>0</v>
      </c>
      <c r="K40">
        <v>213</v>
      </c>
      <c r="L40">
        <v>170.88</v>
      </c>
      <c r="M40">
        <v>56</v>
      </c>
      <c r="N40" s="10">
        <v>51.83</v>
      </c>
      <c r="O40" s="2">
        <f t="shared" si="0"/>
        <v>927.00599999999997</v>
      </c>
      <c r="P40" s="2">
        <f t="shared" si="1"/>
        <v>548.4375</v>
      </c>
      <c r="Q40">
        <v>0</v>
      </c>
    </row>
    <row r="41" spans="1:17" x14ac:dyDescent="0.25">
      <c r="A41" s="15"/>
      <c r="B41" s="15"/>
      <c r="C41">
        <v>0</v>
      </c>
      <c r="D41">
        <v>534</v>
      </c>
      <c r="E41">
        <v>0</v>
      </c>
      <c r="F41">
        <v>690</v>
      </c>
      <c r="G41">
        <v>1050</v>
      </c>
      <c r="H41">
        <v>0</v>
      </c>
      <c r="I41">
        <v>0</v>
      </c>
      <c r="J41">
        <v>0</v>
      </c>
      <c r="K41">
        <v>213</v>
      </c>
      <c r="L41">
        <v>170.88</v>
      </c>
      <c r="M41">
        <v>90</v>
      </c>
      <c r="N41" s="10">
        <v>57.82</v>
      </c>
      <c r="O41" s="2">
        <f t="shared" si="0"/>
        <v>927.00599999999997</v>
      </c>
      <c r="P41" s="2">
        <f t="shared" si="1"/>
        <v>548.4375</v>
      </c>
      <c r="Q41">
        <v>0</v>
      </c>
    </row>
    <row r="42" spans="1:17" x14ac:dyDescent="0.25">
      <c r="A42" s="15"/>
      <c r="B42" s="15"/>
      <c r="C42">
        <v>5</v>
      </c>
      <c r="D42">
        <v>507.3</v>
      </c>
      <c r="E42">
        <v>26.7</v>
      </c>
      <c r="F42">
        <v>690</v>
      </c>
      <c r="G42">
        <v>1050</v>
      </c>
      <c r="H42">
        <v>0</v>
      </c>
      <c r="I42">
        <v>0</v>
      </c>
      <c r="J42">
        <v>0</v>
      </c>
      <c r="K42">
        <v>213</v>
      </c>
      <c r="L42">
        <v>170.88</v>
      </c>
      <c r="M42">
        <v>7</v>
      </c>
      <c r="N42" s="10">
        <v>41.42</v>
      </c>
      <c r="O42" s="2">
        <f t="shared" si="0"/>
        <v>907.60043999999994</v>
      </c>
      <c r="P42" s="2">
        <f t="shared" si="1"/>
        <v>538.42499999999995</v>
      </c>
      <c r="Q42">
        <v>0</v>
      </c>
    </row>
    <row r="43" spans="1:17" x14ac:dyDescent="0.25">
      <c r="A43" s="15"/>
      <c r="B43" s="15"/>
      <c r="C43">
        <v>5</v>
      </c>
      <c r="D43">
        <v>507.3</v>
      </c>
      <c r="E43">
        <v>26.7</v>
      </c>
      <c r="F43">
        <v>690</v>
      </c>
      <c r="G43">
        <v>1050</v>
      </c>
      <c r="H43">
        <v>0</v>
      </c>
      <c r="I43">
        <v>0</v>
      </c>
      <c r="J43">
        <v>0</v>
      </c>
      <c r="K43">
        <v>213</v>
      </c>
      <c r="L43">
        <v>170.88</v>
      </c>
      <c r="M43">
        <v>14</v>
      </c>
      <c r="N43" s="10">
        <v>42.81</v>
      </c>
      <c r="O43" s="2">
        <f t="shared" si="0"/>
        <v>907.60043999999994</v>
      </c>
      <c r="P43" s="2">
        <f t="shared" si="1"/>
        <v>538.42499999999995</v>
      </c>
      <c r="Q43">
        <v>0</v>
      </c>
    </row>
    <row r="44" spans="1:17" x14ac:dyDescent="0.25">
      <c r="A44" s="15"/>
      <c r="B44" s="15"/>
      <c r="C44">
        <v>5</v>
      </c>
      <c r="D44">
        <v>507.3</v>
      </c>
      <c r="E44">
        <v>26.7</v>
      </c>
      <c r="F44">
        <v>690</v>
      </c>
      <c r="G44">
        <v>1050</v>
      </c>
      <c r="H44">
        <v>0</v>
      </c>
      <c r="I44">
        <v>0</v>
      </c>
      <c r="J44">
        <v>0</v>
      </c>
      <c r="K44">
        <v>213</v>
      </c>
      <c r="L44">
        <v>170.88</v>
      </c>
      <c r="M44">
        <v>56</v>
      </c>
      <c r="N44" s="10">
        <v>49.64</v>
      </c>
      <c r="O44" s="2">
        <f t="shared" si="0"/>
        <v>907.60043999999994</v>
      </c>
      <c r="P44" s="2">
        <f t="shared" si="1"/>
        <v>538.42499999999995</v>
      </c>
      <c r="Q44">
        <v>0</v>
      </c>
    </row>
    <row r="45" spans="1:17" x14ac:dyDescent="0.25">
      <c r="A45" s="15"/>
      <c r="B45" s="15"/>
      <c r="C45">
        <v>5</v>
      </c>
      <c r="D45">
        <v>507.3</v>
      </c>
      <c r="E45">
        <v>26.7</v>
      </c>
      <c r="F45">
        <v>690</v>
      </c>
      <c r="G45">
        <v>1050</v>
      </c>
      <c r="H45">
        <v>0</v>
      </c>
      <c r="I45">
        <v>0</v>
      </c>
      <c r="J45">
        <v>0</v>
      </c>
      <c r="K45">
        <v>213</v>
      </c>
      <c r="L45">
        <v>170.88</v>
      </c>
      <c r="M45">
        <v>90</v>
      </c>
      <c r="N45" s="10">
        <v>53.48</v>
      </c>
      <c r="O45" s="2">
        <f t="shared" si="0"/>
        <v>907.60043999999994</v>
      </c>
      <c r="P45" s="2">
        <f t="shared" si="1"/>
        <v>538.42499999999995</v>
      </c>
      <c r="Q45">
        <v>0</v>
      </c>
    </row>
    <row r="46" spans="1:17" x14ac:dyDescent="0.25">
      <c r="A46" s="15"/>
      <c r="B46" s="15"/>
      <c r="C46">
        <v>10</v>
      </c>
      <c r="D46">
        <v>480.6</v>
      </c>
      <c r="E46">
        <v>53.4</v>
      </c>
      <c r="F46">
        <v>690</v>
      </c>
      <c r="G46">
        <v>1050</v>
      </c>
      <c r="H46">
        <v>0</v>
      </c>
      <c r="I46">
        <v>0</v>
      </c>
      <c r="J46">
        <v>0</v>
      </c>
      <c r="K46">
        <v>213</v>
      </c>
      <c r="L46">
        <v>170.88</v>
      </c>
      <c r="M46">
        <v>7</v>
      </c>
      <c r="N46" s="10">
        <v>36.92</v>
      </c>
      <c r="O46" s="2">
        <f t="shared" si="0"/>
        <v>888.19488000000001</v>
      </c>
      <c r="P46" s="2">
        <f t="shared" si="1"/>
        <v>528.41250000000002</v>
      </c>
      <c r="Q46">
        <v>0</v>
      </c>
    </row>
    <row r="47" spans="1:17" x14ac:dyDescent="0.25">
      <c r="A47" s="15"/>
      <c r="B47" s="15"/>
      <c r="C47">
        <v>10</v>
      </c>
      <c r="D47">
        <v>480.6</v>
      </c>
      <c r="E47">
        <v>53.4</v>
      </c>
      <c r="F47">
        <v>690</v>
      </c>
      <c r="G47">
        <v>1050</v>
      </c>
      <c r="H47">
        <v>0</v>
      </c>
      <c r="I47">
        <v>0</v>
      </c>
      <c r="J47">
        <v>0</v>
      </c>
      <c r="K47">
        <v>213</v>
      </c>
      <c r="L47">
        <v>170.88</v>
      </c>
      <c r="M47">
        <v>14</v>
      </c>
      <c r="N47" s="10">
        <v>42.81</v>
      </c>
      <c r="O47" s="2">
        <f t="shared" si="0"/>
        <v>888.19488000000001</v>
      </c>
      <c r="P47" s="2">
        <f t="shared" si="1"/>
        <v>528.41250000000002</v>
      </c>
      <c r="Q47">
        <v>0</v>
      </c>
    </row>
    <row r="48" spans="1:17" x14ac:dyDescent="0.25">
      <c r="A48" s="15"/>
      <c r="B48" s="15"/>
      <c r="C48">
        <v>10</v>
      </c>
      <c r="D48">
        <v>480.6</v>
      </c>
      <c r="E48">
        <v>53.4</v>
      </c>
      <c r="F48">
        <v>690</v>
      </c>
      <c r="G48">
        <v>1050</v>
      </c>
      <c r="H48">
        <v>0</v>
      </c>
      <c r="I48">
        <v>0</v>
      </c>
      <c r="J48">
        <v>0</v>
      </c>
      <c r="K48">
        <v>213</v>
      </c>
      <c r="L48">
        <v>170.88</v>
      </c>
      <c r="M48">
        <v>56</v>
      </c>
      <c r="N48" s="10">
        <v>48.55</v>
      </c>
      <c r="O48" s="2">
        <f t="shared" si="0"/>
        <v>888.19488000000001</v>
      </c>
      <c r="P48" s="2">
        <f t="shared" si="1"/>
        <v>528.41250000000002</v>
      </c>
      <c r="Q48">
        <v>0</v>
      </c>
    </row>
    <row r="49" spans="1:17" x14ac:dyDescent="0.25">
      <c r="A49" s="15"/>
      <c r="B49" s="15"/>
      <c r="C49">
        <v>10</v>
      </c>
      <c r="D49">
        <v>480.6</v>
      </c>
      <c r="E49">
        <v>53.4</v>
      </c>
      <c r="F49">
        <v>690</v>
      </c>
      <c r="G49">
        <v>1050</v>
      </c>
      <c r="H49">
        <v>0</v>
      </c>
      <c r="I49">
        <v>0</v>
      </c>
      <c r="J49">
        <v>0</v>
      </c>
      <c r="K49">
        <v>213</v>
      </c>
      <c r="L49">
        <v>170.88</v>
      </c>
      <c r="M49">
        <v>90</v>
      </c>
      <c r="N49" s="10">
        <v>50.03</v>
      </c>
      <c r="O49" s="2">
        <f t="shared" si="0"/>
        <v>888.19488000000001</v>
      </c>
      <c r="P49" s="2">
        <f t="shared" si="1"/>
        <v>528.41250000000002</v>
      </c>
      <c r="Q49">
        <v>0</v>
      </c>
    </row>
    <row r="50" spans="1:17" x14ac:dyDescent="0.25">
      <c r="A50" s="15"/>
      <c r="B50" s="15"/>
      <c r="C50">
        <v>15</v>
      </c>
      <c r="D50">
        <v>453.9</v>
      </c>
      <c r="E50">
        <v>80.099999999999994</v>
      </c>
      <c r="F50">
        <v>690</v>
      </c>
      <c r="G50">
        <v>1050</v>
      </c>
      <c r="H50">
        <v>0</v>
      </c>
      <c r="I50">
        <v>0</v>
      </c>
      <c r="J50">
        <v>0</v>
      </c>
      <c r="K50">
        <v>213</v>
      </c>
      <c r="L50">
        <v>170.88</v>
      </c>
      <c r="M50">
        <v>7</v>
      </c>
      <c r="N50" s="10">
        <v>36.07</v>
      </c>
      <c r="O50" s="2">
        <f t="shared" si="0"/>
        <v>868.78931999999998</v>
      </c>
      <c r="P50" s="2">
        <f t="shared" si="1"/>
        <v>518.4</v>
      </c>
      <c r="Q50">
        <v>0</v>
      </c>
    </row>
    <row r="51" spans="1:17" x14ac:dyDescent="0.25">
      <c r="A51" s="15"/>
      <c r="B51" s="15"/>
      <c r="C51">
        <v>15</v>
      </c>
      <c r="D51">
        <v>453.9</v>
      </c>
      <c r="E51">
        <v>80.099999999999994</v>
      </c>
      <c r="F51">
        <v>690</v>
      </c>
      <c r="G51">
        <v>1050</v>
      </c>
      <c r="H51">
        <v>0</v>
      </c>
      <c r="I51">
        <v>0</v>
      </c>
      <c r="J51">
        <v>0</v>
      </c>
      <c r="K51">
        <v>213</v>
      </c>
      <c r="L51">
        <v>170.88</v>
      </c>
      <c r="M51">
        <v>14</v>
      </c>
      <c r="N51" s="10">
        <v>43.42</v>
      </c>
      <c r="O51" s="2">
        <f t="shared" si="0"/>
        <v>868.78931999999998</v>
      </c>
      <c r="P51" s="2">
        <f t="shared" si="1"/>
        <v>518.4</v>
      </c>
      <c r="Q51">
        <v>0</v>
      </c>
    </row>
    <row r="52" spans="1:17" x14ac:dyDescent="0.25">
      <c r="A52" s="15"/>
      <c r="B52" s="15"/>
      <c r="C52">
        <v>15</v>
      </c>
      <c r="D52">
        <v>453.9</v>
      </c>
      <c r="E52">
        <v>80.099999999999994</v>
      </c>
      <c r="F52">
        <v>690</v>
      </c>
      <c r="G52">
        <v>1050</v>
      </c>
      <c r="H52">
        <v>0</v>
      </c>
      <c r="I52">
        <v>0</v>
      </c>
      <c r="J52">
        <v>0</v>
      </c>
      <c r="K52">
        <v>213</v>
      </c>
      <c r="L52">
        <v>170.88</v>
      </c>
      <c r="M52">
        <v>56</v>
      </c>
      <c r="N52" s="10">
        <v>46.84</v>
      </c>
      <c r="O52" s="2">
        <f t="shared" si="0"/>
        <v>868.78931999999998</v>
      </c>
      <c r="P52" s="2">
        <f t="shared" si="1"/>
        <v>518.4</v>
      </c>
      <c r="Q52">
        <v>0</v>
      </c>
    </row>
    <row r="53" spans="1:17" x14ac:dyDescent="0.25">
      <c r="A53" s="15"/>
      <c r="B53" s="15"/>
      <c r="C53">
        <v>15</v>
      </c>
      <c r="D53">
        <v>453.9</v>
      </c>
      <c r="E53">
        <v>80.099999999999994</v>
      </c>
      <c r="F53">
        <v>690</v>
      </c>
      <c r="G53">
        <v>1050</v>
      </c>
      <c r="H53">
        <v>0</v>
      </c>
      <c r="I53">
        <v>0</v>
      </c>
      <c r="J53">
        <v>0</v>
      </c>
      <c r="K53">
        <v>213</v>
      </c>
      <c r="L53">
        <v>170.88</v>
      </c>
      <c r="M53">
        <v>90</v>
      </c>
      <c r="N53" s="10">
        <v>50.17</v>
      </c>
      <c r="O53" s="2">
        <f t="shared" si="0"/>
        <v>868.78931999999998</v>
      </c>
      <c r="P53" s="2">
        <f t="shared" si="1"/>
        <v>518.4</v>
      </c>
      <c r="Q53">
        <v>0</v>
      </c>
    </row>
    <row r="54" spans="1:17" x14ac:dyDescent="0.25">
      <c r="A54" s="15"/>
      <c r="B54" s="15"/>
      <c r="C54">
        <v>20</v>
      </c>
      <c r="D54">
        <v>427.2</v>
      </c>
      <c r="E54">
        <v>106.8</v>
      </c>
      <c r="F54">
        <v>690</v>
      </c>
      <c r="G54">
        <v>1050</v>
      </c>
      <c r="H54">
        <v>0</v>
      </c>
      <c r="I54">
        <v>0</v>
      </c>
      <c r="J54">
        <v>0</v>
      </c>
      <c r="K54">
        <v>213</v>
      </c>
      <c r="L54">
        <v>170.88</v>
      </c>
      <c r="M54">
        <v>7</v>
      </c>
      <c r="N54" s="10">
        <v>36.159999999999997</v>
      </c>
      <c r="O54" s="2">
        <f t="shared" si="0"/>
        <v>849.38375999999994</v>
      </c>
      <c r="P54" s="2">
        <f t="shared" si="1"/>
        <v>508.38749999999999</v>
      </c>
      <c r="Q54">
        <v>0</v>
      </c>
    </row>
    <row r="55" spans="1:17" x14ac:dyDescent="0.25">
      <c r="A55" s="15"/>
      <c r="B55" s="15"/>
      <c r="C55">
        <v>20</v>
      </c>
      <c r="D55">
        <v>427.2</v>
      </c>
      <c r="E55">
        <v>106.8</v>
      </c>
      <c r="F55">
        <v>690</v>
      </c>
      <c r="G55">
        <v>1050</v>
      </c>
      <c r="H55">
        <v>0</v>
      </c>
      <c r="I55">
        <v>0</v>
      </c>
      <c r="J55">
        <v>0</v>
      </c>
      <c r="K55">
        <v>213</v>
      </c>
      <c r="L55">
        <v>170.88</v>
      </c>
      <c r="M55">
        <v>14</v>
      </c>
      <c r="N55" s="10">
        <v>41.42</v>
      </c>
      <c r="O55" s="2">
        <f t="shared" si="0"/>
        <v>849.38375999999994</v>
      </c>
      <c r="P55" s="2">
        <f t="shared" si="1"/>
        <v>508.38749999999999</v>
      </c>
      <c r="Q55">
        <v>0</v>
      </c>
    </row>
    <row r="56" spans="1:17" x14ac:dyDescent="0.25">
      <c r="A56" s="15"/>
      <c r="B56" s="15"/>
      <c r="C56">
        <v>20</v>
      </c>
      <c r="D56">
        <v>427.2</v>
      </c>
      <c r="E56">
        <v>106.8</v>
      </c>
      <c r="F56">
        <v>690</v>
      </c>
      <c r="G56">
        <v>1050</v>
      </c>
      <c r="H56">
        <v>0</v>
      </c>
      <c r="I56">
        <v>0</v>
      </c>
      <c r="J56">
        <v>0</v>
      </c>
      <c r="K56">
        <v>213</v>
      </c>
      <c r="L56">
        <v>170.88</v>
      </c>
      <c r="M56">
        <v>56</v>
      </c>
      <c r="N56" s="10">
        <v>46.54</v>
      </c>
      <c r="O56" s="2">
        <f t="shared" si="0"/>
        <v>849.38375999999994</v>
      </c>
      <c r="P56" s="2">
        <f t="shared" si="1"/>
        <v>508.38749999999999</v>
      </c>
      <c r="Q56">
        <v>0</v>
      </c>
    </row>
    <row r="57" spans="1:17" x14ac:dyDescent="0.25">
      <c r="A57" s="15"/>
      <c r="B57" s="15"/>
      <c r="C57">
        <v>20</v>
      </c>
      <c r="D57">
        <v>427.2</v>
      </c>
      <c r="E57">
        <v>106.8</v>
      </c>
      <c r="F57">
        <v>690</v>
      </c>
      <c r="G57">
        <v>1050</v>
      </c>
      <c r="H57">
        <v>0</v>
      </c>
      <c r="I57">
        <v>0</v>
      </c>
      <c r="J57">
        <v>0</v>
      </c>
      <c r="K57">
        <v>213</v>
      </c>
      <c r="L57">
        <v>170.88</v>
      </c>
      <c r="M57">
        <v>90</v>
      </c>
      <c r="N57" s="10">
        <v>48.04</v>
      </c>
      <c r="O57" s="2">
        <f t="shared" si="0"/>
        <v>849.38375999999994</v>
      </c>
      <c r="P57" s="2">
        <f t="shared" si="1"/>
        <v>508.38749999999999</v>
      </c>
      <c r="Q57">
        <v>0</v>
      </c>
    </row>
    <row r="58" spans="1:17" x14ac:dyDescent="0.25">
      <c r="A58" s="15"/>
      <c r="B58" s="15"/>
      <c r="C58">
        <v>25</v>
      </c>
      <c r="D58">
        <v>400.5</v>
      </c>
      <c r="E58">
        <v>133.5</v>
      </c>
      <c r="F58">
        <v>690</v>
      </c>
      <c r="G58">
        <v>1050</v>
      </c>
      <c r="H58">
        <v>0</v>
      </c>
      <c r="I58">
        <v>0</v>
      </c>
      <c r="J58">
        <v>0</v>
      </c>
      <c r="K58">
        <v>213</v>
      </c>
      <c r="L58">
        <v>170.88</v>
      </c>
      <c r="M58">
        <v>7</v>
      </c>
      <c r="N58" s="10">
        <v>33.35</v>
      </c>
      <c r="O58" s="2">
        <f t="shared" si="0"/>
        <v>829.97820000000002</v>
      </c>
      <c r="P58" s="2">
        <f t="shared" si="1"/>
        <v>498.375</v>
      </c>
      <c r="Q58">
        <v>0</v>
      </c>
    </row>
    <row r="59" spans="1:17" x14ac:dyDescent="0.25">
      <c r="A59" s="15"/>
      <c r="B59" s="15"/>
      <c r="C59">
        <v>25</v>
      </c>
      <c r="D59">
        <v>400.5</v>
      </c>
      <c r="E59">
        <v>133.5</v>
      </c>
      <c r="F59">
        <v>690</v>
      </c>
      <c r="G59">
        <v>1050</v>
      </c>
      <c r="H59">
        <v>0</v>
      </c>
      <c r="I59">
        <v>0</v>
      </c>
      <c r="J59">
        <v>0</v>
      </c>
      <c r="K59">
        <v>213</v>
      </c>
      <c r="L59">
        <v>170.88</v>
      </c>
      <c r="M59">
        <v>14</v>
      </c>
      <c r="N59" s="10">
        <v>35.03</v>
      </c>
      <c r="O59" s="2">
        <f t="shared" si="0"/>
        <v>829.97820000000002</v>
      </c>
      <c r="P59" s="2">
        <f t="shared" si="1"/>
        <v>498.375</v>
      </c>
      <c r="Q59">
        <v>0</v>
      </c>
    </row>
    <row r="60" spans="1:17" x14ac:dyDescent="0.25">
      <c r="A60" s="15"/>
      <c r="B60" s="15"/>
      <c r="C60">
        <v>25</v>
      </c>
      <c r="D60">
        <v>400.5</v>
      </c>
      <c r="E60">
        <v>133.5</v>
      </c>
      <c r="F60">
        <v>690</v>
      </c>
      <c r="G60">
        <v>1050</v>
      </c>
      <c r="H60">
        <v>0</v>
      </c>
      <c r="I60">
        <v>0</v>
      </c>
      <c r="J60">
        <v>0</v>
      </c>
      <c r="K60">
        <v>213</v>
      </c>
      <c r="L60">
        <v>170.88</v>
      </c>
      <c r="M60">
        <v>56</v>
      </c>
      <c r="N60" s="10">
        <v>48.44</v>
      </c>
      <c r="O60" s="2">
        <f t="shared" si="0"/>
        <v>829.97820000000002</v>
      </c>
      <c r="P60" s="2">
        <f t="shared" si="1"/>
        <v>498.375</v>
      </c>
      <c r="Q60">
        <v>0</v>
      </c>
    </row>
    <row r="61" spans="1:17" x14ac:dyDescent="0.25">
      <c r="A61" s="15"/>
      <c r="B61" s="15"/>
      <c r="C61">
        <v>25</v>
      </c>
      <c r="D61">
        <v>400.5</v>
      </c>
      <c r="E61">
        <v>133.5</v>
      </c>
      <c r="F61">
        <v>690</v>
      </c>
      <c r="G61">
        <v>1050</v>
      </c>
      <c r="H61">
        <v>0</v>
      </c>
      <c r="I61">
        <v>0</v>
      </c>
      <c r="J61">
        <v>0</v>
      </c>
      <c r="K61">
        <v>213</v>
      </c>
      <c r="L61">
        <v>170.88</v>
      </c>
      <c r="M61">
        <v>90</v>
      </c>
      <c r="N61" s="10">
        <v>45.55</v>
      </c>
      <c r="O61" s="2">
        <f t="shared" si="0"/>
        <v>829.97820000000002</v>
      </c>
      <c r="P61" s="2">
        <f t="shared" si="1"/>
        <v>498.375</v>
      </c>
      <c r="Q61">
        <v>0</v>
      </c>
    </row>
    <row r="62" spans="1:17" x14ac:dyDescent="0.25">
      <c r="A62" s="15"/>
      <c r="B62" s="15"/>
      <c r="C62">
        <v>30</v>
      </c>
      <c r="D62">
        <v>373.8</v>
      </c>
      <c r="E62">
        <v>160.19999999999999</v>
      </c>
      <c r="F62">
        <v>690</v>
      </c>
      <c r="G62">
        <v>1050</v>
      </c>
      <c r="H62">
        <v>0</v>
      </c>
      <c r="I62">
        <v>0</v>
      </c>
      <c r="J62">
        <v>0</v>
      </c>
      <c r="K62">
        <v>213</v>
      </c>
      <c r="L62">
        <v>170.88</v>
      </c>
      <c r="M62">
        <v>7</v>
      </c>
      <c r="N62" s="10">
        <v>33.44</v>
      </c>
      <c r="O62" s="2">
        <f t="shared" si="0"/>
        <v>810.57264000000009</v>
      </c>
      <c r="P62" s="2">
        <f t="shared" si="1"/>
        <v>488.36249999999995</v>
      </c>
      <c r="Q62">
        <v>0</v>
      </c>
    </row>
    <row r="63" spans="1:17" x14ac:dyDescent="0.25">
      <c r="A63" s="15"/>
      <c r="B63" s="15"/>
      <c r="C63">
        <v>30</v>
      </c>
      <c r="D63">
        <v>373.8</v>
      </c>
      <c r="E63">
        <v>160.19999999999999</v>
      </c>
      <c r="F63">
        <v>690</v>
      </c>
      <c r="G63">
        <v>1050</v>
      </c>
      <c r="H63">
        <v>0</v>
      </c>
      <c r="I63">
        <v>0</v>
      </c>
      <c r="J63">
        <v>0</v>
      </c>
      <c r="K63">
        <v>213</v>
      </c>
      <c r="L63">
        <v>170.88</v>
      </c>
      <c r="M63">
        <v>14</v>
      </c>
      <c r="N63" s="10">
        <v>37.369999999999997</v>
      </c>
      <c r="O63" s="2">
        <f t="shared" si="0"/>
        <v>810.57264000000009</v>
      </c>
      <c r="P63" s="2">
        <f t="shared" si="1"/>
        <v>488.36249999999995</v>
      </c>
      <c r="Q63">
        <v>0</v>
      </c>
    </row>
    <row r="64" spans="1:17" x14ac:dyDescent="0.25">
      <c r="A64" s="15"/>
      <c r="B64" s="15"/>
      <c r="C64">
        <v>30</v>
      </c>
      <c r="D64">
        <v>373.8</v>
      </c>
      <c r="E64">
        <v>160.19999999999999</v>
      </c>
      <c r="F64">
        <v>690</v>
      </c>
      <c r="G64">
        <v>1050</v>
      </c>
      <c r="H64">
        <v>0</v>
      </c>
      <c r="I64">
        <v>0</v>
      </c>
      <c r="J64">
        <v>0</v>
      </c>
      <c r="K64">
        <v>213</v>
      </c>
      <c r="L64">
        <v>170.88</v>
      </c>
      <c r="M64">
        <v>56</v>
      </c>
      <c r="N64" s="10">
        <v>45.21</v>
      </c>
      <c r="O64" s="2">
        <f t="shared" si="0"/>
        <v>810.57264000000009</v>
      </c>
      <c r="P64" s="2">
        <f t="shared" si="1"/>
        <v>488.36249999999995</v>
      </c>
      <c r="Q64">
        <v>0</v>
      </c>
    </row>
    <row r="65" spans="1:17" x14ac:dyDescent="0.25">
      <c r="A65" s="15"/>
      <c r="B65" s="15"/>
      <c r="C65">
        <v>30</v>
      </c>
      <c r="D65">
        <v>373.8</v>
      </c>
      <c r="E65">
        <v>160.19999999999999</v>
      </c>
      <c r="F65">
        <v>690</v>
      </c>
      <c r="G65">
        <v>1050</v>
      </c>
      <c r="H65">
        <v>0</v>
      </c>
      <c r="I65">
        <v>0</v>
      </c>
      <c r="J65">
        <v>0</v>
      </c>
      <c r="K65">
        <v>213</v>
      </c>
      <c r="L65">
        <v>170.88</v>
      </c>
      <c r="M65">
        <v>90</v>
      </c>
      <c r="N65" s="10">
        <v>44.77</v>
      </c>
      <c r="O65" s="2">
        <f t="shared" si="0"/>
        <v>810.57264000000009</v>
      </c>
      <c r="P65" s="2">
        <f t="shared" si="1"/>
        <v>488.36249999999995</v>
      </c>
      <c r="Q65">
        <v>0</v>
      </c>
    </row>
    <row r="66" spans="1:17" x14ac:dyDescent="0.25">
      <c r="A66" s="15"/>
      <c r="B66" s="15"/>
      <c r="C66">
        <v>35</v>
      </c>
      <c r="D66">
        <v>347.1</v>
      </c>
      <c r="E66">
        <v>186.9</v>
      </c>
      <c r="F66">
        <v>690</v>
      </c>
      <c r="G66">
        <v>1050</v>
      </c>
      <c r="H66">
        <v>0</v>
      </c>
      <c r="I66">
        <v>0</v>
      </c>
      <c r="J66">
        <v>0</v>
      </c>
      <c r="K66">
        <v>213</v>
      </c>
      <c r="L66">
        <v>170.88</v>
      </c>
      <c r="M66">
        <v>7</v>
      </c>
      <c r="N66" s="10">
        <v>35.68</v>
      </c>
      <c r="O66" s="2">
        <f t="shared" ref="O66:O129" si="2">SUM((D66*0.83)+(E66*0.1032)+(F66*0.0139)+(G66*0.0459)+(K66*2))</f>
        <v>791.16707999999994</v>
      </c>
      <c r="P66" s="2">
        <f t="shared" si="1"/>
        <v>478.34999999999997</v>
      </c>
      <c r="Q66">
        <v>0</v>
      </c>
    </row>
    <row r="67" spans="1:17" x14ac:dyDescent="0.25">
      <c r="A67" s="15"/>
      <c r="B67" s="15"/>
      <c r="C67">
        <v>35</v>
      </c>
      <c r="D67">
        <v>347.1</v>
      </c>
      <c r="E67">
        <v>186.9</v>
      </c>
      <c r="F67">
        <v>690</v>
      </c>
      <c r="G67">
        <v>1050</v>
      </c>
      <c r="H67">
        <v>0</v>
      </c>
      <c r="I67">
        <v>0</v>
      </c>
      <c r="J67">
        <v>0</v>
      </c>
      <c r="K67">
        <v>213</v>
      </c>
      <c r="L67">
        <v>170.88</v>
      </c>
      <c r="M67">
        <v>14</v>
      </c>
      <c r="N67" s="10">
        <v>33.11</v>
      </c>
      <c r="O67" s="2">
        <f t="shared" si="2"/>
        <v>791.16707999999994</v>
      </c>
      <c r="P67" s="2">
        <f t="shared" ref="P67:P130" si="3">SUM((D67*5)+((F67*0.25)+(G67*0.2)+(K67*20)))*0.075</f>
        <v>478.34999999999997</v>
      </c>
      <c r="Q67">
        <v>0</v>
      </c>
    </row>
    <row r="68" spans="1:17" x14ac:dyDescent="0.25">
      <c r="A68" s="15"/>
      <c r="B68" s="15"/>
      <c r="C68">
        <v>35</v>
      </c>
      <c r="D68">
        <v>347.1</v>
      </c>
      <c r="E68">
        <v>186.9</v>
      </c>
      <c r="F68">
        <v>690</v>
      </c>
      <c r="G68">
        <v>1050</v>
      </c>
      <c r="H68">
        <v>0</v>
      </c>
      <c r="I68">
        <v>0</v>
      </c>
      <c r="J68">
        <v>0</v>
      </c>
      <c r="K68">
        <v>213</v>
      </c>
      <c r="L68">
        <v>170.88</v>
      </c>
      <c r="M68">
        <v>56</v>
      </c>
      <c r="N68" s="10">
        <v>41.18</v>
      </c>
      <c r="O68" s="2">
        <f t="shared" si="2"/>
        <v>791.16707999999994</v>
      </c>
      <c r="P68" s="2">
        <f t="shared" si="3"/>
        <v>478.34999999999997</v>
      </c>
      <c r="Q68">
        <v>0</v>
      </c>
    </row>
    <row r="69" spans="1:17" x14ac:dyDescent="0.25">
      <c r="A69" s="15"/>
      <c r="B69" s="15"/>
      <c r="C69">
        <v>35</v>
      </c>
      <c r="D69">
        <v>347.1</v>
      </c>
      <c r="E69">
        <v>186.9</v>
      </c>
      <c r="F69">
        <v>690</v>
      </c>
      <c r="G69">
        <v>1050</v>
      </c>
      <c r="H69">
        <v>0</v>
      </c>
      <c r="I69">
        <v>0</v>
      </c>
      <c r="J69">
        <v>0</v>
      </c>
      <c r="K69">
        <v>213</v>
      </c>
      <c r="L69">
        <v>170.88</v>
      </c>
      <c r="M69">
        <v>90</v>
      </c>
      <c r="N69" s="10">
        <v>45.29</v>
      </c>
      <c r="O69" s="2">
        <f t="shared" si="2"/>
        <v>791.16707999999994</v>
      </c>
      <c r="P69" s="2">
        <f t="shared" si="3"/>
        <v>478.34999999999997</v>
      </c>
      <c r="Q69">
        <v>0</v>
      </c>
    </row>
    <row r="70" spans="1:17" x14ac:dyDescent="0.25">
      <c r="A70" s="15"/>
      <c r="B70" s="15"/>
      <c r="C70">
        <v>40</v>
      </c>
      <c r="D70">
        <v>320.39999999999998</v>
      </c>
      <c r="E70">
        <v>213.6</v>
      </c>
      <c r="F70">
        <v>690</v>
      </c>
      <c r="G70">
        <v>1050</v>
      </c>
      <c r="H70">
        <v>0</v>
      </c>
      <c r="I70">
        <v>0</v>
      </c>
      <c r="J70">
        <v>0</v>
      </c>
      <c r="K70">
        <v>213</v>
      </c>
      <c r="L70">
        <v>170.88</v>
      </c>
      <c r="M70">
        <v>7</v>
      </c>
      <c r="N70" s="10">
        <v>30.48</v>
      </c>
      <c r="O70" s="2">
        <f t="shared" si="2"/>
        <v>771.76152000000002</v>
      </c>
      <c r="P70" s="2">
        <f t="shared" si="3"/>
        <v>468.33749999999998</v>
      </c>
      <c r="Q70">
        <v>0</v>
      </c>
    </row>
    <row r="71" spans="1:17" x14ac:dyDescent="0.25">
      <c r="A71" s="15"/>
      <c r="B71" s="15"/>
      <c r="C71">
        <v>40</v>
      </c>
      <c r="D71">
        <v>320.39999999999998</v>
      </c>
      <c r="E71">
        <v>213.6</v>
      </c>
      <c r="F71">
        <v>690</v>
      </c>
      <c r="G71">
        <v>1050</v>
      </c>
      <c r="H71">
        <v>0</v>
      </c>
      <c r="I71">
        <v>0</v>
      </c>
      <c r="J71">
        <v>0</v>
      </c>
      <c r="K71">
        <v>213</v>
      </c>
      <c r="L71">
        <v>170.88</v>
      </c>
      <c r="M71">
        <v>14</v>
      </c>
      <c r="N71" s="10">
        <v>34.11</v>
      </c>
      <c r="O71" s="2">
        <f t="shared" si="2"/>
        <v>771.76152000000002</v>
      </c>
      <c r="P71" s="2">
        <f t="shared" si="3"/>
        <v>468.33749999999998</v>
      </c>
      <c r="Q71">
        <v>0</v>
      </c>
    </row>
    <row r="72" spans="1:17" x14ac:dyDescent="0.25">
      <c r="A72" s="15"/>
      <c r="B72" s="15"/>
      <c r="C72">
        <v>40</v>
      </c>
      <c r="D72">
        <v>320.39999999999998</v>
      </c>
      <c r="E72">
        <v>213.6</v>
      </c>
      <c r="F72">
        <v>690</v>
      </c>
      <c r="G72">
        <v>1050</v>
      </c>
      <c r="H72">
        <v>0</v>
      </c>
      <c r="I72">
        <v>0</v>
      </c>
      <c r="J72">
        <v>0</v>
      </c>
      <c r="K72">
        <v>213</v>
      </c>
      <c r="L72">
        <v>170.88</v>
      </c>
      <c r="M72">
        <v>56</v>
      </c>
      <c r="N72" s="10">
        <v>38.97</v>
      </c>
      <c r="O72" s="2">
        <f t="shared" si="2"/>
        <v>771.76152000000002</v>
      </c>
      <c r="P72" s="2">
        <f t="shared" si="3"/>
        <v>468.33749999999998</v>
      </c>
      <c r="Q72">
        <v>0</v>
      </c>
    </row>
    <row r="73" spans="1:17" x14ac:dyDescent="0.25">
      <c r="A73" s="15"/>
      <c r="B73" s="15"/>
      <c r="C73">
        <v>40</v>
      </c>
      <c r="D73">
        <v>320.39999999999998</v>
      </c>
      <c r="E73">
        <v>213.6</v>
      </c>
      <c r="F73">
        <v>690</v>
      </c>
      <c r="G73">
        <v>1050</v>
      </c>
      <c r="H73">
        <v>0</v>
      </c>
      <c r="I73">
        <v>0</v>
      </c>
      <c r="J73">
        <v>0</v>
      </c>
      <c r="K73">
        <v>213</v>
      </c>
      <c r="L73">
        <v>170.88</v>
      </c>
      <c r="M73">
        <v>90</v>
      </c>
      <c r="N73" s="10">
        <v>41.42</v>
      </c>
      <c r="O73" s="2">
        <f t="shared" si="2"/>
        <v>771.76152000000002</v>
      </c>
      <c r="P73" s="2">
        <f t="shared" si="3"/>
        <v>468.33749999999998</v>
      </c>
      <c r="Q73">
        <v>0</v>
      </c>
    </row>
    <row r="74" spans="1:17" x14ac:dyDescent="0.25">
      <c r="A74" s="15"/>
      <c r="B74" s="15"/>
      <c r="C74">
        <v>45</v>
      </c>
      <c r="D74">
        <v>293.7</v>
      </c>
      <c r="E74">
        <v>240.3</v>
      </c>
      <c r="F74">
        <v>690</v>
      </c>
      <c r="G74">
        <v>1050</v>
      </c>
      <c r="H74">
        <v>0</v>
      </c>
      <c r="I74">
        <v>0</v>
      </c>
      <c r="J74">
        <v>0</v>
      </c>
      <c r="K74">
        <v>213</v>
      </c>
      <c r="L74">
        <v>170.88</v>
      </c>
      <c r="M74">
        <v>7</v>
      </c>
      <c r="N74" s="10">
        <v>30.69</v>
      </c>
      <c r="O74" s="2">
        <f t="shared" si="2"/>
        <v>752.35595999999998</v>
      </c>
      <c r="P74" s="2">
        <f t="shared" si="3"/>
        <v>458.32499999999999</v>
      </c>
      <c r="Q74">
        <v>0</v>
      </c>
    </row>
    <row r="75" spans="1:17" x14ac:dyDescent="0.25">
      <c r="A75" s="15"/>
      <c r="B75" s="15"/>
      <c r="C75">
        <v>45</v>
      </c>
      <c r="D75">
        <v>293.7</v>
      </c>
      <c r="E75">
        <v>240.3</v>
      </c>
      <c r="F75">
        <v>690</v>
      </c>
      <c r="G75">
        <v>1050</v>
      </c>
      <c r="H75">
        <v>0</v>
      </c>
      <c r="I75">
        <v>0</v>
      </c>
      <c r="J75">
        <v>0</v>
      </c>
      <c r="K75">
        <v>213</v>
      </c>
      <c r="L75">
        <v>170.88</v>
      </c>
      <c r="M75">
        <v>14</v>
      </c>
      <c r="N75" s="10">
        <v>34.57</v>
      </c>
      <c r="O75" s="2">
        <f t="shared" si="2"/>
        <v>752.35595999999998</v>
      </c>
      <c r="P75" s="2">
        <f t="shared" si="3"/>
        <v>458.32499999999999</v>
      </c>
      <c r="Q75">
        <v>0</v>
      </c>
    </row>
    <row r="76" spans="1:17" x14ac:dyDescent="0.25">
      <c r="A76" s="15"/>
      <c r="B76" s="15"/>
      <c r="C76">
        <v>45</v>
      </c>
      <c r="D76">
        <v>293.7</v>
      </c>
      <c r="E76">
        <v>240.3</v>
      </c>
      <c r="F76">
        <v>690</v>
      </c>
      <c r="G76">
        <v>1050</v>
      </c>
      <c r="H76">
        <v>0</v>
      </c>
      <c r="I76">
        <v>0</v>
      </c>
      <c r="J76">
        <v>0</v>
      </c>
      <c r="K76">
        <v>213</v>
      </c>
      <c r="L76">
        <v>170.88</v>
      </c>
      <c r="M76">
        <v>56</v>
      </c>
      <c r="N76" s="10">
        <v>39.89</v>
      </c>
      <c r="O76" s="2">
        <f t="shared" si="2"/>
        <v>752.35595999999998</v>
      </c>
      <c r="P76" s="2">
        <f t="shared" si="3"/>
        <v>458.32499999999999</v>
      </c>
      <c r="Q76">
        <v>0</v>
      </c>
    </row>
    <row r="77" spans="1:17" x14ac:dyDescent="0.25">
      <c r="A77" s="15"/>
      <c r="B77" s="15"/>
      <c r="C77">
        <v>45</v>
      </c>
      <c r="D77">
        <v>293.7</v>
      </c>
      <c r="E77">
        <v>240.3</v>
      </c>
      <c r="F77">
        <v>690</v>
      </c>
      <c r="G77">
        <v>1050</v>
      </c>
      <c r="H77">
        <v>0</v>
      </c>
      <c r="I77">
        <v>0</v>
      </c>
      <c r="J77">
        <v>0</v>
      </c>
      <c r="K77">
        <v>213</v>
      </c>
      <c r="L77">
        <v>170.88</v>
      </c>
      <c r="M77">
        <v>90</v>
      </c>
      <c r="N77" s="10">
        <v>43.96</v>
      </c>
      <c r="O77" s="2">
        <f t="shared" si="2"/>
        <v>752.35595999999998</v>
      </c>
      <c r="P77" s="2">
        <f t="shared" si="3"/>
        <v>458.32499999999999</v>
      </c>
      <c r="Q77">
        <v>0</v>
      </c>
    </row>
    <row r="78" spans="1:17" x14ac:dyDescent="0.25">
      <c r="A78" s="15"/>
      <c r="B78" s="15"/>
      <c r="C78">
        <v>50</v>
      </c>
      <c r="D78">
        <v>267</v>
      </c>
      <c r="E78">
        <v>267</v>
      </c>
      <c r="F78">
        <v>690</v>
      </c>
      <c r="G78">
        <v>1050</v>
      </c>
      <c r="H78">
        <v>0</v>
      </c>
      <c r="I78">
        <v>0</v>
      </c>
      <c r="J78">
        <v>0</v>
      </c>
      <c r="K78">
        <v>213</v>
      </c>
      <c r="L78">
        <v>170.88</v>
      </c>
      <c r="M78">
        <v>7</v>
      </c>
      <c r="N78" s="10">
        <v>27.55</v>
      </c>
      <c r="O78" s="2">
        <f t="shared" si="2"/>
        <v>732.95039999999995</v>
      </c>
      <c r="P78" s="2">
        <f t="shared" si="3"/>
        <v>448.3125</v>
      </c>
      <c r="Q78">
        <v>0</v>
      </c>
    </row>
    <row r="79" spans="1:17" x14ac:dyDescent="0.25">
      <c r="A79" s="15"/>
      <c r="B79" s="15"/>
      <c r="C79">
        <v>50</v>
      </c>
      <c r="D79">
        <v>267</v>
      </c>
      <c r="E79">
        <v>267</v>
      </c>
      <c r="F79">
        <v>690</v>
      </c>
      <c r="G79">
        <v>1050</v>
      </c>
      <c r="H79">
        <v>0</v>
      </c>
      <c r="I79">
        <v>0</v>
      </c>
      <c r="J79">
        <v>0</v>
      </c>
      <c r="K79">
        <v>213</v>
      </c>
      <c r="L79">
        <v>170.88</v>
      </c>
      <c r="M79">
        <v>14</v>
      </c>
      <c r="N79" s="10">
        <v>30.46</v>
      </c>
      <c r="O79" s="2">
        <f t="shared" si="2"/>
        <v>732.95039999999995</v>
      </c>
      <c r="P79" s="2">
        <f t="shared" si="3"/>
        <v>448.3125</v>
      </c>
      <c r="Q79">
        <v>0</v>
      </c>
    </row>
    <row r="80" spans="1:17" x14ac:dyDescent="0.25">
      <c r="A80" s="15"/>
      <c r="B80" s="15"/>
      <c r="C80">
        <v>50</v>
      </c>
      <c r="D80">
        <v>267</v>
      </c>
      <c r="E80">
        <v>267</v>
      </c>
      <c r="F80">
        <v>690</v>
      </c>
      <c r="G80">
        <v>1050</v>
      </c>
      <c r="H80">
        <v>0</v>
      </c>
      <c r="I80">
        <v>0</v>
      </c>
      <c r="J80">
        <v>0</v>
      </c>
      <c r="K80">
        <v>213</v>
      </c>
      <c r="L80">
        <v>170.88</v>
      </c>
      <c r="M80">
        <v>56</v>
      </c>
      <c r="N80" s="10">
        <v>33.47</v>
      </c>
      <c r="O80" s="2">
        <f t="shared" si="2"/>
        <v>732.95039999999995</v>
      </c>
      <c r="P80" s="2">
        <f t="shared" si="3"/>
        <v>448.3125</v>
      </c>
      <c r="Q80">
        <v>0</v>
      </c>
    </row>
    <row r="81" spans="1:17" x14ac:dyDescent="0.25">
      <c r="A81" s="15"/>
      <c r="B81" s="15"/>
      <c r="C81">
        <v>50</v>
      </c>
      <c r="D81">
        <v>267</v>
      </c>
      <c r="E81">
        <v>267</v>
      </c>
      <c r="F81">
        <v>690</v>
      </c>
      <c r="G81">
        <v>1050</v>
      </c>
      <c r="H81">
        <v>0</v>
      </c>
      <c r="I81">
        <v>0</v>
      </c>
      <c r="J81">
        <v>0</v>
      </c>
      <c r="K81">
        <v>213</v>
      </c>
      <c r="L81">
        <v>170.88</v>
      </c>
      <c r="M81">
        <v>90</v>
      </c>
      <c r="N81" s="10">
        <v>36.49</v>
      </c>
      <c r="O81" s="2">
        <f t="shared" si="2"/>
        <v>732.95039999999995</v>
      </c>
      <c r="P81" s="2">
        <f t="shared" si="3"/>
        <v>448.3125</v>
      </c>
      <c r="Q81">
        <v>0</v>
      </c>
    </row>
    <row r="82" spans="1:17" x14ac:dyDescent="0.25">
      <c r="A82" s="15" t="s">
        <v>37</v>
      </c>
      <c r="B82" s="15" t="s">
        <v>38</v>
      </c>
      <c r="C82">
        <v>0</v>
      </c>
      <c r="D82">
        <v>339.3</v>
      </c>
      <c r="E82">
        <v>0</v>
      </c>
      <c r="F82">
        <v>721.5</v>
      </c>
      <c r="G82">
        <v>1094.2</v>
      </c>
      <c r="H82">
        <v>0</v>
      </c>
      <c r="I82">
        <v>0</v>
      </c>
      <c r="J82">
        <v>0</v>
      </c>
      <c r="K82">
        <v>0</v>
      </c>
      <c r="L82">
        <v>168.9</v>
      </c>
      <c r="M82">
        <v>14</v>
      </c>
      <c r="N82" s="10">
        <v>35.049999999999997</v>
      </c>
      <c r="O82" s="2">
        <f t="shared" si="2"/>
        <v>341.87162999999998</v>
      </c>
      <c r="P82" s="2">
        <f t="shared" si="3"/>
        <v>157.17862500000001</v>
      </c>
      <c r="Q82">
        <v>0</v>
      </c>
    </row>
    <row r="83" spans="1:17" x14ac:dyDescent="0.25">
      <c r="A83" s="15"/>
      <c r="B83" s="15"/>
      <c r="C83">
        <v>0</v>
      </c>
      <c r="D83">
        <v>339.3</v>
      </c>
      <c r="E83">
        <v>0</v>
      </c>
      <c r="F83">
        <v>721.5</v>
      </c>
      <c r="G83">
        <v>1094.2</v>
      </c>
      <c r="H83">
        <v>0</v>
      </c>
      <c r="I83">
        <v>0</v>
      </c>
      <c r="J83">
        <v>0</v>
      </c>
      <c r="K83">
        <v>0</v>
      </c>
      <c r="L83">
        <v>168.9</v>
      </c>
      <c r="M83">
        <v>28</v>
      </c>
      <c r="N83" s="10">
        <v>34.159999999999997</v>
      </c>
      <c r="O83" s="2">
        <f t="shared" si="2"/>
        <v>341.87162999999998</v>
      </c>
      <c r="P83" s="2">
        <f t="shared" si="3"/>
        <v>157.17862500000001</v>
      </c>
      <c r="Q83">
        <v>0</v>
      </c>
    </row>
    <row r="84" spans="1:17" x14ac:dyDescent="0.25">
      <c r="A84" s="15"/>
      <c r="B84" s="15"/>
      <c r="C84">
        <v>0</v>
      </c>
      <c r="D84">
        <v>339.3</v>
      </c>
      <c r="E84">
        <v>0</v>
      </c>
      <c r="F84">
        <v>721.5</v>
      </c>
      <c r="G84">
        <v>1094.2</v>
      </c>
      <c r="H84">
        <v>0</v>
      </c>
      <c r="I84">
        <v>0</v>
      </c>
      <c r="J84">
        <v>0</v>
      </c>
      <c r="K84">
        <v>0</v>
      </c>
      <c r="L84">
        <v>168.9</v>
      </c>
      <c r="M84">
        <v>56</v>
      </c>
      <c r="N84" s="10">
        <v>39.69</v>
      </c>
      <c r="O84" s="2">
        <f t="shared" si="2"/>
        <v>341.87162999999998</v>
      </c>
      <c r="P84" s="2">
        <f t="shared" si="3"/>
        <v>157.17862500000001</v>
      </c>
      <c r="Q84">
        <v>0</v>
      </c>
    </row>
    <row r="85" spans="1:17" x14ac:dyDescent="0.25">
      <c r="A85" s="15"/>
      <c r="B85" s="15"/>
      <c r="C85">
        <v>0</v>
      </c>
      <c r="D85">
        <v>339.3</v>
      </c>
      <c r="E85">
        <v>0</v>
      </c>
      <c r="F85">
        <v>721.5</v>
      </c>
      <c r="G85">
        <v>1094.2</v>
      </c>
      <c r="H85">
        <v>0</v>
      </c>
      <c r="I85">
        <v>0</v>
      </c>
      <c r="J85">
        <v>0</v>
      </c>
      <c r="K85">
        <v>0</v>
      </c>
      <c r="L85">
        <v>168.9</v>
      </c>
      <c r="M85">
        <v>90</v>
      </c>
      <c r="N85" s="10">
        <v>39.81</v>
      </c>
      <c r="O85" s="2">
        <f t="shared" si="2"/>
        <v>341.87162999999998</v>
      </c>
      <c r="P85" s="2">
        <f t="shared" si="3"/>
        <v>157.17862500000001</v>
      </c>
      <c r="Q85">
        <v>0</v>
      </c>
    </row>
    <row r="86" spans="1:17" x14ac:dyDescent="0.25">
      <c r="A86" s="15"/>
      <c r="B86" s="15"/>
      <c r="C86">
        <v>5</v>
      </c>
      <c r="D86">
        <v>322.33499999999998</v>
      </c>
      <c r="E86">
        <v>16.965</v>
      </c>
      <c r="F86">
        <v>721.5</v>
      </c>
      <c r="G86">
        <v>1094.2</v>
      </c>
      <c r="H86">
        <v>0</v>
      </c>
      <c r="I86">
        <v>0</v>
      </c>
      <c r="J86">
        <v>0</v>
      </c>
      <c r="K86">
        <v>0</v>
      </c>
      <c r="L86">
        <v>168.9</v>
      </c>
      <c r="M86">
        <v>14</v>
      </c>
      <c r="N86" s="10">
        <v>31.68</v>
      </c>
      <c r="O86" s="2">
        <f t="shared" si="2"/>
        <v>329.54146800000001</v>
      </c>
      <c r="P86" s="2">
        <f t="shared" si="3"/>
        <v>150.81674999999998</v>
      </c>
      <c r="Q86">
        <v>0</v>
      </c>
    </row>
    <row r="87" spans="1:17" x14ac:dyDescent="0.25">
      <c r="A87" s="15"/>
      <c r="B87" s="15"/>
      <c r="C87">
        <v>5</v>
      </c>
      <c r="D87">
        <v>322.33499999999998</v>
      </c>
      <c r="E87">
        <v>16.965</v>
      </c>
      <c r="F87">
        <v>721.5</v>
      </c>
      <c r="G87">
        <v>1094.2</v>
      </c>
      <c r="H87">
        <v>0</v>
      </c>
      <c r="I87">
        <v>0</v>
      </c>
      <c r="J87">
        <v>0</v>
      </c>
      <c r="K87">
        <v>0</v>
      </c>
      <c r="L87">
        <v>168.9</v>
      </c>
      <c r="M87">
        <v>28</v>
      </c>
      <c r="N87" s="10">
        <v>35.47</v>
      </c>
      <c r="O87" s="2">
        <f t="shared" si="2"/>
        <v>329.54146800000001</v>
      </c>
      <c r="P87" s="2">
        <f t="shared" si="3"/>
        <v>150.81674999999998</v>
      </c>
      <c r="Q87">
        <v>0</v>
      </c>
    </row>
    <row r="88" spans="1:17" x14ac:dyDescent="0.25">
      <c r="A88" s="15"/>
      <c r="B88" s="15"/>
      <c r="C88">
        <v>5</v>
      </c>
      <c r="D88">
        <v>322.33499999999998</v>
      </c>
      <c r="E88">
        <v>16.965</v>
      </c>
      <c r="F88">
        <v>721.5</v>
      </c>
      <c r="G88">
        <v>1094.2</v>
      </c>
      <c r="H88">
        <v>0</v>
      </c>
      <c r="I88">
        <v>0</v>
      </c>
      <c r="J88">
        <v>0</v>
      </c>
      <c r="K88">
        <v>0</v>
      </c>
      <c r="L88">
        <v>168.9</v>
      </c>
      <c r="M88">
        <v>56</v>
      </c>
      <c r="N88" s="10">
        <v>37.6</v>
      </c>
      <c r="O88" s="2">
        <f t="shared" si="2"/>
        <v>329.54146800000001</v>
      </c>
      <c r="P88" s="2">
        <f t="shared" si="3"/>
        <v>150.81674999999998</v>
      </c>
      <c r="Q88">
        <v>0</v>
      </c>
    </row>
    <row r="89" spans="1:17" x14ac:dyDescent="0.25">
      <c r="A89" s="15"/>
      <c r="B89" s="15"/>
      <c r="C89">
        <v>5</v>
      </c>
      <c r="D89">
        <v>322.33499999999998</v>
      </c>
      <c r="E89">
        <v>16.965</v>
      </c>
      <c r="F89">
        <v>721.5</v>
      </c>
      <c r="G89">
        <v>1094.2</v>
      </c>
      <c r="H89">
        <v>0</v>
      </c>
      <c r="I89">
        <v>0</v>
      </c>
      <c r="J89">
        <v>0</v>
      </c>
      <c r="K89">
        <v>0</v>
      </c>
      <c r="L89">
        <v>168.9</v>
      </c>
      <c r="M89">
        <v>90</v>
      </c>
      <c r="N89" s="10">
        <v>34.49</v>
      </c>
      <c r="O89" s="2">
        <f t="shared" si="2"/>
        <v>329.54146800000001</v>
      </c>
      <c r="P89" s="2">
        <f t="shared" si="3"/>
        <v>150.81674999999998</v>
      </c>
      <c r="Q89">
        <v>0</v>
      </c>
    </row>
    <row r="90" spans="1:17" x14ac:dyDescent="0.25">
      <c r="A90" s="15"/>
      <c r="B90" s="15"/>
      <c r="C90">
        <v>7</v>
      </c>
      <c r="D90">
        <v>315.54899999999998</v>
      </c>
      <c r="E90">
        <v>23.751000000000001</v>
      </c>
      <c r="F90">
        <v>721.5</v>
      </c>
      <c r="G90">
        <v>1094.2</v>
      </c>
      <c r="H90">
        <v>0</v>
      </c>
      <c r="I90">
        <v>0</v>
      </c>
      <c r="J90">
        <v>0</v>
      </c>
      <c r="K90">
        <v>0</v>
      </c>
      <c r="L90">
        <v>168.9</v>
      </c>
      <c r="M90">
        <v>14</v>
      </c>
      <c r="N90" s="10">
        <v>33.049999999999997</v>
      </c>
      <c r="O90" s="2">
        <f t="shared" si="2"/>
        <v>324.60940319999997</v>
      </c>
      <c r="P90" s="2">
        <f t="shared" si="3"/>
        <v>148.27199999999999</v>
      </c>
      <c r="Q90">
        <v>0</v>
      </c>
    </row>
    <row r="91" spans="1:17" x14ac:dyDescent="0.25">
      <c r="A91" s="15"/>
      <c r="B91" s="15"/>
      <c r="C91">
        <v>7</v>
      </c>
      <c r="D91">
        <v>315.54899999999998</v>
      </c>
      <c r="E91">
        <v>23.751000000000001</v>
      </c>
      <c r="F91">
        <v>721.5</v>
      </c>
      <c r="G91">
        <v>1094.2</v>
      </c>
      <c r="H91">
        <v>0</v>
      </c>
      <c r="I91">
        <v>0</v>
      </c>
      <c r="J91">
        <v>0</v>
      </c>
      <c r="K91">
        <v>0</v>
      </c>
      <c r="L91">
        <v>168.9</v>
      </c>
      <c r="M91">
        <v>28</v>
      </c>
      <c r="N91" s="10">
        <v>34.96</v>
      </c>
      <c r="O91" s="2">
        <f t="shared" si="2"/>
        <v>324.60940319999997</v>
      </c>
      <c r="P91" s="2">
        <f t="shared" si="3"/>
        <v>148.27199999999999</v>
      </c>
      <c r="Q91">
        <v>0</v>
      </c>
    </row>
    <row r="92" spans="1:17" x14ac:dyDescent="0.25">
      <c r="A92" s="15"/>
      <c r="B92" s="15"/>
      <c r="C92">
        <v>7</v>
      </c>
      <c r="D92">
        <v>315.54899999999998</v>
      </c>
      <c r="E92">
        <v>23.751000000000001</v>
      </c>
      <c r="F92">
        <v>721.5</v>
      </c>
      <c r="G92">
        <v>1094.2</v>
      </c>
      <c r="H92">
        <v>0</v>
      </c>
      <c r="I92">
        <v>0</v>
      </c>
      <c r="J92">
        <v>0</v>
      </c>
      <c r="K92">
        <v>0</v>
      </c>
      <c r="L92">
        <v>168.9</v>
      </c>
      <c r="M92">
        <v>56</v>
      </c>
      <c r="N92" s="10">
        <v>38.43</v>
      </c>
      <c r="O92" s="2">
        <f t="shared" si="2"/>
        <v>324.60940319999997</v>
      </c>
      <c r="P92" s="2">
        <f t="shared" si="3"/>
        <v>148.27199999999999</v>
      </c>
      <c r="Q92">
        <v>0</v>
      </c>
    </row>
    <row r="93" spans="1:17" x14ac:dyDescent="0.25">
      <c r="A93" s="15"/>
      <c r="B93" s="15"/>
      <c r="C93">
        <v>7</v>
      </c>
      <c r="D93">
        <v>315.54899999999998</v>
      </c>
      <c r="E93">
        <v>23.751000000000001</v>
      </c>
      <c r="F93">
        <v>721.5</v>
      </c>
      <c r="G93">
        <v>1094.2</v>
      </c>
      <c r="H93">
        <v>0</v>
      </c>
      <c r="I93">
        <v>0</v>
      </c>
      <c r="J93">
        <v>0</v>
      </c>
      <c r="K93">
        <v>0</v>
      </c>
      <c r="L93">
        <v>168.9</v>
      </c>
      <c r="M93">
        <v>90</v>
      </c>
      <c r="N93" s="10">
        <v>39.17</v>
      </c>
      <c r="O93" s="2">
        <f t="shared" si="2"/>
        <v>324.60940319999997</v>
      </c>
      <c r="P93" s="2">
        <f t="shared" si="3"/>
        <v>148.27199999999999</v>
      </c>
      <c r="Q93">
        <v>0</v>
      </c>
    </row>
    <row r="94" spans="1:17" x14ac:dyDescent="0.25">
      <c r="A94" s="15"/>
      <c r="B94" s="15"/>
      <c r="C94">
        <v>10</v>
      </c>
      <c r="D94">
        <v>305.37</v>
      </c>
      <c r="E94">
        <v>33.93</v>
      </c>
      <c r="F94">
        <v>721.5</v>
      </c>
      <c r="G94">
        <v>1094.2</v>
      </c>
      <c r="H94">
        <v>0</v>
      </c>
      <c r="I94">
        <v>0</v>
      </c>
      <c r="J94">
        <v>0</v>
      </c>
      <c r="K94">
        <v>0</v>
      </c>
      <c r="L94">
        <v>168.9</v>
      </c>
      <c r="M94">
        <v>14</v>
      </c>
      <c r="N94" s="10">
        <v>26.53</v>
      </c>
      <c r="O94" s="2">
        <f t="shared" si="2"/>
        <v>317.21130599999992</v>
      </c>
      <c r="P94" s="2">
        <f t="shared" si="3"/>
        <v>144.45487499999999</v>
      </c>
      <c r="Q94">
        <v>0</v>
      </c>
    </row>
    <row r="95" spans="1:17" x14ac:dyDescent="0.25">
      <c r="A95" s="15"/>
      <c r="B95" s="15"/>
      <c r="C95">
        <v>10</v>
      </c>
      <c r="D95">
        <v>305.37</v>
      </c>
      <c r="E95">
        <v>33.93</v>
      </c>
      <c r="F95">
        <v>721.5</v>
      </c>
      <c r="G95">
        <v>1094.2</v>
      </c>
      <c r="H95">
        <v>0</v>
      </c>
      <c r="I95">
        <v>0</v>
      </c>
      <c r="J95">
        <v>0</v>
      </c>
      <c r="K95">
        <v>0</v>
      </c>
      <c r="L95">
        <v>168.9</v>
      </c>
      <c r="M95">
        <v>28</v>
      </c>
      <c r="N95" s="10">
        <v>30.74</v>
      </c>
      <c r="O95" s="2">
        <f t="shared" si="2"/>
        <v>317.21130599999992</v>
      </c>
      <c r="P95" s="2">
        <f t="shared" si="3"/>
        <v>144.45487499999999</v>
      </c>
      <c r="Q95">
        <v>0</v>
      </c>
    </row>
    <row r="96" spans="1:17" x14ac:dyDescent="0.25">
      <c r="A96" s="15"/>
      <c r="B96" s="15"/>
      <c r="C96">
        <v>10</v>
      </c>
      <c r="D96">
        <v>305.37</v>
      </c>
      <c r="E96">
        <v>33.93</v>
      </c>
      <c r="F96">
        <v>721.5</v>
      </c>
      <c r="G96">
        <v>1094.2</v>
      </c>
      <c r="H96">
        <v>0</v>
      </c>
      <c r="I96">
        <v>0</v>
      </c>
      <c r="J96">
        <v>0</v>
      </c>
      <c r="K96">
        <v>0</v>
      </c>
      <c r="L96">
        <v>168.9</v>
      </c>
      <c r="M96">
        <v>56</v>
      </c>
      <c r="N96" s="10">
        <v>34.78</v>
      </c>
      <c r="O96" s="2">
        <f t="shared" si="2"/>
        <v>317.21130599999992</v>
      </c>
      <c r="P96" s="2">
        <f t="shared" si="3"/>
        <v>144.45487499999999</v>
      </c>
      <c r="Q96">
        <v>0</v>
      </c>
    </row>
    <row r="97" spans="1:17" x14ac:dyDescent="0.25">
      <c r="A97" s="15"/>
      <c r="B97" s="15"/>
      <c r="C97">
        <v>10</v>
      </c>
      <c r="D97">
        <v>305.37</v>
      </c>
      <c r="E97">
        <v>33.93</v>
      </c>
      <c r="F97">
        <v>721.5</v>
      </c>
      <c r="G97">
        <v>1094.2</v>
      </c>
      <c r="H97">
        <v>0</v>
      </c>
      <c r="I97">
        <v>0</v>
      </c>
      <c r="J97">
        <v>0</v>
      </c>
      <c r="K97">
        <v>0</v>
      </c>
      <c r="L97">
        <v>168.9</v>
      </c>
      <c r="M97">
        <v>90</v>
      </c>
      <c r="N97" s="10">
        <v>38.08</v>
      </c>
      <c r="O97" s="2">
        <f t="shared" si="2"/>
        <v>317.21130599999992</v>
      </c>
      <c r="P97" s="2">
        <f t="shared" si="3"/>
        <v>144.45487499999999</v>
      </c>
      <c r="Q97">
        <v>0</v>
      </c>
    </row>
    <row r="98" spans="1:17" x14ac:dyDescent="0.25">
      <c r="A98" s="15"/>
      <c r="B98" s="15"/>
      <c r="C98">
        <v>15</v>
      </c>
      <c r="D98">
        <v>288.40499999999997</v>
      </c>
      <c r="E98">
        <v>50.895000000000003</v>
      </c>
      <c r="F98">
        <v>721.5</v>
      </c>
      <c r="G98">
        <v>1094.2</v>
      </c>
      <c r="H98">
        <v>0</v>
      </c>
      <c r="I98">
        <v>0</v>
      </c>
      <c r="J98">
        <v>0</v>
      </c>
      <c r="K98">
        <v>0</v>
      </c>
      <c r="L98">
        <v>168.9</v>
      </c>
      <c r="M98">
        <v>14</v>
      </c>
      <c r="N98" s="10">
        <v>32.17</v>
      </c>
      <c r="O98" s="2">
        <f t="shared" si="2"/>
        <v>304.88114399999995</v>
      </c>
      <c r="P98" s="2">
        <f t="shared" si="3"/>
        <v>138.09299999999999</v>
      </c>
      <c r="Q98">
        <v>0</v>
      </c>
    </row>
    <row r="99" spans="1:17" x14ac:dyDescent="0.25">
      <c r="A99" s="15"/>
      <c r="B99" s="15"/>
      <c r="C99">
        <v>15</v>
      </c>
      <c r="D99">
        <v>288.40499999999997</v>
      </c>
      <c r="E99">
        <v>50.895000000000003</v>
      </c>
      <c r="F99">
        <v>721.5</v>
      </c>
      <c r="G99">
        <v>1094.2</v>
      </c>
      <c r="H99">
        <v>0</v>
      </c>
      <c r="I99">
        <v>0</v>
      </c>
      <c r="J99">
        <v>0</v>
      </c>
      <c r="K99">
        <v>0</v>
      </c>
      <c r="L99">
        <v>168.9</v>
      </c>
      <c r="M99">
        <v>28</v>
      </c>
      <c r="N99" s="10">
        <v>31.78</v>
      </c>
      <c r="O99" s="2">
        <f t="shared" si="2"/>
        <v>304.88114399999995</v>
      </c>
      <c r="P99" s="2">
        <f t="shared" si="3"/>
        <v>138.09299999999999</v>
      </c>
      <c r="Q99">
        <v>0</v>
      </c>
    </row>
    <row r="100" spans="1:17" x14ac:dyDescent="0.25">
      <c r="A100" s="15"/>
      <c r="B100" s="15"/>
      <c r="C100">
        <v>15</v>
      </c>
      <c r="D100">
        <v>288.40499999999997</v>
      </c>
      <c r="E100">
        <v>50.895000000000003</v>
      </c>
      <c r="F100">
        <v>721.5</v>
      </c>
      <c r="G100">
        <v>1094.2</v>
      </c>
      <c r="H100">
        <v>0</v>
      </c>
      <c r="I100">
        <v>0</v>
      </c>
      <c r="J100">
        <v>0</v>
      </c>
      <c r="K100">
        <v>0</v>
      </c>
      <c r="L100">
        <v>168.9</v>
      </c>
      <c r="M100">
        <v>56</v>
      </c>
      <c r="N100" s="10">
        <v>31.37</v>
      </c>
      <c r="O100" s="2">
        <f t="shared" si="2"/>
        <v>304.88114399999995</v>
      </c>
      <c r="P100" s="2">
        <f t="shared" si="3"/>
        <v>138.09299999999999</v>
      </c>
      <c r="Q100">
        <v>0</v>
      </c>
    </row>
    <row r="101" spans="1:17" x14ac:dyDescent="0.25">
      <c r="A101" s="15"/>
      <c r="B101" s="15"/>
      <c r="C101">
        <v>15</v>
      </c>
      <c r="D101">
        <v>288.40499999999997</v>
      </c>
      <c r="E101">
        <v>50.895000000000003</v>
      </c>
      <c r="F101">
        <v>721.5</v>
      </c>
      <c r="G101">
        <v>1094.2</v>
      </c>
      <c r="H101">
        <v>0</v>
      </c>
      <c r="I101">
        <v>0</v>
      </c>
      <c r="J101">
        <v>0</v>
      </c>
      <c r="K101">
        <v>0</v>
      </c>
      <c r="L101">
        <v>168.9</v>
      </c>
      <c r="M101">
        <v>90</v>
      </c>
      <c r="N101" s="10">
        <v>35.72</v>
      </c>
      <c r="O101" s="2">
        <f t="shared" si="2"/>
        <v>304.88114399999995</v>
      </c>
      <c r="P101" s="2">
        <f t="shared" si="3"/>
        <v>138.09299999999999</v>
      </c>
      <c r="Q101">
        <v>0</v>
      </c>
    </row>
    <row r="102" spans="1:17" x14ac:dyDescent="0.25">
      <c r="A102" s="15"/>
      <c r="B102" s="15"/>
      <c r="C102">
        <v>20</v>
      </c>
      <c r="D102">
        <v>271.44</v>
      </c>
      <c r="E102">
        <v>67.86</v>
      </c>
      <c r="F102">
        <v>721.5</v>
      </c>
      <c r="G102">
        <v>1094.2</v>
      </c>
      <c r="H102">
        <v>0</v>
      </c>
      <c r="I102">
        <v>0</v>
      </c>
      <c r="J102">
        <v>0</v>
      </c>
      <c r="K102">
        <v>0</v>
      </c>
      <c r="L102">
        <v>168.9</v>
      </c>
      <c r="M102">
        <v>14</v>
      </c>
      <c r="N102" s="10">
        <v>26.45</v>
      </c>
      <c r="O102" s="2">
        <f t="shared" si="2"/>
        <v>292.55098199999998</v>
      </c>
      <c r="P102" s="2">
        <f t="shared" si="3"/>
        <v>131.73112499999999</v>
      </c>
      <c r="Q102">
        <v>0</v>
      </c>
    </row>
    <row r="103" spans="1:17" x14ac:dyDescent="0.25">
      <c r="A103" s="15"/>
      <c r="B103" s="15"/>
      <c r="C103">
        <v>20</v>
      </c>
      <c r="D103">
        <v>271.44</v>
      </c>
      <c r="E103">
        <v>67.86</v>
      </c>
      <c r="F103">
        <v>721.5</v>
      </c>
      <c r="G103">
        <v>1094.2</v>
      </c>
      <c r="H103">
        <v>0</v>
      </c>
      <c r="I103">
        <v>0</v>
      </c>
      <c r="J103">
        <v>0</v>
      </c>
      <c r="K103">
        <v>0</v>
      </c>
      <c r="L103">
        <v>168.9</v>
      </c>
      <c r="M103">
        <v>28</v>
      </c>
      <c r="N103" s="10">
        <v>30.19</v>
      </c>
      <c r="O103" s="2">
        <f t="shared" si="2"/>
        <v>292.55098199999998</v>
      </c>
      <c r="P103" s="2">
        <f t="shared" si="3"/>
        <v>131.73112499999999</v>
      </c>
      <c r="Q103">
        <v>0</v>
      </c>
    </row>
    <row r="104" spans="1:17" x14ac:dyDescent="0.25">
      <c r="A104" s="15"/>
      <c r="B104" s="15"/>
      <c r="C104">
        <v>20</v>
      </c>
      <c r="D104">
        <v>271.44</v>
      </c>
      <c r="E104">
        <v>67.86</v>
      </c>
      <c r="F104">
        <v>721.5</v>
      </c>
      <c r="G104">
        <v>1094.2</v>
      </c>
      <c r="H104">
        <v>0</v>
      </c>
      <c r="I104">
        <v>0</v>
      </c>
      <c r="J104">
        <v>0</v>
      </c>
      <c r="K104">
        <v>0</v>
      </c>
      <c r="L104">
        <v>168.9</v>
      </c>
      <c r="M104">
        <v>56</v>
      </c>
      <c r="N104" s="10">
        <v>34.409999999999997</v>
      </c>
      <c r="O104" s="2">
        <f t="shared" si="2"/>
        <v>292.55098199999998</v>
      </c>
      <c r="P104" s="2">
        <f t="shared" si="3"/>
        <v>131.73112499999999</v>
      </c>
      <c r="Q104">
        <v>0</v>
      </c>
    </row>
    <row r="105" spans="1:17" x14ac:dyDescent="0.25">
      <c r="A105" s="15"/>
      <c r="B105" s="15"/>
      <c r="C105">
        <v>20</v>
      </c>
      <c r="D105">
        <v>271.44</v>
      </c>
      <c r="E105">
        <v>67.86</v>
      </c>
      <c r="F105">
        <v>721.5</v>
      </c>
      <c r="G105">
        <v>1094.2</v>
      </c>
      <c r="H105">
        <v>0</v>
      </c>
      <c r="I105">
        <v>0</v>
      </c>
      <c r="J105">
        <v>0</v>
      </c>
      <c r="K105">
        <v>0</v>
      </c>
      <c r="L105">
        <v>168.9</v>
      </c>
      <c r="M105">
        <v>90</v>
      </c>
      <c r="N105" s="10">
        <v>31.7</v>
      </c>
      <c r="O105" s="2">
        <f t="shared" si="2"/>
        <v>292.55098199999998</v>
      </c>
      <c r="P105" s="2">
        <f t="shared" si="3"/>
        <v>131.73112499999999</v>
      </c>
      <c r="Q105">
        <v>0</v>
      </c>
    </row>
    <row r="106" spans="1:17" x14ac:dyDescent="0.25">
      <c r="A106" s="15"/>
      <c r="B106" s="15"/>
      <c r="C106">
        <v>25</v>
      </c>
      <c r="D106">
        <v>254.47499999999999</v>
      </c>
      <c r="E106">
        <v>84.825000000000003</v>
      </c>
      <c r="F106">
        <v>721.5</v>
      </c>
      <c r="G106">
        <v>1094.2</v>
      </c>
      <c r="H106">
        <v>0</v>
      </c>
      <c r="I106">
        <v>0</v>
      </c>
      <c r="J106">
        <v>0</v>
      </c>
      <c r="K106">
        <v>0</v>
      </c>
      <c r="L106">
        <v>168.9</v>
      </c>
      <c r="M106">
        <v>14</v>
      </c>
      <c r="N106" s="10">
        <v>25.38</v>
      </c>
      <c r="O106" s="2">
        <f t="shared" si="2"/>
        <v>280.22082</v>
      </c>
      <c r="P106" s="2">
        <f t="shared" si="3"/>
        <v>125.36925000000001</v>
      </c>
      <c r="Q106">
        <v>0</v>
      </c>
    </row>
    <row r="107" spans="1:17" x14ac:dyDescent="0.25">
      <c r="A107" s="15"/>
      <c r="B107" s="15"/>
      <c r="C107">
        <v>25</v>
      </c>
      <c r="D107">
        <v>254.47499999999999</v>
      </c>
      <c r="E107">
        <v>84.825000000000003</v>
      </c>
      <c r="F107">
        <v>721.5</v>
      </c>
      <c r="G107">
        <v>1094.2</v>
      </c>
      <c r="H107">
        <v>0</v>
      </c>
      <c r="I107">
        <v>0</v>
      </c>
      <c r="J107">
        <v>0</v>
      </c>
      <c r="K107">
        <v>0</v>
      </c>
      <c r="L107">
        <v>168.9</v>
      </c>
      <c r="M107">
        <v>28</v>
      </c>
      <c r="N107" s="10">
        <v>32.01</v>
      </c>
      <c r="O107" s="2">
        <f t="shared" si="2"/>
        <v>280.22082</v>
      </c>
      <c r="P107" s="2">
        <f t="shared" si="3"/>
        <v>125.36925000000001</v>
      </c>
      <c r="Q107">
        <v>0</v>
      </c>
    </row>
    <row r="108" spans="1:17" x14ac:dyDescent="0.25">
      <c r="A108" s="15"/>
      <c r="B108" s="15"/>
      <c r="C108">
        <v>25</v>
      </c>
      <c r="D108">
        <v>254.47499999999999</v>
      </c>
      <c r="E108">
        <v>84.825000000000003</v>
      </c>
      <c r="F108">
        <v>721.5</v>
      </c>
      <c r="G108">
        <v>1094.2</v>
      </c>
      <c r="H108">
        <v>0</v>
      </c>
      <c r="I108">
        <v>0</v>
      </c>
      <c r="J108">
        <v>0</v>
      </c>
      <c r="K108">
        <v>0</v>
      </c>
      <c r="L108">
        <v>168.9</v>
      </c>
      <c r="M108">
        <v>56</v>
      </c>
      <c r="N108" s="10">
        <v>31.99</v>
      </c>
      <c r="O108" s="2">
        <f t="shared" si="2"/>
        <v>280.22082</v>
      </c>
      <c r="P108" s="2">
        <f t="shared" si="3"/>
        <v>125.36925000000001</v>
      </c>
      <c r="Q108">
        <v>0</v>
      </c>
    </row>
    <row r="109" spans="1:17" x14ac:dyDescent="0.25">
      <c r="A109" s="15"/>
      <c r="B109" s="15"/>
      <c r="C109">
        <v>25</v>
      </c>
      <c r="D109">
        <v>254.47499999999999</v>
      </c>
      <c r="E109">
        <v>84.825000000000003</v>
      </c>
      <c r="F109">
        <v>721.5</v>
      </c>
      <c r="G109">
        <v>1094.2</v>
      </c>
      <c r="H109">
        <v>0</v>
      </c>
      <c r="I109">
        <v>0</v>
      </c>
      <c r="J109">
        <v>0</v>
      </c>
      <c r="K109">
        <v>0</v>
      </c>
      <c r="L109">
        <v>168.9</v>
      </c>
      <c r="M109">
        <v>90</v>
      </c>
      <c r="N109" s="10">
        <v>34.78</v>
      </c>
      <c r="O109" s="2">
        <f t="shared" si="2"/>
        <v>280.22082</v>
      </c>
      <c r="P109" s="2">
        <f t="shared" si="3"/>
        <v>125.36925000000001</v>
      </c>
      <c r="Q109">
        <v>0</v>
      </c>
    </row>
    <row r="110" spans="1:17" x14ac:dyDescent="0.25">
      <c r="A110" s="15"/>
      <c r="B110" s="15"/>
      <c r="C110">
        <v>30</v>
      </c>
      <c r="D110">
        <v>237.51</v>
      </c>
      <c r="E110">
        <v>101.79</v>
      </c>
      <c r="F110">
        <v>721.5</v>
      </c>
      <c r="G110">
        <v>1094.2</v>
      </c>
      <c r="H110">
        <v>0</v>
      </c>
      <c r="I110">
        <v>0</v>
      </c>
      <c r="J110">
        <v>0</v>
      </c>
      <c r="K110">
        <v>0</v>
      </c>
      <c r="L110">
        <v>168.9</v>
      </c>
      <c r="M110">
        <v>14</v>
      </c>
      <c r="N110" s="10">
        <v>24.43</v>
      </c>
      <c r="O110" s="2">
        <f t="shared" si="2"/>
        <v>267.89065800000003</v>
      </c>
      <c r="P110" s="2">
        <f t="shared" si="3"/>
        <v>119.00737499999998</v>
      </c>
      <c r="Q110">
        <v>0</v>
      </c>
    </row>
    <row r="111" spans="1:17" x14ac:dyDescent="0.25">
      <c r="A111" s="15"/>
      <c r="B111" s="15"/>
      <c r="C111">
        <v>30</v>
      </c>
      <c r="D111">
        <v>237.51</v>
      </c>
      <c r="E111">
        <v>101.79</v>
      </c>
      <c r="F111">
        <v>721.5</v>
      </c>
      <c r="G111">
        <v>1094.2</v>
      </c>
      <c r="H111">
        <v>0</v>
      </c>
      <c r="I111">
        <v>0</v>
      </c>
      <c r="J111">
        <v>0</v>
      </c>
      <c r="K111">
        <v>0</v>
      </c>
      <c r="L111">
        <v>168.9</v>
      </c>
      <c r="M111">
        <v>28</v>
      </c>
      <c r="N111" s="10">
        <v>26.7</v>
      </c>
      <c r="O111" s="2">
        <f t="shared" si="2"/>
        <v>267.89065800000003</v>
      </c>
      <c r="P111" s="2">
        <f t="shared" si="3"/>
        <v>119.00737499999998</v>
      </c>
      <c r="Q111">
        <v>0</v>
      </c>
    </row>
    <row r="112" spans="1:17" x14ac:dyDescent="0.25">
      <c r="A112" s="15"/>
      <c r="B112" s="15"/>
      <c r="C112">
        <v>30</v>
      </c>
      <c r="D112">
        <v>237.51</v>
      </c>
      <c r="E112">
        <v>101.79</v>
      </c>
      <c r="F112">
        <v>721.5</v>
      </c>
      <c r="G112">
        <v>1094.2</v>
      </c>
      <c r="H112">
        <v>0</v>
      </c>
      <c r="I112">
        <v>0</v>
      </c>
      <c r="J112">
        <v>0</v>
      </c>
      <c r="K112">
        <v>0</v>
      </c>
      <c r="L112">
        <v>168.9</v>
      </c>
      <c r="M112">
        <v>56</v>
      </c>
      <c r="N112" s="10">
        <v>30.69</v>
      </c>
      <c r="O112" s="2">
        <f t="shared" si="2"/>
        <v>267.89065800000003</v>
      </c>
      <c r="P112" s="2">
        <f t="shared" si="3"/>
        <v>119.00737499999998</v>
      </c>
      <c r="Q112">
        <v>0</v>
      </c>
    </row>
    <row r="113" spans="1:17" x14ac:dyDescent="0.25">
      <c r="A113" s="15"/>
      <c r="B113" s="15"/>
      <c r="C113">
        <v>30</v>
      </c>
      <c r="D113">
        <v>237.51</v>
      </c>
      <c r="E113">
        <v>101.79</v>
      </c>
      <c r="F113">
        <v>721.5</v>
      </c>
      <c r="G113">
        <v>1094.2</v>
      </c>
      <c r="H113">
        <v>0</v>
      </c>
      <c r="I113">
        <v>0</v>
      </c>
      <c r="J113">
        <v>0</v>
      </c>
      <c r="K113">
        <v>0</v>
      </c>
      <c r="L113">
        <v>168.9</v>
      </c>
      <c r="M113">
        <v>90</v>
      </c>
      <c r="N113" s="10">
        <v>32.130000000000003</v>
      </c>
      <c r="O113" s="2">
        <f t="shared" si="2"/>
        <v>267.89065800000003</v>
      </c>
      <c r="P113" s="2">
        <f t="shared" si="3"/>
        <v>119.00737499999998</v>
      </c>
      <c r="Q113">
        <v>0</v>
      </c>
    </row>
    <row r="114" spans="1:17" x14ac:dyDescent="0.25">
      <c r="A114" s="15"/>
      <c r="B114" s="15"/>
      <c r="C114">
        <v>35</v>
      </c>
      <c r="D114">
        <v>220.54499999999999</v>
      </c>
      <c r="E114">
        <v>118.755</v>
      </c>
      <c r="F114">
        <v>721.5</v>
      </c>
      <c r="G114">
        <v>1094.2</v>
      </c>
      <c r="H114">
        <v>0</v>
      </c>
      <c r="I114">
        <v>0</v>
      </c>
      <c r="J114">
        <v>0</v>
      </c>
      <c r="K114">
        <v>0</v>
      </c>
      <c r="L114">
        <v>168.9</v>
      </c>
      <c r="M114">
        <v>14</v>
      </c>
      <c r="N114" s="10">
        <v>21.96</v>
      </c>
      <c r="O114" s="2">
        <f t="shared" si="2"/>
        <v>255.560496</v>
      </c>
      <c r="P114" s="2">
        <f t="shared" si="3"/>
        <v>112.6455</v>
      </c>
      <c r="Q114">
        <v>0</v>
      </c>
    </row>
    <row r="115" spans="1:17" x14ac:dyDescent="0.25">
      <c r="A115" s="15"/>
      <c r="B115" s="15"/>
      <c r="C115">
        <v>35</v>
      </c>
      <c r="D115">
        <v>220.54499999999999</v>
      </c>
      <c r="E115">
        <v>118.755</v>
      </c>
      <c r="F115">
        <v>721.5</v>
      </c>
      <c r="G115">
        <v>1094.2</v>
      </c>
      <c r="H115">
        <v>0</v>
      </c>
      <c r="I115">
        <v>0</v>
      </c>
      <c r="J115">
        <v>0</v>
      </c>
      <c r="K115">
        <v>0</v>
      </c>
      <c r="L115">
        <v>168.9</v>
      </c>
      <c r="M115">
        <v>28</v>
      </c>
      <c r="N115" s="10">
        <v>24.09</v>
      </c>
      <c r="O115" s="2">
        <f t="shared" si="2"/>
        <v>255.560496</v>
      </c>
      <c r="P115" s="2">
        <f t="shared" si="3"/>
        <v>112.6455</v>
      </c>
      <c r="Q115">
        <v>0</v>
      </c>
    </row>
    <row r="116" spans="1:17" x14ac:dyDescent="0.25">
      <c r="A116" s="15"/>
      <c r="B116" s="15"/>
      <c r="C116">
        <v>35</v>
      </c>
      <c r="D116">
        <v>220.54499999999999</v>
      </c>
      <c r="E116">
        <v>118.755</v>
      </c>
      <c r="F116">
        <v>721.5</v>
      </c>
      <c r="G116">
        <v>1094.2</v>
      </c>
      <c r="H116">
        <v>0</v>
      </c>
      <c r="I116">
        <v>0</v>
      </c>
      <c r="J116">
        <v>0</v>
      </c>
      <c r="K116">
        <v>0</v>
      </c>
      <c r="L116">
        <v>168.9</v>
      </c>
      <c r="M116">
        <v>56</v>
      </c>
      <c r="N116" s="10">
        <v>30.54</v>
      </c>
      <c r="O116" s="2">
        <f t="shared" si="2"/>
        <v>255.560496</v>
      </c>
      <c r="P116" s="2">
        <f t="shared" si="3"/>
        <v>112.6455</v>
      </c>
      <c r="Q116">
        <v>0</v>
      </c>
    </row>
    <row r="117" spans="1:17" x14ac:dyDescent="0.25">
      <c r="A117" s="15"/>
      <c r="B117" s="15"/>
      <c r="C117">
        <v>35</v>
      </c>
      <c r="D117">
        <v>220.54499999999999</v>
      </c>
      <c r="E117">
        <v>118.755</v>
      </c>
      <c r="F117">
        <v>721.5</v>
      </c>
      <c r="G117">
        <v>1094.2</v>
      </c>
      <c r="H117">
        <v>0</v>
      </c>
      <c r="I117">
        <v>0</v>
      </c>
      <c r="J117">
        <v>0</v>
      </c>
      <c r="K117">
        <v>0</v>
      </c>
      <c r="L117">
        <v>168.9</v>
      </c>
      <c r="M117">
        <v>90</v>
      </c>
      <c r="N117" s="10">
        <v>32.86</v>
      </c>
      <c r="O117" s="2">
        <f t="shared" si="2"/>
        <v>255.560496</v>
      </c>
      <c r="P117" s="2">
        <f t="shared" si="3"/>
        <v>112.6455</v>
      </c>
      <c r="Q117">
        <v>0</v>
      </c>
    </row>
    <row r="118" spans="1:17" x14ac:dyDescent="0.25">
      <c r="A118" s="15"/>
      <c r="B118" s="15"/>
      <c r="C118">
        <v>40</v>
      </c>
      <c r="D118">
        <v>203.58</v>
      </c>
      <c r="E118">
        <v>135.72</v>
      </c>
      <c r="F118">
        <v>721.5</v>
      </c>
      <c r="G118">
        <v>1094.2</v>
      </c>
      <c r="H118">
        <v>0</v>
      </c>
      <c r="I118">
        <v>0</v>
      </c>
      <c r="J118">
        <v>0</v>
      </c>
      <c r="K118">
        <v>0</v>
      </c>
      <c r="L118">
        <v>168.9</v>
      </c>
      <c r="M118">
        <v>14</v>
      </c>
      <c r="N118" s="10">
        <v>24.33</v>
      </c>
      <c r="O118" s="2">
        <f t="shared" si="2"/>
        <v>243.230334</v>
      </c>
      <c r="P118" s="2">
        <f t="shared" si="3"/>
        <v>106.28362500000001</v>
      </c>
      <c r="Q118">
        <v>0</v>
      </c>
    </row>
    <row r="119" spans="1:17" x14ac:dyDescent="0.25">
      <c r="A119" s="15"/>
      <c r="B119" s="15"/>
      <c r="C119">
        <v>40</v>
      </c>
      <c r="D119">
        <v>203.58</v>
      </c>
      <c r="E119">
        <v>135.72</v>
      </c>
      <c r="F119">
        <v>721.5</v>
      </c>
      <c r="G119">
        <v>1094.2</v>
      </c>
      <c r="H119">
        <v>0</v>
      </c>
      <c r="I119">
        <v>0</v>
      </c>
      <c r="J119">
        <v>0</v>
      </c>
      <c r="K119">
        <v>0</v>
      </c>
      <c r="L119">
        <v>168.9</v>
      </c>
      <c r="M119">
        <v>28</v>
      </c>
      <c r="N119" s="10">
        <v>28.01</v>
      </c>
      <c r="O119" s="2">
        <f t="shared" si="2"/>
        <v>243.230334</v>
      </c>
      <c r="P119" s="2">
        <f t="shared" si="3"/>
        <v>106.28362500000001</v>
      </c>
      <c r="Q119">
        <v>0</v>
      </c>
    </row>
    <row r="120" spans="1:17" x14ac:dyDescent="0.25">
      <c r="A120" s="15"/>
      <c r="B120" s="15"/>
      <c r="C120">
        <v>40</v>
      </c>
      <c r="D120">
        <v>203.58</v>
      </c>
      <c r="E120">
        <v>135.72</v>
      </c>
      <c r="F120">
        <v>721.5</v>
      </c>
      <c r="G120">
        <v>1094.2</v>
      </c>
      <c r="H120">
        <v>0</v>
      </c>
      <c r="I120">
        <v>0</v>
      </c>
      <c r="J120">
        <v>0</v>
      </c>
      <c r="K120">
        <v>0</v>
      </c>
      <c r="L120">
        <v>168.9</v>
      </c>
      <c r="M120">
        <v>56</v>
      </c>
      <c r="N120" s="10">
        <v>26.62</v>
      </c>
      <c r="O120" s="2">
        <f t="shared" si="2"/>
        <v>243.230334</v>
      </c>
      <c r="P120" s="2">
        <f t="shared" si="3"/>
        <v>106.28362500000001</v>
      </c>
      <c r="Q120">
        <v>0</v>
      </c>
    </row>
    <row r="121" spans="1:17" x14ac:dyDescent="0.25">
      <c r="A121" s="15"/>
      <c r="B121" s="15"/>
      <c r="C121">
        <v>40</v>
      </c>
      <c r="D121">
        <v>203.58</v>
      </c>
      <c r="E121">
        <v>135.72</v>
      </c>
      <c r="F121">
        <v>721.5</v>
      </c>
      <c r="G121">
        <v>1094.2</v>
      </c>
      <c r="H121">
        <v>0</v>
      </c>
      <c r="I121">
        <v>0</v>
      </c>
      <c r="J121">
        <v>0</v>
      </c>
      <c r="K121">
        <v>0</v>
      </c>
      <c r="L121">
        <v>168.9</v>
      </c>
      <c r="M121">
        <v>90</v>
      </c>
      <c r="N121" s="10">
        <v>28.46</v>
      </c>
      <c r="O121" s="2">
        <f t="shared" si="2"/>
        <v>243.230334</v>
      </c>
      <c r="P121" s="2">
        <f t="shared" si="3"/>
        <v>106.28362500000001</v>
      </c>
      <c r="Q121">
        <v>0</v>
      </c>
    </row>
    <row r="122" spans="1:17" x14ac:dyDescent="0.25">
      <c r="A122" s="15"/>
      <c r="B122" s="15"/>
      <c r="C122">
        <v>45</v>
      </c>
      <c r="D122">
        <v>186.61500000000001</v>
      </c>
      <c r="E122">
        <v>152.685</v>
      </c>
      <c r="F122">
        <v>721.5</v>
      </c>
      <c r="G122">
        <v>1094.2</v>
      </c>
      <c r="H122">
        <v>0</v>
      </c>
      <c r="I122">
        <v>0</v>
      </c>
      <c r="J122">
        <v>0</v>
      </c>
      <c r="K122">
        <v>0</v>
      </c>
      <c r="L122">
        <v>168.9</v>
      </c>
      <c r="M122">
        <v>14</v>
      </c>
      <c r="N122" s="10">
        <v>21.12</v>
      </c>
      <c r="O122" s="2">
        <f t="shared" si="2"/>
        <v>230.900172</v>
      </c>
      <c r="P122" s="2">
        <f t="shared" si="3"/>
        <v>99.921749999999989</v>
      </c>
      <c r="Q122">
        <v>0</v>
      </c>
    </row>
    <row r="123" spans="1:17" x14ac:dyDescent="0.25">
      <c r="A123" s="15"/>
      <c r="B123" s="15"/>
      <c r="C123">
        <v>45</v>
      </c>
      <c r="D123">
        <v>186.61500000000001</v>
      </c>
      <c r="E123">
        <v>152.685</v>
      </c>
      <c r="F123">
        <v>721.5</v>
      </c>
      <c r="G123">
        <v>1094.2</v>
      </c>
      <c r="H123">
        <v>0</v>
      </c>
      <c r="I123">
        <v>0</v>
      </c>
      <c r="J123">
        <v>0</v>
      </c>
      <c r="K123">
        <v>0</v>
      </c>
      <c r="L123">
        <v>168.9</v>
      </c>
      <c r="M123">
        <v>28</v>
      </c>
      <c r="N123" s="10">
        <v>25.34</v>
      </c>
      <c r="O123" s="2">
        <f t="shared" si="2"/>
        <v>230.900172</v>
      </c>
      <c r="P123" s="2">
        <f t="shared" si="3"/>
        <v>99.921749999999989</v>
      </c>
      <c r="Q123">
        <v>0</v>
      </c>
    </row>
    <row r="124" spans="1:17" x14ac:dyDescent="0.25">
      <c r="A124" s="15"/>
      <c r="B124" s="15"/>
      <c r="C124">
        <v>45</v>
      </c>
      <c r="D124">
        <v>186.61500000000001</v>
      </c>
      <c r="E124">
        <v>152.685</v>
      </c>
      <c r="F124">
        <v>721.5</v>
      </c>
      <c r="G124">
        <v>1094.2</v>
      </c>
      <c r="H124">
        <v>0</v>
      </c>
      <c r="I124">
        <v>0</v>
      </c>
      <c r="J124">
        <v>0</v>
      </c>
      <c r="K124">
        <v>0</v>
      </c>
      <c r="L124">
        <v>168.9</v>
      </c>
      <c r="M124">
        <v>56</v>
      </c>
      <c r="N124" s="10">
        <v>25.98</v>
      </c>
      <c r="O124" s="2">
        <f t="shared" si="2"/>
        <v>230.900172</v>
      </c>
      <c r="P124" s="2">
        <f t="shared" si="3"/>
        <v>99.921749999999989</v>
      </c>
      <c r="Q124">
        <v>0</v>
      </c>
    </row>
    <row r="125" spans="1:17" x14ac:dyDescent="0.25">
      <c r="A125" s="15"/>
      <c r="B125" s="15"/>
      <c r="C125">
        <v>45</v>
      </c>
      <c r="D125">
        <v>186.61500000000001</v>
      </c>
      <c r="E125">
        <v>152.685</v>
      </c>
      <c r="F125">
        <v>721.5</v>
      </c>
      <c r="G125">
        <v>1094.2</v>
      </c>
      <c r="H125">
        <v>0</v>
      </c>
      <c r="I125">
        <v>0</v>
      </c>
      <c r="J125">
        <v>0</v>
      </c>
      <c r="K125">
        <v>0</v>
      </c>
      <c r="L125">
        <v>168.9</v>
      </c>
      <c r="M125">
        <v>90</v>
      </c>
      <c r="N125" s="10">
        <v>29.6</v>
      </c>
      <c r="O125" s="2">
        <f t="shared" si="2"/>
        <v>230.900172</v>
      </c>
      <c r="P125" s="2">
        <f t="shared" si="3"/>
        <v>99.921749999999989</v>
      </c>
      <c r="Q125">
        <v>0</v>
      </c>
    </row>
    <row r="126" spans="1:17" x14ac:dyDescent="0.25">
      <c r="A126" s="15"/>
      <c r="B126" s="15"/>
      <c r="C126">
        <v>50</v>
      </c>
      <c r="D126">
        <v>169.65</v>
      </c>
      <c r="E126">
        <v>169.65</v>
      </c>
      <c r="F126">
        <v>721.5</v>
      </c>
      <c r="G126">
        <v>1094.2</v>
      </c>
      <c r="H126">
        <v>0</v>
      </c>
      <c r="I126">
        <v>0</v>
      </c>
      <c r="J126">
        <v>0</v>
      </c>
      <c r="K126">
        <v>0</v>
      </c>
      <c r="L126">
        <v>168.9</v>
      </c>
      <c r="M126">
        <v>14</v>
      </c>
      <c r="N126" s="10">
        <v>24.96</v>
      </c>
      <c r="O126" s="2">
        <f t="shared" si="2"/>
        <v>218.57001</v>
      </c>
      <c r="P126" s="2">
        <f t="shared" si="3"/>
        <v>93.559875000000005</v>
      </c>
      <c r="Q126">
        <v>0</v>
      </c>
    </row>
    <row r="127" spans="1:17" x14ac:dyDescent="0.25">
      <c r="A127" s="15"/>
      <c r="B127" s="15"/>
      <c r="C127">
        <v>50</v>
      </c>
      <c r="D127">
        <v>169.65</v>
      </c>
      <c r="E127">
        <v>169.65</v>
      </c>
      <c r="F127">
        <v>721.5</v>
      </c>
      <c r="G127">
        <v>1094.2</v>
      </c>
      <c r="H127">
        <v>0</v>
      </c>
      <c r="I127">
        <v>0</v>
      </c>
      <c r="J127">
        <v>0</v>
      </c>
      <c r="K127">
        <v>0</v>
      </c>
      <c r="L127">
        <v>168.9</v>
      </c>
      <c r="M127">
        <v>28</v>
      </c>
      <c r="N127" s="10">
        <v>24.19</v>
      </c>
      <c r="O127" s="2">
        <f t="shared" si="2"/>
        <v>218.57001</v>
      </c>
      <c r="P127" s="2">
        <f t="shared" si="3"/>
        <v>93.559875000000005</v>
      </c>
      <c r="Q127">
        <v>0</v>
      </c>
    </row>
    <row r="128" spans="1:17" x14ac:dyDescent="0.25">
      <c r="A128" s="15"/>
      <c r="B128" s="15"/>
      <c r="C128">
        <v>50</v>
      </c>
      <c r="D128">
        <v>169.65</v>
      </c>
      <c r="E128">
        <v>169.65</v>
      </c>
      <c r="F128">
        <v>721.5</v>
      </c>
      <c r="G128">
        <v>1094.2</v>
      </c>
      <c r="H128">
        <v>0</v>
      </c>
      <c r="I128">
        <v>0</v>
      </c>
      <c r="J128">
        <v>0</v>
      </c>
      <c r="K128">
        <v>0</v>
      </c>
      <c r="L128">
        <v>168.9</v>
      </c>
      <c r="M128">
        <v>56</v>
      </c>
      <c r="N128" s="10">
        <v>26.63</v>
      </c>
      <c r="O128" s="2">
        <f t="shared" si="2"/>
        <v>218.57001</v>
      </c>
      <c r="P128" s="2">
        <f t="shared" si="3"/>
        <v>93.559875000000005</v>
      </c>
      <c r="Q128">
        <v>0</v>
      </c>
    </row>
    <row r="129" spans="1:17" x14ac:dyDescent="0.25">
      <c r="A129" s="15"/>
      <c r="B129" s="15"/>
      <c r="C129">
        <v>50</v>
      </c>
      <c r="D129">
        <v>169.65</v>
      </c>
      <c r="E129">
        <v>169.65</v>
      </c>
      <c r="F129">
        <v>721.5</v>
      </c>
      <c r="G129">
        <v>1094.2</v>
      </c>
      <c r="H129">
        <v>0</v>
      </c>
      <c r="I129">
        <v>0</v>
      </c>
      <c r="J129">
        <v>0</v>
      </c>
      <c r="K129">
        <v>0</v>
      </c>
      <c r="L129">
        <v>168.9</v>
      </c>
      <c r="M129">
        <v>90</v>
      </c>
      <c r="N129" s="10">
        <v>28.11</v>
      </c>
      <c r="O129" s="2">
        <f t="shared" si="2"/>
        <v>218.57001</v>
      </c>
      <c r="P129" s="2">
        <f t="shared" si="3"/>
        <v>93.559875000000005</v>
      </c>
      <c r="Q129">
        <v>0</v>
      </c>
    </row>
    <row r="130" spans="1:17" x14ac:dyDescent="0.25">
      <c r="A130" s="15" t="s">
        <v>39</v>
      </c>
      <c r="B130" s="15" t="s">
        <v>40</v>
      </c>
      <c r="C130">
        <v>0</v>
      </c>
      <c r="D130">
        <v>294.8</v>
      </c>
      <c r="E130">
        <v>0</v>
      </c>
      <c r="F130">
        <v>708.9</v>
      </c>
      <c r="G130">
        <v>1124.5999999999999</v>
      </c>
      <c r="H130">
        <v>0</v>
      </c>
      <c r="I130">
        <v>0</v>
      </c>
      <c r="J130">
        <v>0</v>
      </c>
      <c r="K130">
        <v>0</v>
      </c>
      <c r="L130">
        <v>170.3</v>
      </c>
      <c r="M130">
        <v>14</v>
      </c>
      <c r="N130" s="10">
        <v>31.77</v>
      </c>
      <c r="O130" s="2">
        <f t="shared" ref="O130:O193" si="4">SUM((D130*0.83)+(E130*0.1032)+(F130*0.0139)+(G130*0.0459)+(K130*2))</f>
        <v>306.15685000000002</v>
      </c>
      <c r="P130" s="2">
        <f t="shared" si="3"/>
        <v>140.71087499999999</v>
      </c>
      <c r="Q130">
        <v>0</v>
      </c>
    </row>
    <row r="131" spans="1:17" x14ac:dyDescent="0.25">
      <c r="A131" s="15"/>
      <c r="B131" s="15"/>
      <c r="C131">
        <v>0</v>
      </c>
      <c r="D131">
        <v>294.8</v>
      </c>
      <c r="E131">
        <v>0</v>
      </c>
      <c r="F131">
        <v>708.9</v>
      </c>
      <c r="G131">
        <v>1124.5999999999999</v>
      </c>
      <c r="H131">
        <v>0</v>
      </c>
      <c r="I131">
        <v>0</v>
      </c>
      <c r="J131">
        <v>0</v>
      </c>
      <c r="K131">
        <v>0</v>
      </c>
      <c r="L131">
        <v>170.3</v>
      </c>
      <c r="M131">
        <v>28</v>
      </c>
      <c r="N131" s="10">
        <v>34.08</v>
      </c>
      <c r="O131" s="2">
        <f t="shared" si="4"/>
        <v>306.15685000000002</v>
      </c>
      <c r="P131" s="2">
        <f t="shared" ref="P131:P194" si="5">SUM((D131*5)+((F131*0.25)+(G131*0.2)+(K131*20)))*0.075</f>
        <v>140.71087499999999</v>
      </c>
      <c r="Q131">
        <v>0</v>
      </c>
    </row>
    <row r="132" spans="1:17" x14ac:dyDescent="0.25">
      <c r="A132" s="15"/>
      <c r="B132" s="15"/>
      <c r="C132">
        <v>0</v>
      </c>
      <c r="D132">
        <v>294.8</v>
      </c>
      <c r="E132">
        <v>0</v>
      </c>
      <c r="F132">
        <v>708.9</v>
      </c>
      <c r="G132">
        <v>1124.5999999999999</v>
      </c>
      <c r="H132">
        <v>0</v>
      </c>
      <c r="I132">
        <v>0</v>
      </c>
      <c r="J132">
        <v>0</v>
      </c>
      <c r="K132">
        <v>0</v>
      </c>
      <c r="L132">
        <v>170.3</v>
      </c>
      <c r="M132">
        <v>56</v>
      </c>
      <c r="N132" s="10">
        <v>36.26</v>
      </c>
      <c r="O132" s="2">
        <f t="shared" si="4"/>
        <v>306.15685000000002</v>
      </c>
      <c r="P132" s="2">
        <f t="shared" si="5"/>
        <v>140.71087499999999</v>
      </c>
      <c r="Q132">
        <v>0</v>
      </c>
    </row>
    <row r="133" spans="1:17" x14ac:dyDescent="0.25">
      <c r="A133" s="15"/>
      <c r="B133" s="15"/>
      <c r="C133">
        <v>0</v>
      </c>
      <c r="D133">
        <v>294.8</v>
      </c>
      <c r="E133">
        <v>0</v>
      </c>
      <c r="F133">
        <v>708.9</v>
      </c>
      <c r="G133">
        <v>1124.5999999999999</v>
      </c>
      <c r="H133">
        <v>0</v>
      </c>
      <c r="I133">
        <v>0</v>
      </c>
      <c r="J133">
        <v>0</v>
      </c>
      <c r="K133">
        <v>0</v>
      </c>
      <c r="L133">
        <v>170.3</v>
      </c>
      <c r="M133">
        <v>90</v>
      </c>
      <c r="N133" s="10">
        <v>34.840000000000003</v>
      </c>
      <c r="O133" s="2">
        <f t="shared" si="4"/>
        <v>306.15685000000002</v>
      </c>
      <c r="P133" s="2">
        <f t="shared" si="5"/>
        <v>140.71087499999999</v>
      </c>
      <c r="Q133">
        <v>0</v>
      </c>
    </row>
    <row r="134" spans="1:17" x14ac:dyDescent="0.25">
      <c r="A134" s="15"/>
      <c r="B134" s="15"/>
      <c r="C134">
        <v>5</v>
      </c>
      <c r="D134">
        <v>280.06</v>
      </c>
      <c r="E134">
        <v>14.74</v>
      </c>
      <c r="F134">
        <v>708.9</v>
      </c>
      <c r="G134">
        <v>1124.5999999999999</v>
      </c>
      <c r="H134">
        <v>0</v>
      </c>
      <c r="I134">
        <v>0</v>
      </c>
      <c r="J134">
        <v>0</v>
      </c>
      <c r="K134">
        <v>0</v>
      </c>
      <c r="L134">
        <v>170.3</v>
      </c>
      <c r="M134">
        <v>14</v>
      </c>
      <c r="N134" s="10">
        <v>30.3</v>
      </c>
      <c r="O134" s="2">
        <f t="shared" si="4"/>
        <v>295.44381799999996</v>
      </c>
      <c r="P134" s="2">
        <f t="shared" si="5"/>
        <v>135.18337499999998</v>
      </c>
      <c r="Q134">
        <v>0</v>
      </c>
    </row>
    <row r="135" spans="1:17" x14ac:dyDescent="0.25">
      <c r="A135" s="15"/>
      <c r="B135" s="15"/>
      <c r="C135">
        <v>5</v>
      </c>
      <c r="D135">
        <v>280.06</v>
      </c>
      <c r="E135">
        <v>14.74</v>
      </c>
      <c r="F135">
        <v>708.9</v>
      </c>
      <c r="G135">
        <v>1124.5999999999999</v>
      </c>
      <c r="H135">
        <v>0</v>
      </c>
      <c r="I135">
        <v>0</v>
      </c>
      <c r="J135">
        <v>0</v>
      </c>
      <c r="K135">
        <v>0</v>
      </c>
      <c r="L135">
        <v>170.3</v>
      </c>
      <c r="M135">
        <v>28</v>
      </c>
      <c r="N135" s="10">
        <v>30.79</v>
      </c>
      <c r="O135" s="2">
        <f t="shared" si="4"/>
        <v>295.44381799999996</v>
      </c>
      <c r="P135" s="2">
        <f t="shared" si="5"/>
        <v>135.18337499999998</v>
      </c>
      <c r="Q135">
        <v>0</v>
      </c>
    </row>
    <row r="136" spans="1:17" x14ac:dyDescent="0.25">
      <c r="A136" s="15"/>
      <c r="B136" s="15"/>
      <c r="C136">
        <v>5</v>
      </c>
      <c r="D136">
        <v>280.06</v>
      </c>
      <c r="E136">
        <v>14.74</v>
      </c>
      <c r="F136">
        <v>708.9</v>
      </c>
      <c r="G136">
        <v>1124.5999999999999</v>
      </c>
      <c r="H136">
        <v>0</v>
      </c>
      <c r="I136">
        <v>0</v>
      </c>
      <c r="J136">
        <v>0</v>
      </c>
      <c r="K136">
        <v>0</v>
      </c>
      <c r="L136">
        <v>170.3</v>
      </c>
      <c r="M136">
        <v>56</v>
      </c>
      <c r="N136" s="10">
        <v>33.840000000000003</v>
      </c>
      <c r="O136" s="2">
        <f t="shared" si="4"/>
        <v>295.44381799999996</v>
      </c>
      <c r="P136" s="2">
        <f t="shared" si="5"/>
        <v>135.18337499999998</v>
      </c>
      <c r="Q136">
        <v>0</v>
      </c>
    </row>
    <row r="137" spans="1:17" x14ac:dyDescent="0.25">
      <c r="A137" s="15"/>
      <c r="B137" s="15"/>
      <c r="C137">
        <v>5</v>
      </c>
      <c r="D137">
        <v>280.06</v>
      </c>
      <c r="E137">
        <v>14.74</v>
      </c>
      <c r="F137">
        <v>708.9</v>
      </c>
      <c r="G137">
        <v>1124.5999999999999</v>
      </c>
      <c r="H137">
        <v>0</v>
      </c>
      <c r="I137">
        <v>0</v>
      </c>
      <c r="J137">
        <v>0</v>
      </c>
      <c r="K137">
        <v>0</v>
      </c>
      <c r="L137">
        <v>170.3</v>
      </c>
      <c r="M137">
        <v>90</v>
      </c>
      <c r="N137" s="10">
        <v>38.299999999999997</v>
      </c>
      <c r="O137" s="2">
        <f t="shared" si="4"/>
        <v>295.44381799999996</v>
      </c>
      <c r="P137" s="2">
        <f t="shared" si="5"/>
        <v>135.18337499999998</v>
      </c>
      <c r="Q137">
        <v>0</v>
      </c>
    </row>
    <row r="138" spans="1:17" x14ac:dyDescent="0.25">
      <c r="A138" s="15"/>
      <c r="B138" s="15"/>
      <c r="C138">
        <v>10</v>
      </c>
      <c r="D138">
        <v>265.32</v>
      </c>
      <c r="E138">
        <v>29.48</v>
      </c>
      <c r="F138">
        <v>708.9</v>
      </c>
      <c r="G138">
        <v>1124.5999999999999</v>
      </c>
      <c r="H138">
        <v>0</v>
      </c>
      <c r="I138">
        <v>0</v>
      </c>
      <c r="J138">
        <v>0</v>
      </c>
      <c r="K138">
        <v>0</v>
      </c>
      <c r="L138">
        <v>170.3</v>
      </c>
      <c r="M138">
        <v>14</v>
      </c>
      <c r="N138" s="10">
        <v>32.729999999999997</v>
      </c>
      <c r="O138" s="2">
        <f t="shared" si="4"/>
        <v>284.73078600000002</v>
      </c>
      <c r="P138" s="2">
        <f t="shared" si="5"/>
        <v>129.65587499999998</v>
      </c>
      <c r="Q138">
        <v>0</v>
      </c>
    </row>
    <row r="139" spans="1:17" x14ac:dyDescent="0.25">
      <c r="A139" s="15"/>
      <c r="B139" s="15"/>
      <c r="C139">
        <v>10</v>
      </c>
      <c r="D139">
        <v>265.32</v>
      </c>
      <c r="E139">
        <v>29.48</v>
      </c>
      <c r="F139">
        <v>708.9</v>
      </c>
      <c r="G139">
        <v>1124.5999999999999</v>
      </c>
      <c r="H139">
        <v>0</v>
      </c>
      <c r="I139">
        <v>0</v>
      </c>
      <c r="J139">
        <v>0</v>
      </c>
      <c r="K139">
        <v>0</v>
      </c>
      <c r="L139">
        <v>170.3</v>
      </c>
      <c r="M139">
        <v>28</v>
      </c>
      <c r="N139" s="10">
        <v>33.67</v>
      </c>
      <c r="O139" s="2">
        <f t="shared" si="4"/>
        <v>284.73078600000002</v>
      </c>
      <c r="P139" s="2">
        <f t="shared" si="5"/>
        <v>129.65587499999998</v>
      </c>
      <c r="Q139">
        <v>0</v>
      </c>
    </row>
    <row r="140" spans="1:17" x14ac:dyDescent="0.25">
      <c r="A140" s="15"/>
      <c r="B140" s="15"/>
      <c r="C140">
        <v>10</v>
      </c>
      <c r="D140">
        <v>265.32</v>
      </c>
      <c r="E140">
        <v>29.48</v>
      </c>
      <c r="F140">
        <v>708.9</v>
      </c>
      <c r="G140">
        <v>1124.5999999999999</v>
      </c>
      <c r="H140">
        <v>0</v>
      </c>
      <c r="I140">
        <v>0</v>
      </c>
      <c r="J140">
        <v>0</v>
      </c>
      <c r="K140">
        <v>0</v>
      </c>
      <c r="L140">
        <v>170.3</v>
      </c>
      <c r="M140">
        <v>56</v>
      </c>
      <c r="N140" s="10">
        <v>33.130000000000003</v>
      </c>
      <c r="O140" s="2">
        <f t="shared" si="4"/>
        <v>284.73078600000002</v>
      </c>
      <c r="P140" s="2">
        <f t="shared" si="5"/>
        <v>129.65587499999998</v>
      </c>
      <c r="Q140">
        <v>0</v>
      </c>
    </row>
    <row r="141" spans="1:17" x14ac:dyDescent="0.25">
      <c r="A141" s="15"/>
      <c r="B141" s="15"/>
      <c r="C141">
        <v>10</v>
      </c>
      <c r="D141">
        <v>265.32</v>
      </c>
      <c r="E141">
        <v>29.48</v>
      </c>
      <c r="F141">
        <v>708.9</v>
      </c>
      <c r="G141">
        <v>1124.5999999999999</v>
      </c>
      <c r="H141">
        <v>0</v>
      </c>
      <c r="I141">
        <v>0</v>
      </c>
      <c r="J141">
        <v>0</v>
      </c>
      <c r="K141">
        <v>0</v>
      </c>
      <c r="L141">
        <v>170.3</v>
      </c>
      <c r="M141">
        <v>90</v>
      </c>
      <c r="N141" s="10">
        <v>35.79</v>
      </c>
      <c r="O141" s="2">
        <f t="shared" si="4"/>
        <v>284.73078600000002</v>
      </c>
      <c r="P141" s="2">
        <f t="shared" si="5"/>
        <v>129.65587499999998</v>
      </c>
      <c r="Q141">
        <v>0</v>
      </c>
    </row>
    <row r="142" spans="1:17" x14ac:dyDescent="0.25">
      <c r="A142" s="15"/>
      <c r="B142" s="15"/>
      <c r="C142">
        <v>15</v>
      </c>
      <c r="D142">
        <v>250.58</v>
      </c>
      <c r="E142">
        <v>44.22</v>
      </c>
      <c r="F142">
        <v>708.9</v>
      </c>
      <c r="G142">
        <v>1124.5999999999999</v>
      </c>
      <c r="H142">
        <v>0</v>
      </c>
      <c r="I142">
        <v>0</v>
      </c>
      <c r="J142">
        <v>0</v>
      </c>
      <c r="K142">
        <v>0</v>
      </c>
      <c r="L142">
        <v>170.3</v>
      </c>
      <c r="M142">
        <v>14</v>
      </c>
      <c r="N142" s="10">
        <v>28.77</v>
      </c>
      <c r="O142" s="2">
        <f t="shared" si="4"/>
        <v>274.01775400000002</v>
      </c>
      <c r="P142" s="2">
        <f t="shared" si="5"/>
        <v>124.12837500000001</v>
      </c>
      <c r="Q142">
        <v>0</v>
      </c>
    </row>
    <row r="143" spans="1:17" x14ac:dyDescent="0.25">
      <c r="A143" s="15"/>
      <c r="B143" s="15"/>
      <c r="C143">
        <v>15</v>
      </c>
      <c r="D143">
        <v>250.58</v>
      </c>
      <c r="E143">
        <v>44.22</v>
      </c>
      <c r="F143">
        <v>708.9</v>
      </c>
      <c r="G143">
        <v>1124.5999999999999</v>
      </c>
      <c r="H143">
        <v>0</v>
      </c>
      <c r="I143">
        <v>0</v>
      </c>
      <c r="J143">
        <v>0</v>
      </c>
      <c r="K143">
        <v>0</v>
      </c>
      <c r="L143">
        <v>170.3</v>
      </c>
      <c r="M143">
        <v>28</v>
      </c>
      <c r="N143" s="10">
        <v>32.43</v>
      </c>
      <c r="O143" s="2">
        <f t="shared" si="4"/>
        <v>274.01775400000002</v>
      </c>
      <c r="P143" s="2">
        <f t="shared" si="5"/>
        <v>124.12837500000001</v>
      </c>
      <c r="Q143">
        <v>0</v>
      </c>
    </row>
    <row r="144" spans="1:17" x14ac:dyDescent="0.25">
      <c r="A144" s="15"/>
      <c r="B144" s="15"/>
      <c r="C144">
        <v>15</v>
      </c>
      <c r="D144">
        <v>250.58</v>
      </c>
      <c r="E144">
        <v>44.22</v>
      </c>
      <c r="F144">
        <v>708.9</v>
      </c>
      <c r="G144">
        <v>1124.5999999999999</v>
      </c>
      <c r="H144">
        <v>0</v>
      </c>
      <c r="I144">
        <v>0</v>
      </c>
      <c r="J144">
        <v>0</v>
      </c>
      <c r="K144">
        <v>0</v>
      </c>
      <c r="L144">
        <v>170.3</v>
      </c>
      <c r="M144">
        <v>56</v>
      </c>
      <c r="N144" s="10">
        <v>29.88</v>
      </c>
      <c r="O144" s="2">
        <f t="shared" si="4"/>
        <v>274.01775400000002</v>
      </c>
      <c r="P144" s="2">
        <f t="shared" si="5"/>
        <v>124.12837500000001</v>
      </c>
      <c r="Q144">
        <v>0</v>
      </c>
    </row>
    <row r="145" spans="1:17" x14ac:dyDescent="0.25">
      <c r="A145" s="15"/>
      <c r="B145" s="15"/>
      <c r="C145">
        <v>15</v>
      </c>
      <c r="D145">
        <v>250.58</v>
      </c>
      <c r="E145">
        <v>44.22</v>
      </c>
      <c r="F145">
        <v>708.9</v>
      </c>
      <c r="G145">
        <v>1124.5999999999999</v>
      </c>
      <c r="H145">
        <v>0</v>
      </c>
      <c r="I145">
        <v>0</v>
      </c>
      <c r="J145">
        <v>0</v>
      </c>
      <c r="K145">
        <v>0</v>
      </c>
      <c r="L145">
        <v>170.3</v>
      </c>
      <c r="M145">
        <v>90</v>
      </c>
      <c r="N145" s="10">
        <v>31.8</v>
      </c>
      <c r="O145" s="2">
        <f t="shared" si="4"/>
        <v>274.01775400000002</v>
      </c>
      <c r="P145" s="2">
        <f t="shared" si="5"/>
        <v>124.12837500000001</v>
      </c>
      <c r="Q145">
        <v>0</v>
      </c>
    </row>
    <row r="146" spans="1:17" x14ac:dyDescent="0.25">
      <c r="A146" s="15"/>
      <c r="B146" s="15"/>
      <c r="C146">
        <v>20</v>
      </c>
      <c r="D146">
        <v>235.84</v>
      </c>
      <c r="E146">
        <v>58.96</v>
      </c>
      <c r="F146">
        <v>708.9</v>
      </c>
      <c r="G146">
        <v>1124.5999999999999</v>
      </c>
      <c r="H146">
        <v>0</v>
      </c>
      <c r="I146">
        <v>0</v>
      </c>
      <c r="J146">
        <v>0</v>
      </c>
      <c r="K146">
        <v>0</v>
      </c>
      <c r="L146">
        <v>170.3</v>
      </c>
      <c r="M146">
        <v>14</v>
      </c>
      <c r="N146" s="10">
        <v>29.57</v>
      </c>
      <c r="O146" s="2">
        <f t="shared" si="4"/>
        <v>263.30472200000003</v>
      </c>
      <c r="P146" s="2">
        <f t="shared" si="5"/>
        <v>118.600875</v>
      </c>
      <c r="Q146">
        <v>0</v>
      </c>
    </row>
    <row r="147" spans="1:17" x14ac:dyDescent="0.25">
      <c r="A147" s="15"/>
      <c r="B147" s="15"/>
      <c r="C147">
        <v>20</v>
      </c>
      <c r="D147">
        <v>235.84</v>
      </c>
      <c r="E147">
        <v>58.96</v>
      </c>
      <c r="F147">
        <v>708.9</v>
      </c>
      <c r="G147">
        <v>1124.5999999999999</v>
      </c>
      <c r="H147">
        <v>0</v>
      </c>
      <c r="I147">
        <v>0</v>
      </c>
      <c r="J147">
        <v>0</v>
      </c>
      <c r="K147">
        <v>0</v>
      </c>
      <c r="L147">
        <v>170.3</v>
      </c>
      <c r="M147">
        <v>28</v>
      </c>
      <c r="N147" s="10">
        <v>28.98</v>
      </c>
      <c r="O147" s="2">
        <f t="shared" si="4"/>
        <v>263.30472200000003</v>
      </c>
      <c r="P147" s="2">
        <f t="shared" si="5"/>
        <v>118.600875</v>
      </c>
      <c r="Q147">
        <v>0</v>
      </c>
    </row>
    <row r="148" spans="1:17" x14ac:dyDescent="0.25">
      <c r="A148" s="15"/>
      <c r="B148" s="15"/>
      <c r="C148">
        <v>20</v>
      </c>
      <c r="D148">
        <v>235.84</v>
      </c>
      <c r="E148">
        <v>58.96</v>
      </c>
      <c r="F148">
        <v>708.9</v>
      </c>
      <c r="G148">
        <v>1124.5999999999999</v>
      </c>
      <c r="H148">
        <v>0</v>
      </c>
      <c r="I148">
        <v>0</v>
      </c>
      <c r="J148">
        <v>0</v>
      </c>
      <c r="K148">
        <v>0</v>
      </c>
      <c r="L148">
        <v>170.3</v>
      </c>
      <c r="M148">
        <v>56</v>
      </c>
      <c r="N148" s="10">
        <v>31.85</v>
      </c>
      <c r="O148" s="2">
        <f t="shared" si="4"/>
        <v>263.30472200000003</v>
      </c>
      <c r="P148" s="2">
        <f t="shared" si="5"/>
        <v>118.600875</v>
      </c>
      <c r="Q148">
        <v>0</v>
      </c>
    </row>
    <row r="149" spans="1:17" x14ac:dyDescent="0.25">
      <c r="A149" s="15"/>
      <c r="B149" s="15"/>
      <c r="C149">
        <v>20</v>
      </c>
      <c r="D149">
        <v>235.84</v>
      </c>
      <c r="E149">
        <v>58.96</v>
      </c>
      <c r="F149">
        <v>708.9</v>
      </c>
      <c r="G149">
        <v>1124.5999999999999</v>
      </c>
      <c r="H149">
        <v>0</v>
      </c>
      <c r="I149">
        <v>0</v>
      </c>
      <c r="J149">
        <v>0</v>
      </c>
      <c r="K149">
        <v>0</v>
      </c>
      <c r="L149">
        <v>170.3</v>
      </c>
      <c r="M149">
        <v>90</v>
      </c>
      <c r="N149" s="10">
        <v>35.53</v>
      </c>
      <c r="O149" s="2">
        <f t="shared" si="4"/>
        <v>263.30472200000003</v>
      </c>
      <c r="P149" s="2">
        <f t="shared" si="5"/>
        <v>118.600875</v>
      </c>
      <c r="Q149">
        <v>0</v>
      </c>
    </row>
    <row r="150" spans="1:17" x14ac:dyDescent="0.25">
      <c r="A150" s="15"/>
      <c r="B150" s="15"/>
      <c r="C150">
        <v>25</v>
      </c>
      <c r="D150">
        <v>221.1</v>
      </c>
      <c r="E150">
        <v>73.7</v>
      </c>
      <c r="F150">
        <v>708.9</v>
      </c>
      <c r="G150">
        <v>1124.5999999999999</v>
      </c>
      <c r="H150">
        <v>0</v>
      </c>
      <c r="I150">
        <v>0</v>
      </c>
      <c r="J150">
        <v>0</v>
      </c>
      <c r="K150">
        <v>0</v>
      </c>
      <c r="L150">
        <v>170.3</v>
      </c>
      <c r="M150">
        <v>14</v>
      </c>
      <c r="N150" s="10">
        <v>29.18</v>
      </c>
      <c r="O150" s="2">
        <f t="shared" si="4"/>
        <v>252.59168999999997</v>
      </c>
      <c r="P150" s="2">
        <f t="shared" si="5"/>
        <v>113.073375</v>
      </c>
      <c r="Q150">
        <v>0</v>
      </c>
    </row>
    <row r="151" spans="1:17" x14ac:dyDescent="0.25">
      <c r="A151" s="15"/>
      <c r="B151" s="15"/>
      <c r="C151">
        <v>25</v>
      </c>
      <c r="D151">
        <v>221.1</v>
      </c>
      <c r="E151">
        <v>73.7</v>
      </c>
      <c r="F151">
        <v>708.9</v>
      </c>
      <c r="G151">
        <v>1124.5999999999999</v>
      </c>
      <c r="H151">
        <v>0</v>
      </c>
      <c r="I151">
        <v>0</v>
      </c>
      <c r="J151">
        <v>0</v>
      </c>
      <c r="K151">
        <v>0</v>
      </c>
      <c r="L151">
        <v>170.3</v>
      </c>
      <c r="M151">
        <v>28</v>
      </c>
      <c r="N151" s="10">
        <v>28.36</v>
      </c>
      <c r="O151" s="2">
        <f t="shared" si="4"/>
        <v>252.59168999999997</v>
      </c>
      <c r="P151" s="2">
        <f t="shared" si="5"/>
        <v>113.073375</v>
      </c>
      <c r="Q151">
        <v>0</v>
      </c>
    </row>
    <row r="152" spans="1:17" x14ac:dyDescent="0.25">
      <c r="A152" s="15"/>
      <c r="B152" s="15"/>
      <c r="C152">
        <v>25</v>
      </c>
      <c r="D152">
        <v>221.1</v>
      </c>
      <c r="E152">
        <v>73.7</v>
      </c>
      <c r="F152">
        <v>708.9</v>
      </c>
      <c r="G152">
        <v>1124.5999999999999</v>
      </c>
      <c r="H152">
        <v>0</v>
      </c>
      <c r="I152">
        <v>0</v>
      </c>
      <c r="J152">
        <v>0</v>
      </c>
      <c r="K152">
        <v>0</v>
      </c>
      <c r="L152">
        <v>170.3</v>
      </c>
      <c r="M152">
        <v>56</v>
      </c>
      <c r="N152" s="10">
        <v>29.56</v>
      </c>
      <c r="O152" s="2">
        <f t="shared" si="4"/>
        <v>252.59168999999997</v>
      </c>
      <c r="P152" s="2">
        <f t="shared" si="5"/>
        <v>113.073375</v>
      </c>
      <c r="Q152">
        <v>0</v>
      </c>
    </row>
    <row r="153" spans="1:17" x14ac:dyDescent="0.25">
      <c r="A153" s="15"/>
      <c r="B153" s="15"/>
      <c r="C153">
        <v>25</v>
      </c>
      <c r="D153">
        <v>221.1</v>
      </c>
      <c r="E153">
        <v>73.7</v>
      </c>
      <c r="F153">
        <v>708.9</v>
      </c>
      <c r="G153">
        <v>1124.5999999999999</v>
      </c>
      <c r="H153">
        <v>0</v>
      </c>
      <c r="I153">
        <v>0</v>
      </c>
      <c r="J153">
        <v>0</v>
      </c>
      <c r="K153">
        <v>0</v>
      </c>
      <c r="L153">
        <v>170.3</v>
      </c>
      <c r="M153">
        <v>90</v>
      </c>
      <c r="N153" s="10">
        <v>36.04</v>
      </c>
      <c r="O153" s="2">
        <f t="shared" si="4"/>
        <v>252.59168999999997</v>
      </c>
      <c r="P153" s="2">
        <f t="shared" si="5"/>
        <v>113.073375</v>
      </c>
      <c r="Q153">
        <v>0</v>
      </c>
    </row>
    <row r="154" spans="1:17" x14ac:dyDescent="0.25">
      <c r="A154" s="15"/>
      <c r="B154" s="15"/>
      <c r="C154">
        <v>30</v>
      </c>
      <c r="D154">
        <v>206.36</v>
      </c>
      <c r="E154">
        <v>88.44</v>
      </c>
      <c r="F154">
        <v>708.9</v>
      </c>
      <c r="G154">
        <v>1124.5999999999999</v>
      </c>
      <c r="H154">
        <v>0</v>
      </c>
      <c r="I154">
        <v>0</v>
      </c>
      <c r="J154">
        <v>0</v>
      </c>
      <c r="K154">
        <v>0</v>
      </c>
      <c r="L154">
        <v>170.3</v>
      </c>
      <c r="M154">
        <v>14</v>
      </c>
      <c r="N154" s="10">
        <v>24.27</v>
      </c>
      <c r="O154" s="2">
        <f t="shared" si="4"/>
        <v>241.87865799999997</v>
      </c>
      <c r="P154" s="2">
        <f t="shared" si="5"/>
        <v>107.54587500000001</v>
      </c>
      <c r="Q154">
        <v>0</v>
      </c>
    </row>
    <row r="155" spans="1:17" x14ac:dyDescent="0.25">
      <c r="A155" s="15"/>
      <c r="B155" s="15"/>
      <c r="C155">
        <v>30</v>
      </c>
      <c r="D155">
        <v>206.36</v>
      </c>
      <c r="E155">
        <v>88.44</v>
      </c>
      <c r="F155">
        <v>708.9</v>
      </c>
      <c r="G155">
        <v>1124.5999999999999</v>
      </c>
      <c r="H155">
        <v>0</v>
      </c>
      <c r="I155">
        <v>0</v>
      </c>
      <c r="J155">
        <v>0</v>
      </c>
      <c r="K155">
        <v>0</v>
      </c>
      <c r="L155">
        <v>170.3</v>
      </c>
      <c r="M155">
        <v>28</v>
      </c>
      <c r="N155" s="10">
        <v>28.33</v>
      </c>
      <c r="O155" s="2">
        <f t="shared" si="4"/>
        <v>241.87865799999997</v>
      </c>
      <c r="P155" s="2">
        <f t="shared" si="5"/>
        <v>107.54587500000001</v>
      </c>
      <c r="Q155">
        <v>0</v>
      </c>
    </row>
    <row r="156" spans="1:17" x14ac:dyDescent="0.25">
      <c r="A156" s="15"/>
      <c r="B156" s="15"/>
      <c r="C156">
        <v>30</v>
      </c>
      <c r="D156">
        <v>206.36</v>
      </c>
      <c r="E156">
        <v>88.44</v>
      </c>
      <c r="F156">
        <v>708.9</v>
      </c>
      <c r="G156">
        <v>1124.5999999999999</v>
      </c>
      <c r="H156">
        <v>0</v>
      </c>
      <c r="I156">
        <v>0</v>
      </c>
      <c r="J156">
        <v>0</v>
      </c>
      <c r="K156">
        <v>0</v>
      </c>
      <c r="L156">
        <v>170.3</v>
      </c>
      <c r="M156">
        <v>56</v>
      </c>
      <c r="N156" s="10">
        <v>30.92</v>
      </c>
      <c r="O156" s="2">
        <f t="shared" si="4"/>
        <v>241.87865799999997</v>
      </c>
      <c r="P156" s="2">
        <f t="shared" si="5"/>
        <v>107.54587500000001</v>
      </c>
      <c r="Q156">
        <v>0</v>
      </c>
    </row>
    <row r="157" spans="1:17" x14ac:dyDescent="0.25">
      <c r="A157" s="15"/>
      <c r="B157" s="15"/>
      <c r="C157">
        <v>30</v>
      </c>
      <c r="D157">
        <v>206.36</v>
      </c>
      <c r="E157">
        <v>88.44</v>
      </c>
      <c r="F157">
        <v>708.9</v>
      </c>
      <c r="G157">
        <v>1124.5999999999999</v>
      </c>
      <c r="H157">
        <v>0</v>
      </c>
      <c r="I157">
        <v>0</v>
      </c>
      <c r="J157">
        <v>0</v>
      </c>
      <c r="K157">
        <v>0</v>
      </c>
      <c r="L157">
        <v>170.3</v>
      </c>
      <c r="M157">
        <v>90</v>
      </c>
      <c r="N157" s="10">
        <v>31.63</v>
      </c>
      <c r="O157" s="2">
        <f t="shared" si="4"/>
        <v>241.87865799999997</v>
      </c>
      <c r="P157" s="2">
        <f t="shared" si="5"/>
        <v>107.54587500000001</v>
      </c>
      <c r="Q157">
        <v>0</v>
      </c>
    </row>
    <row r="158" spans="1:17" x14ac:dyDescent="0.25">
      <c r="A158" s="15"/>
      <c r="B158" s="15"/>
      <c r="C158">
        <v>35</v>
      </c>
      <c r="D158">
        <v>191.62</v>
      </c>
      <c r="E158">
        <v>103.18</v>
      </c>
      <c r="F158">
        <v>708.9</v>
      </c>
      <c r="G158">
        <v>1124.5999999999999</v>
      </c>
      <c r="H158">
        <v>0</v>
      </c>
      <c r="I158">
        <v>0</v>
      </c>
      <c r="J158">
        <v>0</v>
      </c>
      <c r="K158">
        <v>0</v>
      </c>
      <c r="L158">
        <v>170.3</v>
      </c>
      <c r="M158">
        <v>14</v>
      </c>
      <c r="N158" s="10">
        <v>24.54</v>
      </c>
      <c r="O158" s="2">
        <f t="shared" si="4"/>
        <v>231.16562600000003</v>
      </c>
      <c r="P158" s="2">
        <f t="shared" si="5"/>
        <v>102.01837499999999</v>
      </c>
      <c r="Q158">
        <v>0</v>
      </c>
    </row>
    <row r="159" spans="1:17" x14ac:dyDescent="0.25">
      <c r="A159" s="15"/>
      <c r="B159" s="15"/>
      <c r="C159">
        <v>35</v>
      </c>
      <c r="D159">
        <v>191.62</v>
      </c>
      <c r="E159">
        <v>103.18</v>
      </c>
      <c r="F159">
        <v>708.9</v>
      </c>
      <c r="G159">
        <v>1124.5999999999999</v>
      </c>
      <c r="H159">
        <v>0</v>
      </c>
      <c r="I159">
        <v>0</v>
      </c>
      <c r="J159">
        <v>0</v>
      </c>
      <c r="K159">
        <v>0</v>
      </c>
      <c r="L159">
        <v>170.3</v>
      </c>
      <c r="M159">
        <v>28</v>
      </c>
      <c r="N159" s="10">
        <v>26.53</v>
      </c>
      <c r="O159" s="2">
        <f t="shared" si="4"/>
        <v>231.16562600000003</v>
      </c>
      <c r="P159" s="2">
        <f t="shared" si="5"/>
        <v>102.01837499999999</v>
      </c>
      <c r="Q159">
        <v>0</v>
      </c>
    </row>
    <row r="160" spans="1:17" x14ac:dyDescent="0.25">
      <c r="A160" s="15"/>
      <c r="B160" s="15"/>
      <c r="C160">
        <v>35</v>
      </c>
      <c r="D160">
        <v>191.62</v>
      </c>
      <c r="E160">
        <v>103.18</v>
      </c>
      <c r="F160">
        <v>708.9</v>
      </c>
      <c r="G160">
        <v>1124.5999999999999</v>
      </c>
      <c r="H160">
        <v>0</v>
      </c>
      <c r="I160">
        <v>0</v>
      </c>
      <c r="J160">
        <v>0</v>
      </c>
      <c r="K160">
        <v>0</v>
      </c>
      <c r="L160">
        <v>170.3</v>
      </c>
      <c r="M160">
        <v>56</v>
      </c>
      <c r="N160" s="10">
        <v>28.23</v>
      </c>
      <c r="O160" s="2">
        <f t="shared" si="4"/>
        <v>231.16562600000003</v>
      </c>
      <c r="P160" s="2">
        <f t="shared" si="5"/>
        <v>102.01837499999999</v>
      </c>
      <c r="Q160">
        <v>0</v>
      </c>
    </row>
    <row r="161" spans="1:17" x14ac:dyDescent="0.25">
      <c r="A161" s="15"/>
      <c r="B161" s="15"/>
      <c r="C161">
        <v>35</v>
      </c>
      <c r="D161">
        <v>191.62</v>
      </c>
      <c r="E161">
        <v>103.18</v>
      </c>
      <c r="F161">
        <v>708.9</v>
      </c>
      <c r="G161">
        <v>1124.5999999999999</v>
      </c>
      <c r="H161">
        <v>0</v>
      </c>
      <c r="I161">
        <v>0</v>
      </c>
      <c r="J161">
        <v>0</v>
      </c>
      <c r="K161">
        <v>0</v>
      </c>
      <c r="L161">
        <v>170.3</v>
      </c>
      <c r="M161">
        <v>90</v>
      </c>
      <c r="N161" s="10">
        <v>33.69</v>
      </c>
      <c r="O161" s="2">
        <f t="shared" si="4"/>
        <v>231.16562600000003</v>
      </c>
      <c r="P161" s="2">
        <f t="shared" si="5"/>
        <v>102.01837499999999</v>
      </c>
      <c r="Q161">
        <v>0</v>
      </c>
    </row>
    <row r="162" spans="1:17" x14ac:dyDescent="0.25">
      <c r="A162" s="15" t="s">
        <v>41</v>
      </c>
      <c r="B162" s="15" t="s">
        <v>42</v>
      </c>
      <c r="C162">
        <v>0</v>
      </c>
      <c r="D162">
        <v>345.8</v>
      </c>
      <c r="E162">
        <v>0</v>
      </c>
      <c r="F162">
        <v>642.9</v>
      </c>
      <c r="G162">
        <v>1172.4000000000001</v>
      </c>
      <c r="H162">
        <v>0</v>
      </c>
      <c r="I162">
        <v>0</v>
      </c>
      <c r="J162">
        <v>0</v>
      </c>
      <c r="K162">
        <v>0</v>
      </c>
      <c r="L162">
        <v>174.7</v>
      </c>
      <c r="M162">
        <v>14</v>
      </c>
      <c r="N162" s="10">
        <v>31.52</v>
      </c>
      <c r="O162" s="2">
        <f t="shared" si="4"/>
        <v>349.76346999999998</v>
      </c>
      <c r="P162" s="2">
        <f t="shared" si="5"/>
        <v>159.31537499999999</v>
      </c>
      <c r="Q162">
        <v>0</v>
      </c>
    </row>
    <row r="163" spans="1:17" x14ac:dyDescent="0.25">
      <c r="A163" s="15"/>
      <c r="B163" s="15"/>
      <c r="C163">
        <v>0</v>
      </c>
      <c r="D163">
        <v>345.8</v>
      </c>
      <c r="E163">
        <v>0</v>
      </c>
      <c r="F163">
        <v>642.9</v>
      </c>
      <c r="G163">
        <v>1172.4000000000001</v>
      </c>
      <c r="H163">
        <v>0</v>
      </c>
      <c r="I163">
        <v>0</v>
      </c>
      <c r="J163">
        <v>0</v>
      </c>
      <c r="K163">
        <v>0</v>
      </c>
      <c r="L163">
        <v>174.7</v>
      </c>
      <c r="M163">
        <v>21</v>
      </c>
      <c r="N163" s="10">
        <v>30.85</v>
      </c>
      <c r="O163" s="2">
        <f t="shared" si="4"/>
        <v>349.76346999999998</v>
      </c>
      <c r="P163" s="2">
        <f t="shared" si="5"/>
        <v>159.31537499999999</v>
      </c>
      <c r="Q163">
        <v>0</v>
      </c>
    </row>
    <row r="164" spans="1:17" x14ac:dyDescent="0.25">
      <c r="A164" s="15"/>
      <c r="B164" s="15"/>
      <c r="C164">
        <v>0</v>
      </c>
      <c r="D164">
        <v>345.8</v>
      </c>
      <c r="E164">
        <v>0</v>
      </c>
      <c r="F164">
        <v>642.9</v>
      </c>
      <c r="G164">
        <v>1172.4000000000001</v>
      </c>
      <c r="H164">
        <v>0</v>
      </c>
      <c r="I164">
        <v>0</v>
      </c>
      <c r="J164">
        <v>0</v>
      </c>
      <c r="K164">
        <v>0</v>
      </c>
      <c r="L164">
        <v>174.7</v>
      </c>
      <c r="M164">
        <v>56</v>
      </c>
      <c r="N164" s="10">
        <v>36.1</v>
      </c>
      <c r="O164" s="2">
        <f t="shared" si="4"/>
        <v>349.76346999999998</v>
      </c>
      <c r="P164" s="2">
        <f t="shared" si="5"/>
        <v>159.31537499999999</v>
      </c>
      <c r="Q164">
        <v>0</v>
      </c>
    </row>
    <row r="165" spans="1:17" x14ac:dyDescent="0.25">
      <c r="A165" s="15"/>
      <c r="B165" s="15"/>
      <c r="C165">
        <v>0</v>
      </c>
      <c r="D165">
        <v>345.8</v>
      </c>
      <c r="E165">
        <v>0</v>
      </c>
      <c r="F165">
        <v>642.9</v>
      </c>
      <c r="G165">
        <v>1172.4000000000001</v>
      </c>
      <c r="H165">
        <v>0</v>
      </c>
      <c r="I165">
        <v>0</v>
      </c>
      <c r="J165">
        <v>0</v>
      </c>
      <c r="K165">
        <v>0</v>
      </c>
      <c r="L165">
        <v>174.7</v>
      </c>
      <c r="M165">
        <v>90</v>
      </c>
      <c r="N165" s="10">
        <v>42.52</v>
      </c>
      <c r="O165" s="2">
        <f t="shared" si="4"/>
        <v>349.76346999999998</v>
      </c>
      <c r="P165" s="2">
        <f t="shared" si="5"/>
        <v>159.31537499999999</v>
      </c>
      <c r="Q165">
        <v>0</v>
      </c>
    </row>
    <row r="166" spans="1:17" x14ac:dyDescent="0.25">
      <c r="A166" s="15"/>
      <c r="B166" s="15"/>
      <c r="C166">
        <v>5</v>
      </c>
      <c r="D166">
        <v>328.51</v>
      </c>
      <c r="E166">
        <v>17.29</v>
      </c>
      <c r="F166">
        <v>642.9</v>
      </c>
      <c r="G166">
        <v>1172.4000000000001</v>
      </c>
      <c r="H166">
        <v>0</v>
      </c>
      <c r="I166">
        <v>0</v>
      </c>
      <c r="J166">
        <v>0</v>
      </c>
      <c r="K166">
        <v>0</v>
      </c>
      <c r="L166">
        <v>174.7</v>
      </c>
      <c r="M166">
        <v>14</v>
      </c>
      <c r="N166" s="10">
        <v>31.11</v>
      </c>
      <c r="O166" s="2">
        <f t="shared" si="4"/>
        <v>337.19709799999998</v>
      </c>
      <c r="P166" s="2">
        <f t="shared" si="5"/>
        <v>152.831625</v>
      </c>
      <c r="Q166">
        <v>0</v>
      </c>
    </row>
    <row r="167" spans="1:17" x14ac:dyDescent="0.25">
      <c r="A167" s="15"/>
      <c r="B167" s="15"/>
      <c r="C167">
        <v>5</v>
      </c>
      <c r="D167">
        <v>328.51</v>
      </c>
      <c r="E167">
        <v>17.29</v>
      </c>
      <c r="F167">
        <v>642.9</v>
      </c>
      <c r="G167">
        <v>1172.4000000000001</v>
      </c>
      <c r="H167">
        <v>0</v>
      </c>
      <c r="I167">
        <v>0</v>
      </c>
      <c r="J167">
        <v>0</v>
      </c>
      <c r="K167">
        <v>0</v>
      </c>
      <c r="L167">
        <v>174.7</v>
      </c>
      <c r="M167">
        <v>21</v>
      </c>
      <c r="N167" s="10">
        <v>31.5</v>
      </c>
      <c r="O167" s="2">
        <f t="shared" si="4"/>
        <v>337.19709799999998</v>
      </c>
      <c r="P167" s="2">
        <f t="shared" si="5"/>
        <v>152.831625</v>
      </c>
      <c r="Q167">
        <v>0</v>
      </c>
    </row>
    <row r="168" spans="1:17" x14ac:dyDescent="0.25">
      <c r="A168" s="15"/>
      <c r="B168" s="15"/>
      <c r="C168">
        <v>5</v>
      </c>
      <c r="D168">
        <v>328.51</v>
      </c>
      <c r="E168">
        <v>17.29</v>
      </c>
      <c r="F168">
        <v>642.9</v>
      </c>
      <c r="G168">
        <v>1172.4000000000001</v>
      </c>
      <c r="H168">
        <v>0</v>
      </c>
      <c r="I168">
        <v>0</v>
      </c>
      <c r="J168">
        <v>0</v>
      </c>
      <c r="K168">
        <v>0</v>
      </c>
      <c r="L168">
        <v>174.7</v>
      </c>
      <c r="M168">
        <v>56</v>
      </c>
      <c r="N168" s="10">
        <v>32.57</v>
      </c>
      <c r="O168" s="2">
        <f t="shared" si="4"/>
        <v>337.19709799999998</v>
      </c>
      <c r="P168" s="2">
        <f t="shared" si="5"/>
        <v>152.831625</v>
      </c>
      <c r="Q168">
        <v>0</v>
      </c>
    </row>
    <row r="169" spans="1:17" x14ac:dyDescent="0.25">
      <c r="A169" s="15"/>
      <c r="B169" s="15"/>
      <c r="C169">
        <v>5</v>
      </c>
      <c r="D169">
        <v>328.51</v>
      </c>
      <c r="E169">
        <v>17.29</v>
      </c>
      <c r="F169">
        <v>642.9</v>
      </c>
      <c r="G169">
        <v>1172.4000000000001</v>
      </c>
      <c r="H169">
        <v>0</v>
      </c>
      <c r="I169">
        <v>0</v>
      </c>
      <c r="J169">
        <v>0</v>
      </c>
      <c r="K169">
        <v>0</v>
      </c>
      <c r="L169">
        <v>174.7</v>
      </c>
      <c r="M169">
        <v>90</v>
      </c>
      <c r="N169" s="10">
        <v>38.380000000000003</v>
      </c>
      <c r="O169" s="2">
        <f t="shared" si="4"/>
        <v>337.19709799999998</v>
      </c>
      <c r="P169" s="2">
        <f t="shared" si="5"/>
        <v>152.831625</v>
      </c>
      <c r="Q169">
        <v>0</v>
      </c>
    </row>
    <row r="170" spans="1:17" x14ac:dyDescent="0.25">
      <c r="A170" s="15"/>
      <c r="B170" s="15"/>
      <c r="C170">
        <v>10</v>
      </c>
      <c r="D170">
        <v>311.22000000000003</v>
      </c>
      <c r="E170">
        <v>34.58</v>
      </c>
      <c r="F170">
        <v>642.9</v>
      </c>
      <c r="G170">
        <v>1172.4000000000001</v>
      </c>
      <c r="H170">
        <v>0</v>
      </c>
      <c r="I170">
        <v>0</v>
      </c>
      <c r="J170">
        <v>0</v>
      </c>
      <c r="K170">
        <v>0</v>
      </c>
      <c r="L170">
        <v>174.7</v>
      </c>
      <c r="M170">
        <v>14</v>
      </c>
      <c r="N170" s="10">
        <v>29.38</v>
      </c>
      <c r="O170" s="2">
        <f t="shared" si="4"/>
        <v>324.63072599999998</v>
      </c>
      <c r="P170" s="2">
        <f t="shared" si="5"/>
        <v>146.34787500000002</v>
      </c>
      <c r="Q170">
        <v>0</v>
      </c>
    </row>
    <row r="171" spans="1:17" x14ac:dyDescent="0.25">
      <c r="A171" s="15"/>
      <c r="B171" s="15"/>
      <c r="C171">
        <v>10</v>
      </c>
      <c r="D171">
        <v>311.22000000000003</v>
      </c>
      <c r="E171">
        <v>34.58</v>
      </c>
      <c r="F171">
        <v>642.9</v>
      </c>
      <c r="G171">
        <v>1172.4000000000001</v>
      </c>
      <c r="H171">
        <v>0</v>
      </c>
      <c r="I171">
        <v>0</v>
      </c>
      <c r="J171">
        <v>0</v>
      </c>
      <c r="K171">
        <v>0</v>
      </c>
      <c r="L171">
        <v>174.7</v>
      </c>
      <c r="M171">
        <v>21</v>
      </c>
      <c r="N171" s="10">
        <v>29.95</v>
      </c>
      <c r="O171" s="2">
        <f t="shared" si="4"/>
        <v>324.63072599999998</v>
      </c>
      <c r="P171" s="2">
        <f t="shared" si="5"/>
        <v>146.34787500000002</v>
      </c>
      <c r="Q171">
        <v>0</v>
      </c>
    </row>
    <row r="172" spans="1:17" x14ac:dyDescent="0.25">
      <c r="A172" s="15"/>
      <c r="B172" s="15"/>
      <c r="C172">
        <v>10</v>
      </c>
      <c r="D172">
        <v>311.22000000000003</v>
      </c>
      <c r="E172">
        <v>34.58</v>
      </c>
      <c r="F172">
        <v>642.9</v>
      </c>
      <c r="G172">
        <v>1172.4000000000001</v>
      </c>
      <c r="H172">
        <v>0</v>
      </c>
      <c r="I172">
        <v>0</v>
      </c>
      <c r="J172">
        <v>0</v>
      </c>
      <c r="K172">
        <v>0</v>
      </c>
      <c r="L172">
        <v>174.7</v>
      </c>
      <c r="M172">
        <v>56</v>
      </c>
      <c r="N172" s="10">
        <v>33.79</v>
      </c>
      <c r="O172" s="2">
        <f t="shared" si="4"/>
        <v>324.63072599999998</v>
      </c>
      <c r="P172" s="2">
        <f t="shared" si="5"/>
        <v>146.34787500000002</v>
      </c>
      <c r="Q172">
        <v>0</v>
      </c>
    </row>
    <row r="173" spans="1:17" x14ac:dyDescent="0.25">
      <c r="A173" s="15"/>
      <c r="B173" s="15"/>
      <c r="C173">
        <v>10</v>
      </c>
      <c r="D173">
        <v>311.22000000000003</v>
      </c>
      <c r="E173">
        <v>34.58</v>
      </c>
      <c r="F173">
        <v>642.9</v>
      </c>
      <c r="G173">
        <v>1172.4000000000001</v>
      </c>
      <c r="H173">
        <v>0</v>
      </c>
      <c r="I173">
        <v>0</v>
      </c>
      <c r="J173">
        <v>0</v>
      </c>
      <c r="K173">
        <v>0</v>
      </c>
      <c r="L173">
        <v>174.7</v>
      </c>
      <c r="M173">
        <v>90</v>
      </c>
      <c r="N173" s="10">
        <v>35.549999999999997</v>
      </c>
      <c r="O173" s="2">
        <f t="shared" si="4"/>
        <v>324.63072599999998</v>
      </c>
      <c r="P173" s="2">
        <f t="shared" si="5"/>
        <v>146.34787500000002</v>
      </c>
      <c r="Q173">
        <v>0</v>
      </c>
    </row>
    <row r="174" spans="1:17" x14ac:dyDescent="0.25">
      <c r="A174" s="15"/>
      <c r="B174" s="15"/>
      <c r="C174">
        <v>15</v>
      </c>
      <c r="D174">
        <v>293.93</v>
      </c>
      <c r="E174">
        <v>51.87</v>
      </c>
      <c r="F174">
        <v>642.9</v>
      </c>
      <c r="G174">
        <v>1172.4000000000001</v>
      </c>
      <c r="H174">
        <v>0</v>
      </c>
      <c r="I174">
        <v>0</v>
      </c>
      <c r="J174">
        <v>0</v>
      </c>
      <c r="K174">
        <v>0</v>
      </c>
      <c r="L174">
        <v>174.7</v>
      </c>
      <c r="M174">
        <v>14</v>
      </c>
      <c r="N174" s="10">
        <v>28.19</v>
      </c>
      <c r="O174" s="2">
        <f t="shared" si="4"/>
        <v>312.06435399999998</v>
      </c>
      <c r="P174" s="2">
        <f t="shared" si="5"/>
        <v>139.864125</v>
      </c>
      <c r="Q174">
        <v>0</v>
      </c>
    </row>
    <row r="175" spans="1:17" x14ac:dyDescent="0.25">
      <c r="A175" s="15"/>
      <c r="B175" s="15"/>
      <c r="C175">
        <v>15</v>
      </c>
      <c r="D175">
        <v>293.93</v>
      </c>
      <c r="E175">
        <v>51.87</v>
      </c>
      <c r="F175">
        <v>642.9</v>
      </c>
      <c r="G175">
        <v>1172.4000000000001</v>
      </c>
      <c r="H175">
        <v>0</v>
      </c>
      <c r="I175">
        <v>0</v>
      </c>
      <c r="J175">
        <v>0</v>
      </c>
      <c r="K175">
        <v>0</v>
      </c>
      <c r="L175">
        <v>174.7</v>
      </c>
      <c r="M175">
        <v>21</v>
      </c>
      <c r="N175" s="10">
        <v>29.65</v>
      </c>
      <c r="O175" s="2">
        <f t="shared" si="4"/>
        <v>312.06435399999998</v>
      </c>
      <c r="P175" s="2">
        <f t="shared" si="5"/>
        <v>139.864125</v>
      </c>
      <c r="Q175">
        <v>0</v>
      </c>
    </row>
    <row r="176" spans="1:17" x14ac:dyDescent="0.25">
      <c r="A176" s="15"/>
      <c r="B176" s="15"/>
      <c r="C176">
        <v>15</v>
      </c>
      <c r="D176">
        <v>293.93</v>
      </c>
      <c r="E176">
        <v>51.87</v>
      </c>
      <c r="F176">
        <v>642.9</v>
      </c>
      <c r="G176">
        <v>1172.4000000000001</v>
      </c>
      <c r="H176">
        <v>0</v>
      </c>
      <c r="I176">
        <v>0</v>
      </c>
      <c r="J176">
        <v>0</v>
      </c>
      <c r="K176">
        <v>0</v>
      </c>
      <c r="L176">
        <v>174.7</v>
      </c>
      <c r="M176">
        <v>56</v>
      </c>
      <c r="N176" s="10">
        <v>35.9</v>
      </c>
      <c r="O176" s="2">
        <f t="shared" si="4"/>
        <v>312.06435399999998</v>
      </c>
      <c r="P176" s="2">
        <f t="shared" si="5"/>
        <v>139.864125</v>
      </c>
      <c r="Q176">
        <v>0</v>
      </c>
    </row>
    <row r="177" spans="1:17" x14ac:dyDescent="0.25">
      <c r="A177" s="15"/>
      <c r="B177" s="15"/>
      <c r="C177">
        <v>15</v>
      </c>
      <c r="D177">
        <v>293.93</v>
      </c>
      <c r="E177">
        <v>51.87</v>
      </c>
      <c r="F177">
        <v>642.9</v>
      </c>
      <c r="G177">
        <v>1172.4000000000001</v>
      </c>
      <c r="H177">
        <v>0</v>
      </c>
      <c r="I177">
        <v>0</v>
      </c>
      <c r="J177">
        <v>0</v>
      </c>
      <c r="K177">
        <v>0</v>
      </c>
      <c r="L177">
        <v>174.7</v>
      </c>
      <c r="M177">
        <v>90</v>
      </c>
      <c r="N177" s="10">
        <v>33.82</v>
      </c>
      <c r="O177" s="2">
        <f t="shared" si="4"/>
        <v>312.06435399999998</v>
      </c>
      <c r="P177" s="2">
        <f t="shared" si="5"/>
        <v>139.864125</v>
      </c>
      <c r="Q177">
        <v>0</v>
      </c>
    </row>
    <row r="178" spans="1:17" x14ac:dyDescent="0.25">
      <c r="A178" s="15"/>
      <c r="B178" s="15"/>
      <c r="C178">
        <v>20</v>
      </c>
      <c r="D178">
        <v>276.64</v>
      </c>
      <c r="E178">
        <v>69.16</v>
      </c>
      <c r="F178">
        <v>642.9</v>
      </c>
      <c r="G178">
        <v>1172.4000000000001</v>
      </c>
      <c r="H178">
        <v>0</v>
      </c>
      <c r="I178">
        <v>0</v>
      </c>
      <c r="J178">
        <v>0</v>
      </c>
      <c r="K178">
        <v>0</v>
      </c>
      <c r="L178">
        <v>174.7</v>
      </c>
      <c r="M178">
        <v>14</v>
      </c>
      <c r="N178" s="10">
        <v>30.07</v>
      </c>
      <c r="O178" s="2">
        <f t="shared" si="4"/>
        <v>299.49798199999998</v>
      </c>
      <c r="P178" s="2">
        <f t="shared" si="5"/>
        <v>133.38037499999999</v>
      </c>
      <c r="Q178">
        <v>0</v>
      </c>
    </row>
    <row r="179" spans="1:17" x14ac:dyDescent="0.25">
      <c r="A179" s="15"/>
      <c r="B179" s="15"/>
      <c r="C179">
        <v>20</v>
      </c>
      <c r="D179">
        <v>276.64</v>
      </c>
      <c r="E179">
        <v>69.16</v>
      </c>
      <c r="F179">
        <v>642.9</v>
      </c>
      <c r="G179">
        <v>1172.4000000000001</v>
      </c>
      <c r="H179">
        <v>0</v>
      </c>
      <c r="I179">
        <v>0</v>
      </c>
      <c r="J179">
        <v>0</v>
      </c>
      <c r="K179">
        <v>0</v>
      </c>
      <c r="L179">
        <v>174.7</v>
      </c>
      <c r="M179">
        <v>21</v>
      </c>
      <c r="N179" s="10">
        <v>35.04</v>
      </c>
      <c r="O179" s="2">
        <f t="shared" si="4"/>
        <v>299.49798199999998</v>
      </c>
      <c r="P179" s="2">
        <f t="shared" si="5"/>
        <v>133.38037499999999</v>
      </c>
      <c r="Q179">
        <v>0</v>
      </c>
    </row>
    <row r="180" spans="1:17" x14ac:dyDescent="0.25">
      <c r="A180" s="15"/>
      <c r="B180" s="15"/>
      <c r="C180">
        <v>20</v>
      </c>
      <c r="D180">
        <v>276.64</v>
      </c>
      <c r="E180">
        <v>69.16</v>
      </c>
      <c r="F180">
        <v>642.9</v>
      </c>
      <c r="G180">
        <v>1172.4000000000001</v>
      </c>
      <c r="H180">
        <v>0</v>
      </c>
      <c r="I180">
        <v>0</v>
      </c>
      <c r="J180">
        <v>0</v>
      </c>
      <c r="K180">
        <v>0</v>
      </c>
      <c r="L180">
        <v>174.7</v>
      </c>
      <c r="M180">
        <v>56</v>
      </c>
      <c r="N180" s="10">
        <v>32.72</v>
      </c>
      <c r="O180" s="2">
        <f t="shared" si="4"/>
        <v>299.49798199999998</v>
      </c>
      <c r="P180" s="2">
        <f t="shared" si="5"/>
        <v>133.38037499999999</v>
      </c>
      <c r="Q180">
        <v>0</v>
      </c>
    </row>
    <row r="181" spans="1:17" x14ac:dyDescent="0.25">
      <c r="A181" s="15"/>
      <c r="B181" s="15"/>
      <c r="C181">
        <v>20</v>
      </c>
      <c r="D181">
        <v>276.64</v>
      </c>
      <c r="E181">
        <v>69.16</v>
      </c>
      <c r="F181">
        <v>642.9</v>
      </c>
      <c r="G181">
        <v>1172.4000000000001</v>
      </c>
      <c r="H181">
        <v>0</v>
      </c>
      <c r="I181">
        <v>0</v>
      </c>
      <c r="J181">
        <v>0</v>
      </c>
      <c r="K181">
        <v>0</v>
      </c>
      <c r="L181">
        <v>174.7</v>
      </c>
      <c r="M181">
        <v>90</v>
      </c>
      <c r="N181" s="10">
        <v>34.54</v>
      </c>
      <c r="O181" s="2">
        <f t="shared" si="4"/>
        <v>299.49798199999998</v>
      </c>
      <c r="P181" s="2">
        <f t="shared" si="5"/>
        <v>133.38037499999999</v>
      </c>
      <c r="Q181">
        <v>0</v>
      </c>
    </row>
    <row r="182" spans="1:17" x14ac:dyDescent="0.25">
      <c r="A182" s="15"/>
      <c r="B182" s="15"/>
      <c r="C182">
        <v>25</v>
      </c>
      <c r="D182">
        <v>259.35000000000002</v>
      </c>
      <c r="E182">
        <v>86.45</v>
      </c>
      <c r="F182">
        <v>642.9</v>
      </c>
      <c r="G182">
        <v>1172.4000000000001</v>
      </c>
      <c r="H182">
        <v>0</v>
      </c>
      <c r="I182">
        <v>0</v>
      </c>
      <c r="J182">
        <v>0</v>
      </c>
      <c r="K182">
        <v>0</v>
      </c>
      <c r="L182">
        <v>174.7</v>
      </c>
      <c r="M182">
        <v>14</v>
      </c>
      <c r="N182" s="10">
        <v>27.68</v>
      </c>
      <c r="O182" s="2">
        <f t="shared" si="4"/>
        <v>286.93160999999998</v>
      </c>
      <c r="P182" s="2">
        <f t="shared" si="5"/>
        <v>126.89662499999999</v>
      </c>
      <c r="Q182">
        <v>0</v>
      </c>
    </row>
    <row r="183" spans="1:17" x14ac:dyDescent="0.25">
      <c r="A183" s="15"/>
      <c r="B183" s="15"/>
      <c r="C183">
        <v>25</v>
      </c>
      <c r="D183">
        <v>259.35000000000002</v>
      </c>
      <c r="E183">
        <v>86.45</v>
      </c>
      <c r="F183">
        <v>642.9</v>
      </c>
      <c r="G183">
        <v>1172.4000000000001</v>
      </c>
      <c r="H183">
        <v>0</v>
      </c>
      <c r="I183">
        <v>0</v>
      </c>
      <c r="J183">
        <v>0</v>
      </c>
      <c r="K183">
        <v>0</v>
      </c>
      <c r="L183">
        <v>174.7</v>
      </c>
      <c r="M183">
        <v>21</v>
      </c>
      <c r="N183" s="10">
        <v>27.97</v>
      </c>
      <c r="O183" s="2">
        <f t="shared" si="4"/>
        <v>286.93160999999998</v>
      </c>
      <c r="P183" s="2">
        <f t="shared" si="5"/>
        <v>126.89662499999999</v>
      </c>
      <c r="Q183">
        <v>0</v>
      </c>
    </row>
    <row r="184" spans="1:17" x14ac:dyDescent="0.25">
      <c r="A184" s="15"/>
      <c r="B184" s="15"/>
      <c r="C184">
        <v>25</v>
      </c>
      <c r="D184">
        <v>259.35000000000002</v>
      </c>
      <c r="E184">
        <v>86.45</v>
      </c>
      <c r="F184">
        <v>642.9</v>
      </c>
      <c r="G184">
        <v>1172.4000000000001</v>
      </c>
      <c r="H184">
        <v>0</v>
      </c>
      <c r="I184">
        <v>0</v>
      </c>
      <c r="J184">
        <v>0</v>
      </c>
      <c r="K184">
        <v>0</v>
      </c>
      <c r="L184">
        <v>174.7</v>
      </c>
      <c r="M184">
        <v>56</v>
      </c>
      <c r="N184" s="10">
        <v>30.87</v>
      </c>
      <c r="O184" s="2">
        <f t="shared" si="4"/>
        <v>286.93160999999998</v>
      </c>
      <c r="P184" s="2">
        <f t="shared" si="5"/>
        <v>126.89662499999999</v>
      </c>
      <c r="Q184">
        <v>0</v>
      </c>
    </row>
    <row r="185" spans="1:17" x14ac:dyDescent="0.25">
      <c r="A185" s="15"/>
      <c r="B185" s="15"/>
      <c r="C185">
        <v>25</v>
      </c>
      <c r="D185">
        <v>259.35000000000002</v>
      </c>
      <c r="E185">
        <v>86.45</v>
      </c>
      <c r="F185">
        <v>642.9</v>
      </c>
      <c r="G185">
        <v>1172.4000000000001</v>
      </c>
      <c r="H185">
        <v>0</v>
      </c>
      <c r="I185">
        <v>0</v>
      </c>
      <c r="J185">
        <v>0</v>
      </c>
      <c r="K185">
        <v>0</v>
      </c>
      <c r="L185">
        <v>174.7</v>
      </c>
      <c r="M185">
        <v>90</v>
      </c>
      <c r="N185" s="10">
        <v>35.08</v>
      </c>
      <c r="O185" s="2">
        <f t="shared" si="4"/>
        <v>286.93160999999998</v>
      </c>
      <c r="P185" s="2">
        <f t="shared" si="5"/>
        <v>126.89662499999999</v>
      </c>
      <c r="Q185">
        <v>0</v>
      </c>
    </row>
    <row r="186" spans="1:17" x14ac:dyDescent="0.25">
      <c r="A186" s="15"/>
      <c r="B186" s="15"/>
      <c r="C186">
        <v>30</v>
      </c>
      <c r="D186">
        <v>242.06</v>
      </c>
      <c r="E186">
        <v>103.74</v>
      </c>
      <c r="F186">
        <v>642.9</v>
      </c>
      <c r="G186">
        <v>1172.4000000000001</v>
      </c>
      <c r="H186">
        <v>0</v>
      </c>
      <c r="I186">
        <v>0</v>
      </c>
      <c r="J186">
        <v>0</v>
      </c>
      <c r="K186">
        <v>0</v>
      </c>
      <c r="L186">
        <v>174.7</v>
      </c>
      <c r="M186">
        <v>14</v>
      </c>
      <c r="N186" s="10">
        <v>19.57</v>
      </c>
      <c r="O186" s="2">
        <f t="shared" si="4"/>
        <v>274.36523799999998</v>
      </c>
      <c r="P186" s="2">
        <f t="shared" si="5"/>
        <v>120.412875</v>
      </c>
      <c r="Q186">
        <v>0</v>
      </c>
    </row>
    <row r="187" spans="1:17" x14ac:dyDescent="0.25">
      <c r="A187" s="15"/>
      <c r="B187" s="15"/>
      <c r="C187">
        <v>30</v>
      </c>
      <c r="D187">
        <v>242.06</v>
      </c>
      <c r="E187">
        <v>103.74</v>
      </c>
      <c r="F187">
        <v>642.9</v>
      </c>
      <c r="G187">
        <v>1172.4000000000001</v>
      </c>
      <c r="H187">
        <v>0</v>
      </c>
      <c r="I187">
        <v>0</v>
      </c>
      <c r="J187">
        <v>0</v>
      </c>
      <c r="K187">
        <v>0</v>
      </c>
      <c r="L187">
        <v>174.7</v>
      </c>
      <c r="M187">
        <v>21</v>
      </c>
      <c r="N187" s="10">
        <v>27.2</v>
      </c>
      <c r="O187" s="2">
        <f t="shared" si="4"/>
        <v>274.36523799999998</v>
      </c>
      <c r="P187" s="2">
        <f t="shared" si="5"/>
        <v>120.412875</v>
      </c>
      <c r="Q187">
        <v>0</v>
      </c>
    </row>
    <row r="188" spans="1:17" x14ac:dyDescent="0.25">
      <c r="A188" s="15"/>
      <c r="B188" s="15"/>
      <c r="C188">
        <v>30</v>
      </c>
      <c r="D188">
        <v>242.06</v>
      </c>
      <c r="E188">
        <v>103.74</v>
      </c>
      <c r="F188">
        <v>642.9</v>
      </c>
      <c r="G188">
        <v>1172.4000000000001</v>
      </c>
      <c r="H188">
        <v>0</v>
      </c>
      <c r="I188">
        <v>0</v>
      </c>
      <c r="J188">
        <v>0</v>
      </c>
      <c r="K188">
        <v>0</v>
      </c>
      <c r="L188">
        <v>174.7</v>
      </c>
      <c r="M188">
        <v>56</v>
      </c>
      <c r="N188" s="10">
        <v>29.3</v>
      </c>
      <c r="O188" s="2">
        <f t="shared" si="4"/>
        <v>274.36523799999998</v>
      </c>
      <c r="P188" s="2">
        <f t="shared" si="5"/>
        <v>120.412875</v>
      </c>
      <c r="Q188">
        <v>0</v>
      </c>
    </row>
    <row r="189" spans="1:17" x14ac:dyDescent="0.25">
      <c r="A189" s="15"/>
      <c r="B189" s="15"/>
      <c r="C189">
        <v>30</v>
      </c>
      <c r="D189">
        <v>242.06</v>
      </c>
      <c r="E189">
        <v>103.74</v>
      </c>
      <c r="F189">
        <v>642.9</v>
      </c>
      <c r="G189">
        <v>1172.4000000000001</v>
      </c>
      <c r="H189">
        <v>0</v>
      </c>
      <c r="I189">
        <v>0</v>
      </c>
      <c r="J189">
        <v>0</v>
      </c>
      <c r="K189">
        <v>0</v>
      </c>
      <c r="L189">
        <v>174.7</v>
      </c>
      <c r="M189">
        <v>90</v>
      </c>
      <c r="N189" s="10">
        <v>33.549999999999997</v>
      </c>
      <c r="O189" s="2">
        <f t="shared" si="4"/>
        <v>274.36523799999998</v>
      </c>
      <c r="P189" s="2">
        <f t="shared" si="5"/>
        <v>120.412875</v>
      </c>
      <c r="Q189">
        <v>0</v>
      </c>
    </row>
    <row r="190" spans="1:17" x14ac:dyDescent="0.25">
      <c r="A190" s="15"/>
      <c r="B190" s="15"/>
      <c r="C190">
        <v>35</v>
      </c>
      <c r="D190">
        <v>224.77</v>
      </c>
      <c r="E190">
        <v>121.03</v>
      </c>
      <c r="F190">
        <v>642.9</v>
      </c>
      <c r="G190">
        <v>1172.4000000000001</v>
      </c>
      <c r="H190">
        <v>0</v>
      </c>
      <c r="I190">
        <v>0</v>
      </c>
      <c r="J190">
        <v>0</v>
      </c>
      <c r="K190">
        <v>0</v>
      </c>
      <c r="L190">
        <v>174.7</v>
      </c>
      <c r="M190">
        <v>14</v>
      </c>
      <c r="N190" s="10">
        <v>25.34</v>
      </c>
      <c r="O190" s="2">
        <f t="shared" si="4"/>
        <v>261.79886599999998</v>
      </c>
      <c r="P190" s="2">
        <f t="shared" si="5"/>
        <v>113.92912500000001</v>
      </c>
      <c r="Q190">
        <v>0</v>
      </c>
    </row>
    <row r="191" spans="1:17" x14ac:dyDescent="0.25">
      <c r="A191" s="15"/>
      <c r="B191" s="15"/>
      <c r="C191">
        <v>35</v>
      </c>
      <c r="D191">
        <v>224.77</v>
      </c>
      <c r="E191">
        <v>121.03</v>
      </c>
      <c r="F191">
        <v>642.9</v>
      </c>
      <c r="G191">
        <v>1172.4000000000001</v>
      </c>
      <c r="H191">
        <v>0</v>
      </c>
      <c r="I191">
        <v>0</v>
      </c>
      <c r="J191">
        <v>0</v>
      </c>
      <c r="K191">
        <v>0</v>
      </c>
      <c r="L191">
        <v>174.7</v>
      </c>
      <c r="M191">
        <v>21</v>
      </c>
      <c r="N191" s="10">
        <v>23.07</v>
      </c>
      <c r="O191" s="2">
        <f t="shared" si="4"/>
        <v>261.79886599999998</v>
      </c>
      <c r="P191" s="2">
        <f t="shared" si="5"/>
        <v>113.92912500000001</v>
      </c>
      <c r="Q191">
        <v>0</v>
      </c>
    </row>
    <row r="192" spans="1:17" x14ac:dyDescent="0.25">
      <c r="A192" s="15"/>
      <c r="B192" s="15"/>
      <c r="C192">
        <v>35</v>
      </c>
      <c r="D192">
        <v>224.77</v>
      </c>
      <c r="E192">
        <v>121.03</v>
      </c>
      <c r="F192">
        <v>642.9</v>
      </c>
      <c r="G192">
        <v>1172.4000000000001</v>
      </c>
      <c r="H192">
        <v>0</v>
      </c>
      <c r="I192">
        <v>0</v>
      </c>
      <c r="J192">
        <v>0</v>
      </c>
      <c r="K192">
        <v>0</v>
      </c>
      <c r="L192">
        <v>174.7</v>
      </c>
      <c r="M192">
        <v>56</v>
      </c>
      <c r="N192" s="10">
        <v>30.7</v>
      </c>
      <c r="O192" s="2">
        <f t="shared" si="4"/>
        <v>261.79886599999998</v>
      </c>
      <c r="P192" s="2">
        <f t="shared" si="5"/>
        <v>113.92912500000001</v>
      </c>
      <c r="Q192">
        <v>0</v>
      </c>
    </row>
    <row r="193" spans="1:17" x14ac:dyDescent="0.25">
      <c r="A193" s="15"/>
      <c r="B193" s="15"/>
      <c r="C193">
        <v>35</v>
      </c>
      <c r="D193">
        <v>224.77</v>
      </c>
      <c r="E193">
        <v>121.03</v>
      </c>
      <c r="F193">
        <v>642.9</v>
      </c>
      <c r="G193">
        <v>1172.4000000000001</v>
      </c>
      <c r="H193">
        <v>0</v>
      </c>
      <c r="I193">
        <v>0</v>
      </c>
      <c r="J193">
        <v>0</v>
      </c>
      <c r="K193">
        <v>0</v>
      </c>
      <c r="L193">
        <v>174.7</v>
      </c>
      <c r="M193">
        <v>90</v>
      </c>
      <c r="N193" s="10">
        <v>31.52</v>
      </c>
      <c r="O193" s="2">
        <f t="shared" si="4"/>
        <v>261.79886599999998</v>
      </c>
      <c r="P193" s="2">
        <f t="shared" si="5"/>
        <v>113.92912500000001</v>
      </c>
      <c r="Q193">
        <v>0</v>
      </c>
    </row>
    <row r="194" spans="1:17" x14ac:dyDescent="0.25">
      <c r="A194" s="15"/>
      <c r="B194" s="15"/>
      <c r="C194">
        <v>40</v>
      </c>
      <c r="D194">
        <v>207.48</v>
      </c>
      <c r="E194">
        <v>138.32</v>
      </c>
      <c r="F194">
        <v>642.9</v>
      </c>
      <c r="G194">
        <v>1172.4000000000001</v>
      </c>
      <c r="H194">
        <v>0</v>
      </c>
      <c r="I194">
        <v>0</v>
      </c>
      <c r="J194">
        <v>0</v>
      </c>
      <c r="K194">
        <v>0</v>
      </c>
      <c r="L194">
        <v>174.7</v>
      </c>
      <c r="M194">
        <v>14</v>
      </c>
      <c r="N194" s="10">
        <v>24.63</v>
      </c>
      <c r="O194" s="2">
        <f t="shared" ref="O194:O257" si="6">SUM((D194*0.83)+(E194*0.1032)+(F194*0.0139)+(G194*0.0459)+(K194*2))</f>
        <v>249.23249399999997</v>
      </c>
      <c r="P194" s="2">
        <f t="shared" si="5"/>
        <v>107.445375</v>
      </c>
      <c r="Q194">
        <v>0</v>
      </c>
    </row>
    <row r="195" spans="1:17" x14ac:dyDescent="0.25">
      <c r="A195" s="15"/>
      <c r="B195" s="15"/>
      <c r="C195">
        <v>40</v>
      </c>
      <c r="D195">
        <v>207.48</v>
      </c>
      <c r="E195">
        <v>138.32</v>
      </c>
      <c r="F195">
        <v>642.9</v>
      </c>
      <c r="G195">
        <v>1172.4000000000001</v>
      </c>
      <c r="H195">
        <v>0</v>
      </c>
      <c r="I195">
        <v>0</v>
      </c>
      <c r="J195">
        <v>0</v>
      </c>
      <c r="K195">
        <v>0</v>
      </c>
      <c r="L195">
        <v>174.7</v>
      </c>
      <c r="M195">
        <v>21</v>
      </c>
      <c r="N195" s="10">
        <v>25.71</v>
      </c>
      <c r="O195" s="2">
        <f t="shared" si="6"/>
        <v>249.23249399999997</v>
      </c>
      <c r="P195" s="2">
        <f t="shared" ref="P195:P258" si="7">SUM((D195*5)+((F195*0.25)+(G195*0.2)+(K195*20)))*0.075</f>
        <v>107.445375</v>
      </c>
      <c r="Q195">
        <v>0</v>
      </c>
    </row>
    <row r="196" spans="1:17" x14ac:dyDescent="0.25">
      <c r="A196" s="15"/>
      <c r="B196" s="15"/>
      <c r="C196">
        <v>40</v>
      </c>
      <c r="D196">
        <v>207.48</v>
      </c>
      <c r="E196">
        <v>138.32</v>
      </c>
      <c r="F196">
        <v>642.9</v>
      </c>
      <c r="G196">
        <v>1172.4000000000001</v>
      </c>
      <c r="H196">
        <v>0</v>
      </c>
      <c r="I196">
        <v>0</v>
      </c>
      <c r="J196">
        <v>0</v>
      </c>
      <c r="K196">
        <v>0</v>
      </c>
      <c r="L196">
        <v>174.7</v>
      </c>
      <c r="M196">
        <v>56</v>
      </c>
      <c r="N196" s="10">
        <v>29.38</v>
      </c>
      <c r="O196" s="2">
        <f t="shared" si="6"/>
        <v>249.23249399999997</v>
      </c>
      <c r="P196" s="2">
        <f t="shared" si="7"/>
        <v>107.445375</v>
      </c>
      <c r="Q196">
        <v>0</v>
      </c>
    </row>
    <row r="197" spans="1:17" x14ac:dyDescent="0.25">
      <c r="A197" s="15"/>
      <c r="B197" s="15"/>
      <c r="C197">
        <v>40</v>
      </c>
      <c r="D197">
        <v>207.48</v>
      </c>
      <c r="E197">
        <v>138.32</v>
      </c>
      <c r="F197">
        <v>642.9</v>
      </c>
      <c r="G197">
        <v>1172.4000000000001</v>
      </c>
      <c r="H197">
        <v>0</v>
      </c>
      <c r="I197">
        <v>0</v>
      </c>
      <c r="J197">
        <v>0</v>
      </c>
      <c r="K197">
        <v>0</v>
      </c>
      <c r="L197">
        <v>174.7</v>
      </c>
      <c r="M197">
        <v>90</v>
      </c>
      <c r="N197" s="10">
        <v>30.76</v>
      </c>
      <c r="O197" s="2">
        <f t="shared" si="6"/>
        <v>249.23249399999997</v>
      </c>
      <c r="P197" s="2">
        <f t="shared" si="7"/>
        <v>107.445375</v>
      </c>
      <c r="Q197">
        <v>0</v>
      </c>
    </row>
    <row r="198" spans="1:17" x14ac:dyDescent="0.25">
      <c r="A198" s="15"/>
      <c r="B198" s="15"/>
      <c r="C198">
        <v>45</v>
      </c>
      <c r="D198">
        <v>190.19</v>
      </c>
      <c r="E198">
        <v>155.61000000000001</v>
      </c>
      <c r="F198">
        <v>642.9</v>
      </c>
      <c r="G198">
        <v>1172.4000000000001</v>
      </c>
      <c r="H198">
        <v>0</v>
      </c>
      <c r="I198">
        <v>0</v>
      </c>
      <c r="J198">
        <v>0</v>
      </c>
      <c r="K198">
        <v>0</v>
      </c>
      <c r="L198">
        <v>174.7</v>
      </c>
      <c r="M198">
        <v>14</v>
      </c>
      <c r="N198" s="10">
        <v>24.8</v>
      </c>
      <c r="O198" s="2">
        <f t="shared" si="6"/>
        <v>236.666122</v>
      </c>
      <c r="P198" s="2">
        <f t="shared" si="7"/>
        <v>100.96162500000001</v>
      </c>
      <c r="Q198">
        <v>0</v>
      </c>
    </row>
    <row r="199" spans="1:17" x14ac:dyDescent="0.25">
      <c r="A199" s="15"/>
      <c r="B199" s="15"/>
      <c r="C199">
        <v>45</v>
      </c>
      <c r="D199">
        <v>190.19</v>
      </c>
      <c r="E199">
        <v>155.61000000000001</v>
      </c>
      <c r="F199">
        <v>642.9</v>
      </c>
      <c r="G199">
        <v>1172.4000000000001</v>
      </c>
      <c r="H199">
        <v>0</v>
      </c>
      <c r="I199">
        <v>0</v>
      </c>
      <c r="J199">
        <v>0</v>
      </c>
      <c r="K199">
        <v>0</v>
      </c>
      <c r="L199">
        <v>174.7</v>
      </c>
      <c r="M199">
        <v>21</v>
      </c>
      <c r="N199" s="10">
        <v>22.1</v>
      </c>
      <c r="O199" s="2">
        <f t="shared" si="6"/>
        <v>236.666122</v>
      </c>
      <c r="P199" s="2">
        <f t="shared" si="7"/>
        <v>100.96162500000001</v>
      </c>
      <c r="Q199">
        <v>0</v>
      </c>
    </row>
    <row r="200" spans="1:17" x14ac:dyDescent="0.25">
      <c r="A200" s="15"/>
      <c r="B200" s="15"/>
      <c r="C200">
        <v>45</v>
      </c>
      <c r="D200">
        <v>190.19</v>
      </c>
      <c r="E200">
        <v>155.61000000000001</v>
      </c>
      <c r="F200">
        <v>642.9</v>
      </c>
      <c r="G200">
        <v>1172.4000000000001</v>
      </c>
      <c r="H200">
        <v>0</v>
      </c>
      <c r="I200">
        <v>0</v>
      </c>
      <c r="J200">
        <v>0</v>
      </c>
      <c r="K200">
        <v>0</v>
      </c>
      <c r="L200">
        <v>174.7</v>
      </c>
      <c r="M200">
        <v>56</v>
      </c>
      <c r="N200" s="10">
        <v>25.28</v>
      </c>
      <c r="O200" s="2">
        <f t="shared" si="6"/>
        <v>236.666122</v>
      </c>
      <c r="P200" s="2">
        <f t="shared" si="7"/>
        <v>100.96162500000001</v>
      </c>
      <c r="Q200">
        <v>0</v>
      </c>
    </row>
    <row r="201" spans="1:17" x14ac:dyDescent="0.25">
      <c r="A201" s="15"/>
      <c r="B201" s="15"/>
      <c r="C201">
        <v>45</v>
      </c>
      <c r="D201">
        <v>190.19</v>
      </c>
      <c r="E201">
        <v>155.61000000000001</v>
      </c>
      <c r="F201">
        <v>642.9</v>
      </c>
      <c r="G201">
        <v>1172.4000000000001</v>
      </c>
      <c r="H201">
        <v>0</v>
      </c>
      <c r="I201">
        <v>0</v>
      </c>
      <c r="J201">
        <v>0</v>
      </c>
      <c r="K201">
        <v>0</v>
      </c>
      <c r="L201">
        <v>174.7</v>
      </c>
      <c r="M201">
        <v>90</v>
      </c>
      <c r="N201" s="10">
        <v>27.89</v>
      </c>
      <c r="O201" s="2">
        <f t="shared" si="6"/>
        <v>236.666122</v>
      </c>
      <c r="P201" s="2">
        <f t="shared" si="7"/>
        <v>100.96162500000001</v>
      </c>
      <c r="Q201">
        <v>0</v>
      </c>
    </row>
    <row r="202" spans="1:17" x14ac:dyDescent="0.25">
      <c r="A202" s="15"/>
      <c r="B202" s="15"/>
      <c r="C202">
        <v>50</v>
      </c>
      <c r="D202">
        <v>172.9</v>
      </c>
      <c r="E202">
        <v>172.9</v>
      </c>
      <c r="F202">
        <v>642.9</v>
      </c>
      <c r="G202">
        <v>1172.4000000000001</v>
      </c>
      <c r="H202">
        <v>0</v>
      </c>
      <c r="I202">
        <v>0</v>
      </c>
      <c r="J202">
        <v>0</v>
      </c>
      <c r="K202">
        <v>0</v>
      </c>
      <c r="L202">
        <v>174.7</v>
      </c>
      <c r="M202">
        <v>14</v>
      </c>
      <c r="N202" s="10">
        <v>21.11</v>
      </c>
      <c r="O202" s="2">
        <f t="shared" si="6"/>
        <v>224.09975</v>
      </c>
      <c r="P202" s="2">
        <f t="shared" si="7"/>
        <v>94.477874999999997</v>
      </c>
      <c r="Q202">
        <v>0</v>
      </c>
    </row>
    <row r="203" spans="1:17" x14ac:dyDescent="0.25">
      <c r="A203" s="15"/>
      <c r="B203" s="15"/>
      <c r="C203">
        <v>50</v>
      </c>
      <c r="D203">
        <v>172.9</v>
      </c>
      <c r="E203">
        <v>172.9</v>
      </c>
      <c r="F203">
        <v>642.9</v>
      </c>
      <c r="G203">
        <v>1172.4000000000001</v>
      </c>
      <c r="H203">
        <v>0</v>
      </c>
      <c r="I203">
        <v>0</v>
      </c>
      <c r="J203">
        <v>0</v>
      </c>
      <c r="K203">
        <v>0</v>
      </c>
      <c r="L203">
        <v>174.7</v>
      </c>
      <c r="M203">
        <v>21</v>
      </c>
      <c r="N203" s="10">
        <v>23.31</v>
      </c>
      <c r="O203" s="2">
        <f t="shared" si="6"/>
        <v>224.09975</v>
      </c>
      <c r="P203" s="2">
        <f t="shared" si="7"/>
        <v>94.477874999999997</v>
      </c>
      <c r="Q203">
        <v>0</v>
      </c>
    </row>
    <row r="204" spans="1:17" x14ac:dyDescent="0.25">
      <c r="A204" s="15"/>
      <c r="B204" s="15"/>
      <c r="C204">
        <v>50</v>
      </c>
      <c r="D204">
        <v>172.9</v>
      </c>
      <c r="E204">
        <v>172.9</v>
      </c>
      <c r="F204">
        <v>642.9</v>
      </c>
      <c r="G204">
        <v>1172.4000000000001</v>
      </c>
      <c r="H204">
        <v>0</v>
      </c>
      <c r="I204">
        <v>0</v>
      </c>
      <c r="J204">
        <v>0</v>
      </c>
      <c r="K204">
        <v>0</v>
      </c>
      <c r="L204">
        <v>174.7</v>
      </c>
      <c r="M204">
        <v>56</v>
      </c>
      <c r="N204" s="10">
        <v>24.04</v>
      </c>
      <c r="O204" s="2">
        <f t="shared" si="6"/>
        <v>224.09975</v>
      </c>
      <c r="P204" s="2">
        <f t="shared" si="7"/>
        <v>94.477874999999997</v>
      </c>
      <c r="Q204">
        <v>0</v>
      </c>
    </row>
    <row r="205" spans="1:17" x14ac:dyDescent="0.25">
      <c r="A205" s="15"/>
      <c r="B205" s="15"/>
      <c r="C205">
        <v>50</v>
      </c>
      <c r="D205">
        <v>172.9</v>
      </c>
      <c r="E205">
        <v>172.9</v>
      </c>
      <c r="F205">
        <v>642.9</v>
      </c>
      <c r="G205">
        <v>1172.4000000000001</v>
      </c>
      <c r="H205">
        <v>0</v>
      </c>
      <c r="I205">
        <v>0</v>
      </c>
      <c r="J205">
        <v>0</v>
      </c>
      <c r="K205">
        <v>0</v>
      </c>
      <c r="L205">
        <v>174.7</v>
      </c>
      <c r="M205">
        <v>90</v>
      </c>
      <c r="N205" s="10">
        <v>28.9</v>
      </c>
      <c r="O205" s="2">
        <f t="shared" si="6"/>
        <v>224.09975</v>
      </c>
      <c r="P205" s="2">
        <f t="shared" si="7"/>
        <v>94.477874999999997</v>
      </c>
      <c r="Q205">
        <v>0</v>
      </c>
    </row>
    <row r="206" spans="1:17" x14ac:dyDescent="0.25">
      <c r="A206" s="15" t="s">
        <v>43</v>
      </c>
      <c r="B206" s="15" t="s">
        <v>44</v>
      </c>
      <c r="C206">
        <v>0</v>
      </c>
      <c r="D206">
        <v>365.25</v>
      </c>
      <c r="E206">
        <v>0</v>
      </c>
      <c r="F206">
        <v>650</v>
      </c>
      <c r="G206">
        <v>1310</v>
      </c>
      <c r="H206">
        <v>0</v>
      </c>
      <c r="I206">
        <v>0</v>
      </c>
      <c r="J206">
        <v>0</v>
      </c>
      <c r="K206">
        <v>2.5</v>
      </c>
      <c r="L206">
        <v>165</v>
      </c>
      <c r="M206">
        <v>7</v>
      </c>
      <c r="N206" s="10">
        <v>12.65</v>
      </c>
      <c r="O206" s="2">
        <f t="shared" si="6"/>
        <v>377.32150000000001</v>
      </c>
      <c r="P206" s="2">
        <f t="shared" si="7"/>
        <v>172.55625000000001</v>
      </c>
      <c r="Q206">
        <v>0</v>
      </c>
    </row>
    <row r="207" spans="1:17" x14ac:dyDescent="0.25">
      <c r="A207" s="15"/>
      <c r="B207" s="15"/>
      <c r="C207">
        <v>0</v>
      </c>
      <c r="D207">
        <v>365.25</v>
      </c>
      <c r="E207">
        <v>0</v>
      </c>
      <c r="F207">
        <v>650</v>
      </c>
      <c r="G207">
        <v>1310</v>
      </c>
      <c r="H207">
        <v>0</v>
      </c>
      <c r="I207">
        <v>0</v>
      </c>
      <c r="J207">
        <v>0</v>
      </c>
      <c r="K207">
        <v>2.5</v>
      </c>
      <c r="L207">
        <v>165</v>
      </c>
      <c r="M207">
        <v>14</v>
      </c>
      <c r="N207" s="10">
        <v>13.71</v>
      </c>
      <c r="O207" s="2">
        <f t="shared" si="6"/>
        <v>377.32150000000001</v>
      </c>
      <c r="P207" s="2">
        <f t="shared" si="7"/>
        <v>172.55625000000001</v>
      </c>
      <c r="Q207">
        <v>0</v>
      </c>
    </row>
    <row r="208" spans="1:17" x14ac:dyDescent="0.25">
      <c r="A208" s="15"/>
      <c r="B208" s="15"/>
      <c r="C208">
        <v>0</v>
      </c>
      <c r="D208">
        <v>365.25</v>
      </c>
      <c r="E208">
        <v>0</v>
      </c>
      <c r="F208">
        <v>650</v>
      </c>
      <c r="G208">
        <v>1310</v>
      </c>
      <c r="H208">
        <v>0</v>
      </c>
      <c r="I208">
        <v>0</v>
      </c>
      <c r="J208">
        <v>0</v>
      </c>
      <c r="K208">
        <v>2.5</v>
      </c>
      <c r="L208">
        <v>165</v>
      </c>
      <c r="M208">
        <v>56</v>
      </c>
      <c r="N208" s="10">
        <v>18.03</v>
      </c>
      <c r="O208" s="2">
        <f t="shared" si="6"/>
        <v>377.32150000000001</v>
      </c>
      <c r="P208" s="2">
        <f t="shared" si="7"/>
        <v>172.55625000000001</v>
      </c>
      <c r="Q208">
        <v>0</v>
      </c>
    </row>
    <row r="209" spans="1:17" x14ac:dyDescent="0.25">
      <c r="A209" s="15"/>
      <c r="B209" s="15"/>
      <c r="C209">
        <v>0</v>
      </c>
      <c r="D209">
        <v>365.25</v>
      </c>
      <c r="E209">
        <v>0</v>
      </c>
      <c r="F209">
        <v>650</v>
      </c>
      <c r="G209">
        <v>1310</v>
      </c>
      <c r="H209">
        <v>0</v>
      </c>
      <c r="I209">
        <v>0</v>
      </c>
      <c r="J209">
        <v>0</v>
      </c>
      <c r="K209">
        <v>2.5</v>
      </c>
      <c r="L209">
        <v>165</v>
      </c>
      <c r="M209">
        <v>90</v>
      </c>
      <c r="N209" s="10">
        <v>15.37</v>
      </c>
      <c r="O209" s="2">
        <f t="shared" si="6"/>
        <v>377.32150000000001</v>
      </c>
      <c r="P209" s="2">
        <f t="shared" si="7"/>
        <v>172.55625000000001</v>
      </c>
      <c r="Q209">
        <v>0</v>
      </c>
    </row>
    <row r="210" spans="1:17" x14ac:dyDescent="0.25">
      <c r="A210" s="15"/>
      <c r="B210" s="15"/>
      <c r="C210">
        <v>5</v>
      </c>
      <c r="D210">
        <v>346.988</v>
      </c>
      <c r="E210">
        <v>18.262</v>
      </c>
      <c r="F210">
        <v>650</v>
      </c>
      <c r="G210">
        <v>1310</v>
      </c>
      <c r="H210">
        <v>0</v>
      </c>
      <c r="I210">
        <v>0</v>
      </c>
      <c r="J210">
        <v>0</v>
      </c>
      <c r="K210">
        <v>2.5</v>
      </c>
      <c r="L210">
        <v>165</v>
      </c>
      <c r="M210">
        <v>7</v>
      </c>
      <c r="N210" s="10">
        <v>11.27</v>
      </c>
      <c r="O210" s="2">
        <f t="shared" si="6"/>
        <v>364.04867840000003</v>
      </c>
      <c r="P210" s="2">
        <f t="shared" si="7"/>
        <v>165.708</v>
      </c>
      <c r="Q210">
        <v>0</v>
      </c>
    </row>
    <row r="211" spans="1:17" x14ac:dyDescent="0.25">
      <c r="A211" s="15"/>
      <c r="B211" s="15"/>
      <c r="C211">
        <v>5</v>
      </c>
      <c r="D211">
        <v>346.988</v>
      </c>
      <c r="E211">
        <v>18.262</v>
      </c>
      <c r="F211">
        <v>650</v>
      </c>
      <c r="G211">
        <v>1310</v>
      </c>
      <c r="H211">
        <v>0</v>
      </c>
      <c r="I211">
        <v>0</v>
      </c>
      <c r="J211">
        <v>0</v>
      </c>
      <c r="K211">
        <v>2.5</v>
      </c>
      <c r="L211">
        <v>165</v>
      </c>
      <c r="M211">
        <v>14</v>
      </c>
      <c r="N211" s="10">
        <v>15.67</v>
      </c>
      <c r="O211" s="2">
        <f t="shared" si="6"/>
        <v>364.04867840000003</v>
      </c>
      <c r="P211" s="2">
        <f t="shared" si="7"/>
        <v>165.708</v>
      </c>
      <c r="Q211">
        <v>0</v>
      </c>
    </row>
    <row r="212" spans="1:17" x14ac:dyDescent="0.25">
      <c r="A212" s="15"/>
      <c r="B212" s="15"/>
      <c r="C212">
        <v>5</v>
      </c>
      <c r="D212">
        <v>346.988</v>
      </c>
      <c r="E212">
        <v>18.262</v>
      </c>
      <c r="F212">
        <v>650</v>
      </c>
      <c r="G212">
        <v>1310</v>
      </c>
      <c r="H212">
        <v>0</v>
      </c>
      <c r="I212">
        <v>0</v>
      </c>
      <c r="J212">
        <v>0</v>
      </c>
      <c r="K212">
        <v>2.5</v>
      </c>
      <c r="L212">
        <v>165</v>
      </c>
      <c r="M212">
        <v>56</v>
      </c>
      <c r="N212" s="10">
        <v>15.24</v>
      </c>
      <c r="O212" s="2">
        <f t="shared" si="6"/>
        <v>364.04867840000003</v>
      </c>
      <c r="P212" s="2">
        <f t="shared" si="7"/>
        <v>165.708</v>
      </c>
      <c r="Q212">
        <v>0</v>
      </c>
    </row>
    <row r="213" spans="1:17" x14ac:dyDescent="0.25">
      <c r="A213" s="15"/>
      <c r="B213" s="15"/>
      <c r="C213">
        <v>5</v>
      </c>
      <c r="D213">
        <v>346.988</v>
      </c>
      <c r="E213">
        <v>18.262</v>
      </c>
      <c r="F213">
        <v>650</v>
      </c>
      <c r="G213">
        <v>1310</v>
      </c>
      <c r="H213">
        <v>0</v>
      </c>
      <c r="I213">
        <v>0</v>
      </c>
      <c r="J213">
        <v>0</v>
      </c>
      <c r="K213">
        <v>2.5</v>
      </c>
      <c r="L213">
        <v>165</v>
      </c>
      <c r="M213">
        <v>90</v>
      </c>
      <c r="N213" s="10">
        <v>19.170000000000002</v>
      </c>
      <c r="O213" s="2">
        <f t="shared" si="6"/>
        <v>364.04867840000003</v>
      </c>
      <c r="P213" s="2">
        <f t="shared" si="7"/>
        <v>165.708</v>
      </c>
      <c r="Q213">
        <v>0</v>
      </c>
    </row>
    <row r="214" spans="1:17" x14ac:dyDescent="0.25">
      <c r="A214" s="15"/>
      <c r="B214" s="15"/>
      <c r="C214">
        <v>10</v>
      </c>
      <c r="D214">
        <v>328.72500000000002</v>
      </c>
      <c r="E214">
        <v>36.524999999999999</v>
      </c>
      <c r="F214">
        <v>650</v>
      </c>
      <c r="G214">
        <v>1310</v>
      </c>
      <c r="H214">
        <v>0</v>
      </c>
      <c r="I214">
        <v>0</v>
      </c>
      <c r="J214">
        <v>0</v>
      </c>
      <c r="K214">
        <v>2.5</v>
      </c>
      <c r="L214">
        <v>165</v>
      </c>
      <c r="M214">
        <v>7</v>
      </c>
      <c r="N214" s="10">
        <v>15.8</v>
      </c>
      <c r="O214" s="2">
        <f t="shared" si="6"/>
        <v>350.77513000000005</v>
      </c>
      <c r="P214" s="2">
        <f t="shared" si="7"/>
        <v>158.859375</v>
      </c>
      <c r="Q214">
        <v>0</v>
      </c>
    </row>
    <row r="215" spans="1:17" x14ac:dyDescent="0.25">
      <c r="A215" s="15"/>
      <c r="B215" s="15"/>
      <c r="C215">
        <v>10</v>
      </c>
      <c r="D215">
        <v>328.72500000000002</v>
      </c>
      <c r="E215">
        <v>36.524999999999999</v>
      </c>
      <c r="F215">
        <v>650</v>
      </c>
      <c r="G215">
        <v>1310</v>
      </c>
      <c r="H215">
        <v>0</v>
      </c>
      <c r="I215">
        <v>0</v>
      </c>
      <c r="J215">
        <v>0</v>
      </c>
      <c r="K215">
        <v>2.5</v>
      </c>
      <c r="L215">
        <v>165</v>
      </c>
      <c r="M215">
        <v>14</v>
      </c>
      <c r="N215" s="10">
        <v>13.67</v>
      </c>
      <c r="O215" s="2">
        <f t="shared" si="6"/>
        <v>350.77513000000005</v>
      </c>
      <c r="P215" s="2">
        <f t="shared" si="7"/>
        <v>158.859375</v>
      </c>
      <c r="Q215">
        <v>0</v>
      </c>
    </row>
    <row r="216" spans="1:17" x14ac:dyDescent="0.25">
      <c r="A216" s="15"/>
      <c r="B216" s="15"/>
      <c r="C216">
        <v>10</v>
      </c>
      <c r="D216">
        <v>328.72500000000002</v>
      </c>
      <c r="E216">
        <v>36.524999999999999</v>
      </c>
      <c r="F216">
        <v>650</v>
      </c>
      <c r="G216">
        <v>1310</v>
      </c>
      <c r="H216">
        <v>0</v>
      </c>
      <c r="I216">
        <v>0</v>
      </c>
      <c r="J216">
        <v>0</v>
      </c>
      <c r="K216">
        <v>2.5</v>
      </c>
      <c r="L216">
        <v>165</v>
      </c>
      <c r="M216">
        <v>56</v>
      </c>
      <c r="N216" s="10">
        <v>15.36</v>
      </c>
      <c r="O216" s="2">
        <f t="shared" si="6"/>
        <v>350.77513000000005</v>
      </c>
      <c r="P216" s="2">
        <f t="shared" si="7"/>
        <v>158.859375</v>
      </c>
      <c r="Q216">
        <v>0</v>
      </c>
    </row>
    <row r="217" spans="1:17" x14ac:dyDescent="0.25">
      <c r="A217" s="15"/>
      <c r="B217" s="15"/>
      <c r="C217">
        <v>10</v>
      </c>
      <c r="D217">
        <v>328.72500000000002</v>
      </c>
      <c r="E217">
        <v>36.524999999999999</v>
      </c>
      <c r="F217">
        <v>650</v>
      </c>
      <c r="G217">
        <v>1310</v>
      </c>
      <c r="H217">
        <v>0</v>
      </c>
      <c r="I217">
        <v>0</v>
      </c>
      <c r="J217">
        <v>0</v>
      </c>
      <c r="K217">
        <v>2.5</v>
      </c>
      <c r="L217">
        <v>165</v>
      </c>
      <c r="M217">
        <v>90</v>
      </c>
      <c r="N217" s="10">
        <v>19.23</v>
      </c>
      <c r="O217" s="2">
        <f t="shared" si="6"/>
        <v>350.77513000000005</v>
      </c>
      <c r="P217" s="2">
        <f t="shared" si="7"/>
        <v>158.859375</v>
      </c>
      <c r="Q217">
        <v>0</v>
      </c>
    </row>
    <row r="218" spans="1:17" x14ac:dyDescent="0.25">
      <c r="A218" s="15"/>
      <c r="B218" s="15"/>
      <c r="C218">
        <v>15</v>
      </c>
      <c r="D218">
        <v>310.46199999999999</v>
      </c>
      <c r="E218">
        <v>54.787999999999997</v>
      </c>
      <c r="F218">
        <v>650</v>
      </c>
      <c r="G218">
        <v>1310</v>
      </c>
      <c r="H218">
        <v>0</v>
      </c>
      <c r="I218">
        <v>0</v>
      </c>
      <c r="J218">
        <v>0</v>
      </c>
      <c r="K218">
        <v>2.5</v>
      </c>
      <c r="L218">
        <v>165</v>
      </c>
      <c r="M218">
        <v>7</v>
      </c>
      <c r="N218" s="10">
        <v>18.420000000000002</v>
      </c>
      <c r="O218" s="2">
        <f t="shared" si="6"/>
        <v>337.50158160000001</v>
      </c>
      <c r="P218" s="2">
        <f t="shared" si="7"/>
        <v>152.01075</v>
      </c>
      <c r="Q218">
        <v>0</v>
      </c>
    </row>
    <row r="219" spans="1:17" x14ac:dyDescent="0.25">
      <c r="A219" s="15"/>
      <c r="B219" s="15"/>
      <c r="C219">
        <v>15</v>
      </c>
      <c r="D219">
        <v>310.46199999999999</v>
      </c>
      <c r="E219">
        <v>54.787999999999997</v>
      </c>
      <c r="F219">
        <v>650</v>
      </c>
      <c r="G219">
        <v>1310</v>
      </c>
      <c r="H219">
        <v>0</v>
      </c>
      <c r="I219">
        <v>0</v>
      </c>
      <c r="J219">
        <v>0</v>
      </c>
      <c r="K219">
        <v>2.5</v>
      </c>
      <c r="L219">
        <v>165</v>
      </c>
      <c r="M219">
        <v>14</v>
      </c>
      <c r="N219" s="10">
        <v>13.17</v>
      </c>
      <c r="O219" s="2">
        <f t="shared" si="6"/>
        <v>337.50158160000001</v>
      </c>
      <c r="P219" s="2">
        <f t="shared" si="7"/>
        <v>152.01075</v>
      </c>
      <c r="Q219">
        <v>0</v>
      </c>
    </row>
    <row r="220" spans="1:17" x14ac:dyDescent="0.25">
      <c r="A220" s="15"/>
      <c r="B220" s="15"/>
      <c r="C220">
        <v>15</v>
      </c>
      <c r="D220">
        <v>310.46199999999999</v>
      </c>
      <c r="E220">
        <v>54.787999999999997</v>
      </c>
      <c r="F220">
        <v>650</v>
      </c>
      <c r="G220">
        <v>1310</v>
      </c>
      <c r="H220">
        <v>0</v>
      </c>
      <c r="I220">
        <v>0</v>
      </c>
      <c r="J220">
        <v>0</v>
      </c>
      <c r="K220">
        <v>2.5</v>
      </c>
      <c r="L220">
        <v>165</v>
      </c>
      <c r="M220">
        <v>56</v>
      </c>
      <c r="N220" s="10">
        <v>13.22</v>
      </c>
      <c r="O220" s="2">
        <f t="shared" si="6"/>
        <v>337.50158160000001</v>
      </c>
      <c r="P220" s="2">
        <f t="shared" si="7"/>
        <v>152.01075</v>
      </c>
      <c r="Q220">
        <v>0</v>
      </c>
    </row>
    <row r="221" spans="1:17" x14ac:dyDescent="0.25">
      <c r="A221" s="15"/>
      <c r="B221" s="15"/>
      <c r="C221">
        <v>15</v>
      </c>
      <c r="D221">
        <v>310.46199999999999</v>
      </c>
      <c r="E221">
        <v>54.787999999999997</v>
      </c>
      <c r="F221">
        <v>650</v>
      </c>
      <c r="G221">
        <v>1310</v>
      </c>
      <c r="H221">
        <v>0</v>
      </c>
      <c r="I221">
        <v>0</v>
      </c>
      <c r="J221">
        <v>0</v>
      </c>
      <c r="K221">
        <v>2.5</v>
      </c>
      <c r="L221">
        <v>165</v>
      </c>
      <c r="M221">
        <v>90</v>
      </c>
      <c r="N221" s="10">
        <v>16.82</v>
      </c>
      <c r="O221" s="2">
        <f t="shared" si="6"/>
        <v>337.50158160000001</v>
      </c>
      <c r="P221" s="2">
        <f t="shared" si="7"/>
        <v>152.01075</v>
      </c>
      <c r="Q221">
        <v>0</v>
      </c>
    </row>
    <row r="222" spans="1:17" x14ac:dyDescent="0.25">
      <c r="A222" s="15"/>
      <c r="B222" s="15"/>
      <c r="C222">
        <v>20</v>
      </c>
      <c r="D222">
        <v>292.2</v>
      </c>
      <c r="E222">
        <v>73.05</v>
      </c>
      <c r="F222">
        <v>650</v>
      </c>
      <c r="G222">
        <v>1310</v>
      </c>
      <c r="H222">
        <v>0</v>
      </c>
      <c r="I222">
        <v>0</v>
      </c>
      <c r="J222">
        <v>0</v>
      </c>
      <c r="K222">
        <v>2.5</v>
      </c>
      <c r="L222">
        <v>165</v>
      </c>
      <c r="M222">
        <v>7</v>
      </c>
      <c r="N222" s="10">
        <v>12.78</v>
      </c>
      <c r="O222" s="2">
        <f t="shared" si="6"/>
        <v>324.22876000000002</v>
      </c>
      <c r="P222" s="2">
        <f t="shared" si="7"/>
        <v>145.16249999999999</v>
      </c>
      <c r="Q222">
        <v>0</v>
      </c>
    </row>
    <row r="223" spans="1:17" x14ac:dyDescent="0.25">
      <c r="A223" s="15"/>
      <c r="B223" s="15"/>
      <c r="C223">
        <v>20</v>
      </c>
      <c r="D223">
        <v>292.2</v>
      </c>
      <c r="E223">
        <v>73.05</v>
      </c>
      <c r="F223">
        <v>650</v>
      </c>
      <c r="G223">
        <v>1310</v>
      </c>
      <c r="H223">
        <v>0</v>
      </c>
      <c r="I223">
        <v>0</v>
      </c>
      <c r="J223">
        <v>0</v>
      </c>
      <c r="K223">
        <v>2.5</v>
      </c>
      <c r="L223">
        <v>165</v>
      </c>
      <c r="M223">
        <v>14</v>
      </c>
      <c r="N223" s="10">
        <v>15.96</v>
      </c>
      <c r="O223" s="2">
        <f t="shared" si="6"/>
        <v>324.22876000000002</v>
      </c>
      <c r="P223" s="2">
        <f t="shared" si="7"/>
        <v>145.16249999999999</v>
      </c>
      <c r="Q223">
        <v>0</v>
      </c>
    </row>
    <row r="224" spans="1:17" x14ac:dyDescent="0.25">
      <c r="A224" s="15"/>
      <c r="B224" s="15"/>
      <c r="C224">
        <v>20</v>
      </c>
      <c r="D224">
        <v>292.2</v>
      </c>
      <c r="E224">
        <v>73.05</v>
      </c>
      <c r="F224">
        <v>650</v>
      </c>
      <c r="G224">
        <v>1310</v>
      </c>
      <c r="H224">
        <v>0</v>
      </c>
      <c r="I224">
        <v>0</v>
      </c>
      <c r="J224">
        <v>0</v>
      </c>
      <c r="K224">
        <v>2.5</v>
      </c>
      <c r="L224">
        <v>165</v>
      </c>
      <c r="M224">
        <v>56</v>
      </c>
      <c r="N224" s="10">
        <v>16.190000000000001</v>
      </c>
      <c r="O224" s="2">
        <f t="shared" si="6"/>
        <v>324.22876000000002</v>
      </c>
      <c r="P224" s="2">
        <f t="shared" si="7"/>
        <v>145.16249999999999</v>
      </c>
      <c r="Q224">
        <v>0</v>
      </c>
    </row>
    <row r="225" spans="1:17" x14ac:dyDescent="0.25">
      <c r="A225" s="15"/>
      <c r="B225" s="15"/>
      <c r="C225">
        <v>20</v>
      </c>
      <c r="D225">
        <v>292.2</v>
      </c>
      <c r="E225">
        <v>73.05</v>
      </c>
      <c r="F225">
        <v>650</v>
      </c>
      <c r="G225">
        <v>1310</v>
      </c>
      <c r="H225">
        <v>0</v>
      </c>
      <c r="I225">
        <v>0</v>
      </c>
      <c r="J225">
        <v>0</v>
      </c>
      <c r="K225">
        <v>2.5</v>
      </c>
      <c r="L225">
        <v>165</v>
      </c>
      <c r="M225">
        <v>90</v>
      </c>
      <c r="N225" s="10">
        <v>17.37</v>
      </c>
      <c r="O225" s="2">
        <f t="shared" si="6"/>
        <v>324.22876000000002</v>
      </c>
      <c r="P225" s="2">
        <f t="shared" si="7"/>
        <v>145.16249999999999</v>
      </c>
      <c r="Q225">
        <v>0</v>
      </c>
    </row>
    <row r="226" spans="1:17" x14ac:dyDescent="0.25">
      <c r="A226" s="15"/>
      <c r="B226" s="15"/>
      <c r="C226">
        <v>25</v>
      </c>
      <c r="D226">
        <v>273.93799999999999</v>
      </c>
      <c r="E226">
        <v>91.311999999999998</v>
      </c>
      <c r="F226">
        <v>650</v>
      </c>
      <c r="G226">
        <v>1310</v>
      </c>
      <c r="H226">
        <v>0</v>
      </c>
      <c r="I226">
        <v>0</v>
      </c>
      <c r="J226">
        <v>0</v>
      </c>
      <c r="K226">
        <v>2.5</v>
      </c>
      <c r="L226">
        <v>165</v>
      </c>
      <c r="M226">
        <v>7</v>
      </c>
      <c r="N226" s="10">
        <v>10.31</v>
      </c>
      <c r="O226" s="2">
        <f t="shared" si="6"/>
        <v>310.95593839999998</v>
      </c>
      <c r="P226" s="2">
        <f t="shared" si="7"/>
        <v>138.31424999999999</v>
      </c>
      <c r="Q226">
        <v>0</v>
      </c>
    </row>
    <row r="227" spans="1:17" x14ac:dyDescent="0.25">
      <c r="A227" s="15"/>
      <c r="B227" s="15"/>
      <c r="C227">
        <v>25</v>
      </c>
      <c r="D227">
        <v>273.93799999999999</v>
      </c>
      <c r="E227">
        <v>91.311999999999998</v>
      </c>
      <c r="F227">
        <v>650</v>
      </c>
      <c r="G227">
        <v>1310</v>
      </c>
      <c r="H227">
        <v>0</v>
      </c>
      <c r="I227">
        <v>0</v>
      </c>
      <c r="J227">
        <v>0</v>
      </c>
      <c r="K227">
        <v>2.5</v>
      </c>
      <c r="L227">
        <v>165</v>
      </c>
      <c r="M227">
        <v>14</v>
      </c>
      <c r="N227" s="10">
        <v>12.64</v>
      </c>
      <c r="O227" s="2">
        <f t="shared" si="6"/>
        <v>310.95593839999998</v>
      </c>
      <c r="P227" s="2">
        <f t="shared" si="7"/>
        <v>138.31424999999999</v>
      </c>
      <c r="Q227">
        <v>0</v>
      </c>
    </row>
    <row r="228" spans="1:17" x14ac:dyDescent="0.25">
      <c r="A228" s="15"/>
      <c r="B228" s="15"/>
      <c r="C228">
        <v>25</v>
      </c>
      <c r="D228">
        <v>273.93799999999999</v>
      </c>
      <c r="E228">
        <v>91.311999999999998</v>
      </c>
      <c r="F228">
        <v>650</v>
      </c>
      <c r="G228">
        <v>1310</v>
      </c>
      <c r="H228">
        <v>0</v>
      </c>
      <c r="I228">
        <v>0</v>
      </c>
      <c r="J228">
        <v>0</v>
      </c>
      <c r="K228">
        <v>2.5</v>
      </c>
      <c r="L228">
        <v>165</v>
      </c>
      <c r="M228">
        <v>56</v>
      </c>
      <c r="N228" s="10">
        <v>14.01</v>
      </c>
      <c r="O228" s="2">
        <f t="shared" si="6"/>
        <v>310.95593839999998</v>
      </c>
      <c r="P228" s="2">
        <f t="shared" si="7"/>
        <v>138.31424999999999</v>
      </c>
      <c r="Q228">
        <v>0</v>
      </c>
    </row>
    <row r="229" spans="1:17" x14ac:dyDescent="0.25">
      <c r="A229" s="15"/>
      <c r="B229" s="15"/>
      <c r="C229">
        <v>25</v>
      </c>
      <c r="D229">
        <v>273.93799999999999</v>
      </c>
      <c r="E229">
        <v>91.311999999999998</v>
      </c>
      <c r="F229">
        <v>650</v>
      </c>
      <c r="G229">
        <v>1310</v>
      </c>
      <c r="H229">
        <v>0</v>
      </c>
      <c r="I229">
        <v>0</v>
      </c>
      <c r="J229">
        <v>0</v>
      </c>
      <c r="K229">
        <v>2.5</v>
      </c>
      <c r="L229">
        <v>165</v>
      </c>
      <c r="M229">
        <v>90</v>
      </c>
      <c r="N229" s="10">
        <v>18.22</v>
      </c>
      <c r="O229" s="2">
        <f t="shared" si="6"/>
        <v>310.95593839999998</v>
      </c>
      <c r="P229" s="2">
        <f t="shared" si="7"/>
        <v>138.31424999999999</v>
      </c>
      <c r="Q229">
        <v>0</v>
      </c>
    </row>
    <row r="230" spans="1:17" x14ac:dyDescent="0.25">
      <c r="A230" s="15"/>
      <c r="B230" s="15"/>
      <c r="C230">
        <v>30</v>
      </c>
      <c r="D230">
        <v>255.67500000000001</v>
      </c>
      <c r="E230">
        <v>109.575</v>
      </c>
      <c r="F230">
        <v>650</v>
      </c>
      <c r="G230">
        <v>1310</v>
      </c>
      <c r="H230">
        <v>0</v>
      </c>
      <c r="I230">
        <v>0</v>
      </c>
      <c r="J230">
        <v>0</v>
      </c>
      <c r="K230">
        <v>2.5</v>
      </c>
      <c r="L230">
        <v>165</v>
      </c>
      <c r="M230">
        <v>7</v>
      </c>
      <c r="N230" s="10">
        <v>12.01</v>
      </c>
      <c r="O230" s="2">
        <f t="shared" si="6"/>
        <v>297.68239</v>
      </c>
      <c r="P230" s="2">
        <f t="shared" si="7"/>
        <v>131.46562499999999</v>
      </c>
      <c r="Q230">
        <v>0</v>
      </c>
    </row>
    <row r="231" spans="1:17" x14ac:dyDescent="0.25">
      <c r="A231" s="15"/>
      <c r="B231" s="15"/>
      <c r="C231">
        <v>30</v>
      </c>
      <c r="D231">
        <v>255.67500000000001</v>
      </c>
      <c r="E231">
        <v>109.575</v>
      </c>
      <c r="F231">
        <v>650</v>
      </c>
      <c r="G231">
        <v>1310</v>
      </c>
      <c r="H231">
        <v>0</v>
      </c>
      <c r="I231">
        <v>0</v>
      </c>
      <c r="J231">
        <v>0</v>
      </c>
      <c r="K231">
        <v>2.5</v>
      </c>
      <c r="L231">
        <v>165</v>
      </c>
      <c r="M231">
        <v>14</v>
      </c>
      <c r="N231" s="10">
        <v>12.51</v>
      </c>
      <c r="O231" s="2">
        <f t="shared" si="6"/>
        <v>297.68239</v>
      </c>
      <c r="P231" s="2">
        <f t="shared" si="7"/>
        <v>131.46562499999999</v>
      </c>
      <c r="Q231">
        <v>0</v>
      </c>
    </row>
    <row r="232" spans="1:17" x14ac:dyDescent="0.25">
      <c r="A232" s="15"/>
      <c r="B232" s="15"/>
      <c r="C232">
        <v>30</v>
      </c>
      <c r="D232">
        <v>255.67500000000001</v>
      </c>
      <c r="E232">
        <v>109.575</v>
      </c>
      <c r="F232">
        <v>650</v>
      </c>
      <c r="G232">
        <v>1310</v>
      </c>
      <c r="H232">
        <v>0</v>
      </c>
      <c r="I232">
        <v>0</v>
      </c>
      <c r="J232">
        <v>0</v>
      </c>
      <c r="K232">
        <v>2.5</v>
      </c>
      <c r="L232">
        <v>165</v>
      </c>
      <c r="M232">
        <v>56</v>
      </c>
      <c r="N232" s="10">
        <v>14.89</v>
      </c>
      <c r="O232" s="2">
        <f t="shared" si="6"/>
        <v>297.68239</v>
      </c>
      <c r="P232" s="2">
        <f t="shared" si="7"/>
        <v>131.46562499999999</v>
      </c>
      <c r="Q232">
        <v>0</v>
      </c>
    </row>
    <row r="233" spans="1:17" x14ac:dyDescent="0.25">
      <c r="A233" s="15"/>
      <c r="B233" s="15"/>
      <c r="C233">
        <v>30</v>
      </c>
      <c r="D233">
        <v>255.67500000000001</v>
      </c>
      <c r="E233">
        <v>109.575</v>
      </c>
      <c r="F233">
        <v>650</v>
      </c>
      <c r="G233">
        <v>1310</v>
      </c>
      <c r="H233">
        <v>0</v>
      </c>
      <c r="I233">
        <v>0</v>
      </c>
      <c r="J233">
        <v>0</v>
      </c>
      <c r="K233">
        <v>2.5</v>
      </c>
      <c r="L233">
        <v>165</v>
      </c>
      <c r="M233">
        <v>90</v>
      </c>
      <c r="N233" s="10">
        <v>14.73</v>
      </c>
      <c r="O233" s="2">
        <f t="shared" si="6"/>
        <v>297.68239</v>
      </c>
      <c r="P233" s="2">
        <f t="shared" si="7"/>
        <v>131.46562499999999</v>
      </c>
      <c r="Q233">
        <v>0</v>
      </c>
    </row>
    <row r="234" spans="1:17" x14ac:dyDescent="0.25">
      <c r="A234" s="15"/>
      <c r="B234" s="15"/>
      <c r="C234">
        <v>35</v>
      </c>
      <c r="D234">
        <v>237.41200000000001</v>
      </c>
      <c r="E234">
        <v>127.83799999999999</v>
      </c>
      <c r="F234">
        <v>650</v>
      </c>
      <c r="G234">
        <v>1310</v>
      </c>
      <c r="H234">
        <v>0</v>
      </c>
      <c r="I234">
        <v>0</v>
      </c>
      <c r="J234">
        <v>0</v>
      </c>
      <c r="K234">
        <v>2.5</v>
      </c>
      <c r="L234">
        <v>165</v>
      </c>
      <c r="M234">
        <v>7</v>
      </c>
      <c r="N234" s="10">
        <v>10.93</v>
      </c>
      <c r="O234" s="2">
        <f t="shared" si="6"/>
        <v>284.40884160000002</v>
      </c>
      <c r="P234" s="2">
        <f t="shared" si="7"/>
        <v>124.61699999999999</v>
      </c>
      <c r="Q234">
        <v>0</v>
      </c>
    </row>
    <row r="235" spans="1:17" x14ac:dyDescent="0.25">
      <c r="A235" s="15"/>
      <c r="B235" s="15"/>
      <c r="C235">
        <v>35</v>
      </c>
      <c r="D235">
        <v>237.41200000000001</v>
      </c>
      <c r="E235">
        <v>127.83799999999999</v>
      </c>
      <c r="F235">
        <v>650</v>
      </c>
      <c r="G235">
        <v>1310</v>
      </c>
      <c r="H235">
        <v>0</v>
      </c>
      <c r="I235">
        <v>0</v>
      </c>
      <c r="J235">
        <v>0</v>
      </c>
      <c r="K235">
        <v>2.5</v>
      </c>
      <c r="L235">
        <v>165</v>
      </c>
      <c r="M235">
        <v>14</v>
      </c>
      <c r="N235" s="10">
        <v>14.17</v>
      </c>
      <c r="O235" s="2">
        <f t="shared" si="6"/>
        <v>284.40884160000002</v>
      </c>
      <c r="P235" s="2">
        <f t="shared" si="7"/>
        <v>124.61699999999999</v>
      </c>
      <c r="Q235">
        <v>0</v>
      </c>
    </row>
    <row r="236" spans="1:17" x14ac:dyDescent="0.25">
      <c r="A236" s="15"/>
      <c r="B236" s="15"/>
      <c r="C236">
        <v>35</v>
      </c>
      <c r="D236">
        <v>237.41200000000001</v>
      </c>
      <c r="E236">
        <v>127.83799999999999</v>
      </c>
      <c r="F236">
        <v>650</v>
      </c>
      <c r="G236">
        <v>1310</v>
      </c>
      <c r="H236">
        <v>0</v>
      </c>
      <c r="I236">
        <v>0</v>
      </c>
      <c r="J236">
        <v>0</v>
      </c>
      <c r="K236">
        <v>2.5</v>
      </c>
      <c r="L236">
        <v>165</v>
      </c>
      <c r="M236">
        <v>56</v>
      </c>
      <c r="N236" s="10">
        <v>17.02</v>
      </c>
      <c r="O236" s="2">
        <f t="shared" si="6"/>
        <v>284.40884160000002</v>
      </c>
      <c r="P236" s="2">
        <f t="shared" si="7"/>
        <v>124.61699999999999</v>
      </c>
      <c r="Q236">
        <v>0</v>
      </c>
    </row>
    <row r="237" spans="1:17" x14ac:dyDescent="0.25">
      <c r="A237" s="15"/>
      <c r="B237" s="15"/>
      <c r="C237">
        <v>35</v>
      </c>
      <c r="D237">
        <v>237.41200000000001</v>
      </c>
      <c r="E237">
        <v>127.83799999999999</v>
      </c>
      <c r="F237">
        <v>650</v>
      </c>
      <c r="G237">
        <v>1310</v>
      </c>
      <c r="H237">
        <v>0</v>
      </c>
      <c r="I237">
        <v>0</v>
      </c>
      <c r="J237">
        <v>0</v>
      </c>
      <c r="K237">
        <v>2.5</v>
      </c>
      <c r="L237">
        <v>165</v>
      </c>
      <c r="M237">
        <v>90</v>
      </c>
      <c r="N237" s="10">
        <v>15.71</v>
      </c>
      <c r="O237" s="2">
        <f t="shared" si="6"/>
        <v>284.40884160000002</v>
      </c>
      <c r="P237" s="2">
        <f t="shared" si="7"/>
        <v>124.61699999999999</v>
      </c>
      <c r="Q237">
        <v>0</v>
      </c>
    </row>
    <row r="238" spans="1:17" x14ac:dyDescent="0.25">
      <c r="A238" s="15"/>
      <c r="B238" s="15"/>
      <c r="C238">
        <v>40</v>
      </c>
      <c r="D238">
        <v>219.15</v>
      </c>
      <c r="E238">
        <v>146.1</v>
      </c>
      <c r="F238">
        <v>650</v>
      </c>
      <c r="G238">
        <v>1310</v>
      </c>
      <c r="H238">
        <v>0</v>
      </c>
      <c r="I238">
        <v>0</v>
      </c>
      <c r="J238">
        <v>0</v>
      </c>
      <c r="K238">
        <v>2.5</v>
      </c>
      <c r="L238">
        <v>165</v>
      </c>
      <c r="M238">
        <v>7</v>
      </c>
      <c r="N238" s="10">
        <v>10.14</v>
      </c>
      <c r="O238" s="2">
        <f t="shared" si="6"/>
        <v>271.13601999999997</v>
      </c>
      <c r="P238" s="2">
        <f t="shared" si="7"/>
        <v>117.76875</v>
      </c>
      <c r="Q238">
        <v>0</v>
      </c>
    </row>
    <row r="239" spans="1:17" x14ac:dyDescent="0.25">
      <c r="A239" s="15"/>
      <c r="B239" s="15"/>
      <c r="C239">
        <v>40</v>
      </c>
      <c r="D239">
        <v>219.15</v>
      </c>
      <c r="E239">
        <v>146.1</v>
      </c>
      <c r="F239">
        <v>650</v>
      </c>
      <c r="G239">
        <v>1310</v>
      </c>
      <c r="H239">
        <v>0</v>
      </c>
      <c r="I239">
        <v>0</v>
      </c>
      <c r="J239">
        <v>0</v>
      </c>
      <c r="K239">
        <v>2.5</v>
      </c>
      <c r="L239">
        <v>165</v>
      </c>
      <c r="M239">
        <v>14</v>
      </c>
      <c r="N239" s="10">
        <v>14.25</v>
      </c>
      <c r="O239" s="2">
        <f t="shared" si="6"/>
        <v>271.13601999999997</v>
      </c>
      <c r="P239" s="2">
        <f t="shared" si="7"/>
        <v>117.76875</v>
      </c>
      <c r="Q239">
        <v>0</v>
      </c>
    </row>
    <row r="240" spans="1:17" x14ac:dyDescent="0.25">
      <c r="A240" s="15"/>
      <c r="B240" s="15"/>
      <c r="C240">
        <v>40</v>
      </c>
      <c r="D240">
        <v>219.15</v>
      </c>
      <c r="E240">
        <v>146.1</v>
      </c>
      <c r="F240">
        <v>650</v>
      </c>
      <c r="G240">
        <v>1310</v>
      </c>
      <c r="H240">
        <v>0</v>
      </c>
      <c r="I240">
        <v>0</v>
      </c>
      <c r="J240">
        <v>0</v>
      </c>
      <c r="K240">
        <v>2.5</v>
      </c>
      <c r="L240">
        <v>165</v>
      </c>
      <c r="M240">
        <v>56</v>
      </c>
      <c r="N240" s="10">
        <v>13.09</v>
      </c>
      <c r="O240" s="2">
        <f t="shared" si="6"/>
        <v>271.13601999999997</v>
      </c>
      <c r="P240" s="2">
        <f t="shared" si="7"/>
        <v>117.76875</v>
      </c>
      <c r="Q240">
        <v>0</v>
      </c>
    </row>
    <row r="241" spans="1:17" x14ac:dyDescent="0.25">
      <c r="A241" s="15"/>
      <c r="B241" s="15"/>
      <c r="C241">
        <v>40</v>
      </c>
      <c r="D241">
        <v>219.15</v>
      </c>
      <c r="E241">
        <v>146.1</v>
      </c>
      <c r="F241">
        <v>650</v>
      </c>
      <c r="G241">
        <v>1310</v>
      </c>
      <c r="H241">
        <v>0</v>
      </c>
      <c r="I241">
        <v>0</v>
      </c>
      <c r="J241">
        <v>0</v>
      </c>
      <c r="K241">
        <v>2.5</v>
      </c>
      <c r="L241">
        <v>165</v>
      </c>
      <c r="M241">
        <v>90</v>
      </c>
      <c r="N241" s="10">
        <v>15.93</v>
      </c>
      <c r="O241" s="2">
        <f t="shared" si="6"/>
        <v>271.13601999999997</v>
      </c>
      <c r="P241" s="2">
        <f t="shared" si="7"/>
        <v>117.76875</v>
      </c>
      <c r="Q241">
        <v>0</v>
      </c>
    </row>
    <row r="242" spans="1:17" x14ac:dyDescent="0.25">
      <c r="A242" s="15"/>
      <c r="B242" s="15"/>
      <c r="C242">
        <v>45</v>
      </c>
      <c r="D242">
        <v>200.88800000000001</v>
      </c>
      <c r="E242">
        <v>164.36199999999999</v>
      </c>
      <c r="F242">
        <v>650</v>
      </c>
      <c r="G242">
        <v>1310</v>
      </c>
      <c r="H242">
        <v>0</v>
      </c>
      <c r="I242">
        <v>0</v>
      </c>
      <c r="J242">
        <v>0</v>
      </c>
      <c r="K242">
        <v>2.5</v>
      </c>
      <c r="L242">
        <v>165</v>
      </c>
      <c r="M242">
        <v>7</v>
      </c>
      <c r="N242" s="10">
        <v>5.75</v>
      </c>
      <c r="O242" s="2">
        <f t="shared" si="6"/>
        <v>257.86319839999999</v>
      </c>
      <c r="P242" s="2">
        <f t="shared" si="7"/>
        <v>110.9205</v>
      </c>
      <c r="Q242">
        <v>0</v>
      </c>
    </row>
    <row r="243" spans="1:17" x14ac:dyDescent="0.25">
      <c r="A243" s="15"/>
      <c r="B243" s="15"/>
      <c r="C243">
        <v>45</v>
      </c>
      <c r="D243">
        <v>200.88800000000001</v>
      </c>
      <c r="E243">
        <v>164.36199999999999</v>
      </c>
      <c r="F243">
        <v>650</v>
      </c>
      <c r="G243">
        <v>1310</v>
      </c>
      <c r="H243">
        <v>0</v>
      </c>
      <c r="I243">
        <v>0</v>
      </c>
      <c r="J243">
        <v>0</v>
      </c>
      <c r="K243">
        <v>2.5</v>
      </c>
      <c r="L243">
        <v>165</v>
      </c>
      <c r="M243">
        <v>14</v>
      </c>
      <c r="N243" s="10">
        <v>8.94</v>
      </c>
      <c r="O243" s="2">
        <f t="shared" si="6"/>
        <v>257.86319839999999</v>
      </c>
      <c r="P243" s="2">
        <f t="shared" si="7"/>
        <v>110.9205</v>
      </c>
      <c r="Q243">
        <v>0</v>
      </c>
    </row>
    <row r="244" spans="1:17" x14ac:dyDescent="0.25">
      <c r="A244" s="15"/>
      <c r="B244" s="15"/>
      <c r="C244">
        <v>45</v>
      </c>
      <c r="D244">
        <v>200.88800000000001</v>
      </c>
      <c r="E244">
        <v>164.36199999999999</v>
      </c>
      <c r="F244">
        <v>650</v>
      </c>
      <c r="G244">
        <v>1310</v>
      </c>
      <c r="H244">
        <v>0</v>
      </c>
      <c r="I244">
        <v>0</v>
      </c>
      <c r="J244">
        <v>0</v>
      </c>
      <c r="K244">
        <v>2.5</v>
      </c>
      <c r="L244">
        <v>165</v>
      </c>
      <c r="M244">
        <v>56</v>
      </c>
      <c r="N244" s="10">
        <v>13.15</v>
      </c>
      <c r="O244" s="2">
        <f t="shared" si="6"/>
        <v>257.86319839999999</v>
      </c>
      <c r="P244" s="2">
        <f t="shared" si="7"/>
        <v>110.9205</v>
      </c>
      <c r="Q244">
        <v>0</v>
      </c>
    </row>
    <row r="245" spans="1:17" x14ac:dyDescent="0.25">
      <c r="A245" s="15"/>
      <c r="B245" s="15"/>
      <c r="C245">
        <v>45</v>
      </c>
      <c r="D245">
        <v>200.88800000000001</v>
      </c>
      <c r="E245">
        <v>164.36199999999999</v>
      </c>
      <c r="F245">
        <v>650</v>
      </c>
      <c r="G245">
        <v>1310</v>
      </c>
      <c r="H245">
        <v>0</v>
      </c>
      <c r="I245">
        <v>0</v>
      </c>
      <c r="J245">
        <v>0</v>
      </c>
      <c r="K245">
        <v>2.5</v>
      </c>
      <c r="L245">
        <v>165</v>
      </c>
      <c r="M245">
        <v>90</v>
      </c>
      <c r="N245" s="10">
        <v>17.05</v>
      </c>
      <c r="O245" s="2">
        <f t="shared" si="6"/>
        <v>257.86319839999999</v>
      </c>
      <c r="P245" s="2">
        <f t="shared" si="7"/>
        <v>110.9205</v>
      </c>
      <c r="Q245">
        <v>0</v>
      </c>
    </row>
    <row r="246" spans="1:17" x14ac:dyDescent="0.25">
      <c r="A246" s="15"/>
      <c r="B246" s="15"/>
      <c r="C246">
        <v>50</v>
      </c>
      <c r="D246">
        <v>182.625</v>
      </c>
      <c r="E246">
        <v>182.625</v>
      </c>
      <c r="F246">
        <v>650</v>
      </c>
      <c r="G246">
        <v>1310</v>
      </c>
      <c r="H246">
        <v>0</v>
      </c>
      <c r="I246">
        <v>0</v>
      </c>
      <c r="J246">
        <v>0</v>
      </c>
      <c r="K246">
        <v>2.5</v>
      </c>
      <c r="L246">
        <v>165</v>
      </c>
      <c r="M246">
        <v>7</v>
      </c>
      <c r="N246" s="10">
        <v>10.52</v>
      </c>
      <c r="O246" s="2">
        <f t="shared" si="6"/>
        <v>244.58965000000001</v>
      </c>
      <c r="P246" s="2">
        <f t="shared" si="7"/>
        <v>104.07187499999999</v>
      </c>
      <c r="Q246">
        <v>0</v>
      </c>
    </row>
    <row r="247" spans="1:17" x14ac:dyDescent="0.25">
      <c r="A247" s="15"/>
      <c r="B247" s="15"/>
      <c r="C247">
        <v>50</v>
      </c>
      <c r="D247">
        <v>182.625</v>
      </c>
      <c r="E247">
        <v>182.625</v>
      </c>
      <c r="F247">
        <v>650</v>
      </c>
      <c r="G247">
        <v>1310</v>
      </c>
      <c r="H247">
        <v>0</v>
      </c>
      <c r="I247">
        <v>0</v>
      </c>
      <c r="J247">
        <v>0</v>
      </c>
      <c r="K247">
        <v>2.5</v>
      </c>
      <c r="L247">
        <v>165</v>
      </c>
      <c r="M247">
        <v>14</v>
      </c>
      <c r="N247" s="10">
        <v>8.6300000000000008</v>
      </c>
      <c r="O247" s="2">
        <f t="shared" si="6"/>
        <v>244.58965000000001</v>
      </c>
      <c r="P247" s="2">
        <f t="shared" si="7"/>
        <v>104.07187499999999</v>
      </c>
      <c r="Q247">
        <v>0</v>
      </c>
    </row>
    <row r="248" spans="1:17" x14ac:dyDescent="0.25">
      <c r="A248" s="15"/>
      <c r="B248" s="15"/>
      <c r="C248">
        <v>50</v>
      </c>
      <c r="D248">
        <v>182.625</v>
      </c>
      <c r="E248">
        <v>182.625</v>
      </c>
      <c r="F248">
        <v>650</v>
      </c>
      <c r="G248">
        <v>1310</v>
      </c>
      <c r="H248">
        <v>0</v>
      </c>
      <c r="I248">
        <v>0</v>
      </c>
      <c r="J248">
        <v>0</v>
      </c>
      <c r="K248">
        <v>2.5</v>
      </c>
      <c r="L248">
        <v>165</v>
      </c>
      <c r="M248">
        <v>56</v>
      </c>
      <c r="N248" s="10">
        <v>12.74</v>
      </c>
      <c r="O248" s="2">
        <f t="shared" si="6"/>
        <v>244.58965000000001</v>
      </c>
      <c r="P248" s="2">
        <f t="shared" si="7"/>
        <v>104.07187499999999</v>
      </c>
      <c r="Q248">
        <v>0</v>
      </c>
    </row>
    <row r="249" spans="1:17" x14ac:dyDescent="0.25">
      <c r="A249" s="15"/>
      <c r="B249" s="15"/>
      <c r="C249">
        <v>50</v>
      </c>
      <c r="D249">
        <v>182.625</v>
      </c>
      <c r="E249">
        <v>182.625</v>
      </c>
      <c r="F249">
        <v>650</v>
      </c>
      <c r="G249">
        <v>1310</v>
      </c>
      <c r="H249">
        <v>0</v>
      </c>
      <c r="I249">
        <v>0</v>
      </c>
      <c r="J249">
        <v>0</v>
      </c>
      <c r="K249">
        <v>2.5</v>
      </c>
      <c r="L249">
        <v>165</v>
      </c>
      <c r="M249">
        <v>90</v>
      </c>
      <c r="N249" s="10">
        <v>11.42</v>
      </c>
      <c r="O249" s="2">
        <f t="shared" si="6"/>
        <v>244.58965000000001</v>
      </c>
      <c r="P249" s="2">
        <f t="shared" si="7"/>
        <v>104.07187499999999</v>
      </c>
      <c r="Q249">
        <v>0</v>
      </c>
    </row>
    <row r="250" spans="1:17" x14ac:dyDescent="0.25">
      <c r="A250" s="15" t="s">
        <v>45</v>
      </c>
      <c r="B250" s="15" t="s">
        <v>40</v>
      </c>
      <c r="C250">
        <v>0</v>
      </c>
      <c r="D250">
        <v>384.3</v>
      </c>
      <c r="E250">
        <v>0</v>
      </c>
      <c r="F250">
        <v>674.5</v>
      </c>
      <c r="G250">
        <v>1038.4000000000001</v>
      </c>
      <c r="H250">
        <v>0</v>
      </c>
      <c r="I250">
        <v>0</v>
      </c>
      <c r="J250">
        <v>0</v>
      </c>
      <c r="K250">
        <v>0</v>
      </c>
      <c r="L250">
        <v>176.3</v>
      </c>
      <c r="M250">
        <v>14</v>
      </c>
      <c r="N250" s="10">
        <v>32.68</v>
      </c>
      <c r="O250" s="2">
        <f t="shared" si="6"/>
        <v>376.00710999999995</v>
      </c>
      <c r="P250" s="2">
        <f t="shared" si="7"/>
        <v>172.33537500000003</v>
      </c>
      <c r="Q250">
        <v>0</v>
      </c>
    </row>
    <row r="251" spans="1:17" x14ac:dyDescent="0.25">
      <c r="A251" s="15"/>
      <c r="B251" s="15"/>
      <c r="C251">
        <v>0</v>
      </c>
      <c r="D251">
        <v>384.3</v>
      </c>
      <c r="E251">
        <v>0</v>
      </c>
      <c r="F251">
        <v>674.5</v>
      </c>
      <c r="G251">
        <v>1038.4000000000001</v>
      </c>
      <c r="H251">
        <v>0</v>
      </c>
      <c r="I251">
        <v>0</v>
      </c>
      <c r="J251">
        <v>0</v>
      </c>
      <c r="K251">
        <v>0</v>
      </c>
      <c r="L251">
        <v>176.3</v>
      </c>
      <c r="M251">
        <v>28</v>
      </c>
      <c r="N251" s="10">
        <v>32.06</v>
      </c>
      <c r="O251" s="2">
        <f t="shared" si="6"/>
        <v>376.00710999999995</v>
      </c>
      <c r="P251" s="2">
        <f t="shared" si="7"/>
        <v>172.33537500000003</v>
      </c>
      <c r="Q251">
        <v>0</v>
      </c>
    </row>
    <row r="252" spans="1:17" x14ac:dyDescent="0.25">
      <c r="A252" s="15"/>
      <c r="B252" s="15"/>
      <c r="C252">
        <v>0</v>
      </c>
      <c r="D252">
        <v>384.3</v>
      </c>
      <c r="E252">
        <v>0</v>
      </c>
      <c r="F252">
        <v>674.5</v>
      </c>
      <c r="G252">
        <v>1038.4000000000001</v>
      </c>
      <c r="H252">
        <v>0</v>
      </c>
      <c r="I252">
        <v>0</v>
      </c>
      <c r="J252">
        <v>0</v>
      </c>
      <c r="K252">
        <v>0</v>
      </c>
      <c r="L252">
        <v>176.3</v>
      </c>
      <c r="M252">
        <v>56</v>
      </c>
      <c r="N252" s="10">
        <v>38.93</v>
      </c>
      <c r="O252" s="2">
        <f t="shared" si="6"/>
        <v>376.00710999999995</v>
      </c>
      <c r="P252" s="2">
        <f t="shared" si="7"/>
        <v>172.33537500000003</v>
      </c>
      <c r="Q252">
        <v>0</v>
      </c>
    </row>
    <row r="253" spans="1:17" x14ac:dyDescent="0.25">
      <c r="A253" s="15"/>
      <c r="B253" s="15"/>
      <c r="C253">
        <v>0</v>
      </c>
      <c r="D253">
        <v>384.3</v>
      </c>
      <c r="E253">
        <v>0</v>
      </c>
      <c r="F253">
        <v>674.5</v>
      </c>
      <c r="G253">
        <v>1038.4000000000001</v>
      </c>
      <c r="H253">
        <v>0</v>
      </c>
      <c r="I253">
        <v>0</v>
      </c>
      <c r="J253">
        <v>0</v>
      </c>
      <c r="K253">
        <v>0</v>
      </c>
      <c r="L253">
        <v>176.3</v>
      </c>
      <c r="M253">
        <v>90</v>
      </c>
      <c r="N253" s="10">
        <v>41.89</v>
      </c>
      <c r="O253" s="2">
        <f t="shared" si="6"/>
        <v>376.00710999999995</v>
      </c>
      <c r="P253" s="2">
        <f t="shared" si="7"/>
        <v>172.33537500000003</v>
      </c>
      <c r="Q253">
        <v>0</v>
      </c>
    </row>
    <row r="254" spans="1:17" x14ac:dyDescent="0.25">
      <c r="A254" s="15"/>
      <c r="B254" s="15"/>
      <c r="C254">
        <v>5</v>
      </c>
      <c r="D254">
        <v>365.08499999999998</v>
      </c>
      <c r="E254">
        <v>19.215</v>
      </c>
      <c r="F254">
        <v>674.5</v>
      </c>
      <c r="G254">
        <v>1038.4000000000001</v>
      </c>
      <c r="H254">
        <v>0</v>
      </c>
      <c r="I254">
        <v>0</v>
      </c>
      <c r="J254">
        <v>0</v>
      </c>
      <c r="K254">
        <v>0</v>
      </c>
      <c r="L254">
        <v>176.3</v>
      </c>
      <c r="M254">
        <v>14</v>
      </c>
      <c r="N254" s="10">
        <v>31.39</v>
      </c>
      <c r="O254" s="2">
        <f t="shared" si="6"/>
        <v>362.0416479999999</v>
      </c>
      <c r="P254" s="2">
        <f t="shared" si="7"/>
        <v>165.12975</v>
      </c>
      <c r="Q254">
        <v>0</v>
      </c>
    </row>
    <row r="255" spans="1:17" x14ac:dyDescent="0.25">
      <c r="A255" s="15"/>
      <c r="B255" s="15"/>
      <c r="C255">
        <v>5</v>
      </c>
      <c r="D255">
        <v>365.08499999999998</v>
      </c>
      <c r="E255">
        <v>19.215</v>
      </c>
      <c r="F255">
        <v>674.5</v>
      </c>
      <c r="G255">
        <v>1038.4000000000001</v>
      </c>
      <c r="H255">
        <v>0</v>
      </c>
      <c r="I255">
        <v>0</v>
      </c>
      <c r="J255">
        <v>0</v>
      </c>
      <c r="K255">
        <v>0</v>
      </c>
      <c r="L255">
        <v>176.3</v>
      </c>
      <c r="M255">
        <v>28</v>
      </c>
      <c r="N255" s="10">
        <v>34.049999999999997</v>
      </c>
      <c r="O255" s="2">
        <f t="shared" si="6"/>
        <v>362.0416479999999</v>
      </c>
      <c r="P255" s="2">
        <f t="shared" si="7"/>
        <v>165.12975</v>
      </c>
      <c r="Q255">
        <v>0</v>
      </c>
    </row>
    <row r="256" spans="1:17" x14ac:dyDescent="0.25">
      <c r="A256" s="15"/>
      <c r="B256" s="15"/>
      <c r="C256">
        <v>5</v>
      </c>
      <c r="D256">
        <v>365.08499999999998</v>
      </c>
      <c r="E256">
        <v>19.215</v>
      </c>
      <c r="F256">
        <v>674.5</v>
      </c>
      <c r="G256">
        <v>1038.4000000000001</v>
      </c>
      <c r="H256">
        <v>0</v>
      </c>
      <c r="I256">
        <v>0</v>
      </c>
      <c r="J256">
        <v>0</v>
      </c>
      <c r="K256">
        <v>0</v>
      </c>
      <c r="L256">
        <v>176.3</v>
      </c>
      <c r="M256">
        <v>56</v>
      </c>
      <c r="N256" s="10">
        <v>35.25</v>
      </c>
      <c r="O256" s="2">
        <f t="shared" si="6"/>
        <v>362.0416479999999</v>
      </c>
      <c r="P256" s="2">
        <f t="shared" si="7"/>
        <v>165.12975</v>
      </c>
      <c r="Q256">
        <v>0</v>
      </c>
    </row>
    <row r="257" spans="1:17" x14ac:dyDescent="0.25">
      <c r="A257" s="15"/>
      <c r="B257" s="15"/>
      <c r="C257">
        <v>5</v>
      </c>
      <c r="D257">
        <v>365.08499999999998</v>
      </c>
      <c r="E257">
        <v>19.215</v>
      </c>
      <c r="F257">
        <v>674.5</v>
      </c>
      <c r="G257">
        <v>1038.4000000000001</v>
      </c>
      <c r="H257">
        <v>0</v>
      </c>
      <c r="I257">
        <v>0</v>
      </c>
      <c r="J257">
        <v>0</v>
      </c>
      <c r="K257">
        <v>0</v>
      </c>
      <c r="L257">
        <v>176.3</v>
      </c>
      <c r="M257">
        <v>90</v>
      </c>
      <c r="N257" s="10">
        <v>35.44</v>
      </c>
      <c r="O257" s="2">
        <f t="shared" si="6"/>
        <v>362.0416479999999</v>
      </c>
      <c r="P257" s="2">
        <f t="shared" si="7"/>
        <v>165.12975</v>
      </c>
      <c r="Q257">
        <v>0</v>
      </c>
    </row>
    <row r="258" spans="1:17" x14ac:dyDescent="0.25">
      <c r="A258" s="15"/>
      <c r="B258" s="15"/>
      <c r="C258">
        <v>10</v>
      </c>
      <c r="D258">
        <v>345.87</v>
      </c>
      <c r="E258">
        <v>38.43</v>
      </c>
      <c r="F258">
        <v>674.5</v>
      </c>
      <c r="G258">
        <v>1038.4000000000001</v>
      </c>
      <c r="H258">
        <v>0</v>
      </c>
      <c r="I258">
        <v>0</v>
      </c>
      <c r="J258">
        <v>0</v>
      </c>
      <c r="K258">
        <v>0</v>
      </c>
      <c r="L258">
        <v>176.3</v>
      </c>
      <c r="M258">
        <v>14</v>
      </c>
      <c r="N258" s="10">
        <v>28.15</v>
      </c>
      <c r="O258" s="2">
        <f t="shared" ref="O258:O321" si="8">SUM((D258*0.83)+(E258*0.1032)+(F258*0.0139)+(G258*0.0459)+(K258*2))</f>
        <v>348.07618599999995</v>
      </c>
      <c r="P258" s="2">
        <f t="shared" si="7"/>
        <v>157.92412499999998</v>
      </c>
      <c r="Q258">
        <v>0</v>
      </c>
    </row>
    <row r="259" spans="1:17" x14ac:dyDescent="0.25">
      <c r="A259" s="15"/>
      <c r="B259" s="15"/>
      <c r="C259">
        <v>10</v>
      </c>
      <c r="D259">
        <v>345.87</v>
      </c>
      <c r="E259">
        <v>38.43</v>
      </c>
      <c r="F259">
        <v>674.5</v>
      </c>
      <c r="G259">
        <v>1038.4000000000001</v>
      </c>
      <c r="H259">
        <v>0</v>
      </c>
      <c r="I259">
        <v>0</v>
      </c>
      <c r="J259">
        <v>0</v>
      </c>
      <c r="K259">
        <v>0</v>
      </c>
      <c r="L259">
        <v>176.3</v>
      </c>
      <c r="M259">
        <v>28</v>
      </c>
      <c r="N259" s="10">
        <v>29.84</v>
      </c>
      <c r="O259" s="2">
        <f t="shared" si="8"/>
        <v>348.07618599999995</v>
      </c>
      <c r="P259" s="2">
        <f t="shared" ref="P259:P322" si="9">SUM((D259*5)+((F259*0.25)+(G259*0.2)+(K259*20)))*0.075</f>
        <v>157.92412499999998</v>
      </c>
      <c r="Q259">
        <v>0</v>
      </c>
    </row>
    <row r="260" spans="1:17" x14ac:dyDescent="0.25">
      <c r="A260" s="15"/>
      <c r="B260" s="15"/>
      <c r="C260">
        <v>10</v>
      </c>
      <c r="D260">
        <v>345.87</v>
      </c>
      <c r="E260">
        <v>38.43</v>
      </c>
      <c r="F260">
        <v>674.5</v>
      </c>
      <c r="G260">
        <v>1038.4000000000001</v>
      </c>
      <c r="H260">
        <v>0</v>
      </c>
      <c r="I260">
        <v>0</v>
      </c>
      <c r="J260">
        <v>0</v>
      </c>
      <c r="K260">
        <v>0</v>
      </c>
      <c r="L260">
        <v>176.3</v>
      </c>
      <c r="M260">
        <v>56</v>
      </c>
      <c r="N260" s="10">
        <v>34.090000000000003</v>
      </c>
      <c r="O260" s="2">
        <f t="shared" si="8"/>
        <v>348.07618599999995</v>
      </c>
      <c r="P260" s="2">
        <f t="shared" si="9"/>
        <v>157.92412499999998</v>
      </c>
      <c r="Q260">
        <v>0</v>
      </c>
    </row>
    <row r="261" spans="1:17" x14ac:dyDescent="0.25">
      <c r="A261" s="15"/>
      <c r="B261" s="15"/>
      <c r="C261">
        <v>10</v>
      </c>
      <c r="D261">
        <v>345.87</v>
      </c>
      <c r="E261">
        <v>38.43</v>
      </c>
      <c r="F261">
        <v>674.5</v>
      </c>
      <c r="G261">
        <v>1038.4000000000001</v>
      </c>
      <c r="H261">
        <v>0</v>
      </c>
      <c r="I261">
        <v>0</v>
      </c>
      <c r="J261">
        <v>0</v>
      </c>
      <c r="K261">
        <v>0</v>
      </c>
      <c r="L261">
        <v>176.3</v>
      </c>
      <c r="M261">
        <v>90</v>
      </c>
      <c r="N261" s="10">
        <v>37.86</v>
      </c>
      <c r="O261" s="2">
        <f t="shared" si="8"/>
        <v>348.07618599999995</v>
      </c>
      <c r="P261" s="2">
        <f t="shared" si="9"/>
        <v>157.92412499999998</v>
      </c>
      <c r="Q261">
        <v>0</v>
      </c>
    </row>
    <row r="262" spans="1:17" x14ac:dyDescent="0.25">
      <c r="A262" s="15"/>
      <c r="B262" s="15"/>
      <c r="C262">
        <v>15</v>
      </c>
      <c r="D262">
        <v>326.65499999999997</v>
      </c>
      <c r="E262">
        <v>57.645000000000003</v>
      </c>
      <c r="F262">
        <v>674.5</v>
      </c>
      <c r="G262">
        <v>1038.4000000000001</v>
      </c>
      <c r="H262">
        <v>0</v>
      </c>
      <c r="I262">
        <v>0</v>
      </c>
      <c r="J262">
        <v>0</v>
      </c>
      <c r="K262">
        <v>0</v>
      </c>
      <c r="L262">
        <v>176.3</v>
      </c>
      <c r="M262">
        <v>14</v>
      </c>
      <c r="N262" s="10">
        <v>27.72</v>
      </c>
      <c r="O262" s="2">
        <f t="shared" si="8"/>
        <v>334.11072399999989</v>
      </c>
      <c r="P262" s="2">
        <f t="shared" si="9"/>
        <v>150.71849999999998</v>
      </c>
      <c r="Q262">
        <v>0</v>
      </c>
    </row>
    <row r="263" spans="1:17" x14ac:dyDescent="0.25">
      <c r="A263" s="15"/>
      <c r="B263" s="15"/>
      <c r="C263">
        <v>15</v>
      </c>
      <c r="D263">
        <v>326.65499999999997</v>
      </c>
      <c r="E263">
        <v>57.645000000000003</v>
      </c>
      <c r="F263">
        <v>674.5</v>
      </c>
      <c r="G263">
        <v>1038.4000000000001</v>
      </c>
      <c r="H263">
        <v>0</v>
      </c>
      <c r="I263">
        <v>0</v>
      </c>
      <c r="J263">
        <v>0</v>
      </c>
      <c r="K263">
        <v>0</v>
      </c>
      <c r="L263">
        <v>176.3</v>
      </c>
      <c r="M263">
        <v>28</v>
      </c>
      <c r="N263" s="10">
        <v>31.91</v>
      </c>
      <c r="O263" s="2">
        <f t="shared" si="8"/>
        <v>334.11072399999989</v>
      </c>
      <c r="P263" s="2">
        <f t="shared" si="9"/>
        <v>150.71849999999998</v>
      </c>
      <c r="Q263">
        <v>0</v>
      </c>
    </row>
    <row r="264" spans="1:17" x14ac:dyDescent="0.25">
      <c r="A264" s="15"/>
      <c r="B264" s="15"/>
      <c r="C264">
        <v>15</v>
      </c>
      <c r="D264">
        <v>326.65499999999997</v>
      </c>
      <c r="E264">
        <v>57.645000000000003</v>
      </c>
      <c r="F264">
        <v>674.5</v>
      </c>
      <c r="G264">
        <v>1038.4000000000001</v>
      </c>
      <c r="H264">
        <v>0</v>
      </c>
      <c r="I264">
        <v>0</v>
      </c>
      <c r="J264">
        <v>0</v>
      </c>
      <c r="K264">
        <v>0</v>
      </c>
      <c r="L264">
        <v>176.3</v>
      </c>
      <c r="M264">
        <v>56</v>
      </c>
      <c r="N264" s="10">
        <v>35.6</v>
      </c>
      <c r="O264" s="2">
        <f t="shared" si="8"/>
        <v>334.11072399999989</v>
      </c>
      <c r="P264" s="2">
        <f t="shared" si="9"/>
        <v>150.71849999999998</v>
      </c>
      <c r="Q264">
        <v>0</v>
      </c>
    </row>
    <row r="265" spans="1:17" x14ac:dyDescent="0.25">
      <c r="A265" s="15"/>
      <c r="B265" s="15"/>
      <c r="C265">
        <v>15</v>
      </c>
      <c r="D265">
        <v>326.65499999999997</v>
      </c>
      <c r="E265">
        <v>57.645000000000003</v>
      </c>
      <c r="F265">
        <v>674.5</v>
      </c>
      <c r="G265">
        <v>1038.4000000000001</v>
      </c>
      <c r="H265">
        <v>0</v>
      </c>
      <c r="I265">
        <v>0</v>
      </c>
      <c r="J265">
        <v>0</v>
      </c>
      <c r="K265">
        <v>0</v>
      </c>
      <c r="L265">
        <v>176.3</v>
      </c>
      <c r="M265">
        <v>90</v>
      </c>
      <c r="N265" s="10">
        <v>36.57</v>
      </c>
      <c r="O265" s="2">
        <f t="shared" si="8"/>
        <v>334.11072399999989</v>
      </c>
      <c r="P265" s="2">
        <f t="shared" si="9"/>
        <v>150.71849999999998</v>
      </c>
      <c r="Q265">
        <v>0</v>
      </c>
    </row>
    <row r="266" spans="1:17" x14ac:dyDescent="0.25">
      <c r="A266" s="15"/>
      <c r="B266" s="15"/>
      <c r="C266">
        <v>20</v>
      </c>
      <c r="D266">
        <v>307.44</v>
      </c>
      <c r="E266">
        <v>76.86</v>
      </c>
      <c r="F266">
        <v>674.5</v>
      </c>
      <c r="G266">
        <v>1038.4000000000001</v>
      </c>
      <c r="H266">
        <v>0</v>
      </c>
      <c r="I266">
        <v>0</v>
      </c>
      <c r="J266">
        <v>0</v>
      </c>
      <c r="K266">
        <v>0</v>
      </c>
      <c r="L266">
        <v>176.3</v>
      </c>
      <c r="M266">
        <v>14</v>
      </c>
      <c r="N266" s="10">
        <v>27.36</v>
      </c>
      <c r="O266" s="2">
        <f t="shared" si="8"/>
        <v>320.14526199999995</v>
      </c>
      <c r="P266" s="2">
        <f t="shared" si="9"/>
        <v>143.51287500000001</v>
      </c>
      <c r="Q266">
        <v>0</v>
      </c>
    </row>
    <row r="267" spans="1:17" x14ac:dyDescent="0.25">
      <c r="A267" s="15"/>
      <c r="B267" s="15"/>
      <c r="C267">
        <v>20</v>
      </c>
      <c r="D267">
        <v>307.44</v>
      </c>
      <c r="E267">
        <v>76.86</v>
      </c>
      <c r="F267">
        <v>674.5</v>
      </c>
      <c r="G267">
        <v>1038.4000000000001</v>
      </c>
      <c r="H267">
        <v>0</v>
      </c>
      <c r="I267">
        <v>0</v>
      </c>
      <c r="J267">
        <v>0</v>
      </c>
      <c r="K267">
        <v>0</v>
      </c>
      <c r="L267">
        <v>176.3</v>
      </c>
      <c r="M267">
        <v>28</v>
      </c>
      <c r="N267" s="10">
        <v>30.98</v>
      </c>
      <c r="O267" s="2">
        <f t="shared" si="8"/>
        <v>320.14526199999995</v>
      </c>
      <c r="P267" s="2">
        <f t="shared" si="9"/>
        <v>143.51287500000001</v>
      </c>
      <c r="Q267">
        <v>0</v>
      </c>
    </row>
    <row r="268" spans="1:17" x14ac:dyDescent="0.25">
      <c r="A268" s="15"/>
      <c r="B268" s="15"/>
      <c r="C268">
        <v>20</v>
      </c>
      <c r="D268">
        <v>307.44</v>
      </c>
      <c r="E268">
        <v>76.86</v>
      </c>
      <c r="F268">
        <v>674.5</v>
      </c>
      <c r="G268">
        <v>1038.4000000000001</v>
      </c>
      <c r="H268">
        <v>0</v>
      </c>
      <c r="I268">
        <v>0</v>
      </c>
      <c r="J268">
        <v>0</v>
      </c>
      <c r="K268">
        <v>0</v>
      </c>
      <c r="L268">
        <v>176.3</v>
      </c>
      <c r="M268">
        <v>56</v>
      </c>
      <c r="N268" s="10">
        <v>31.13</v>
      </c>
      <c r="O268" s="2">
        <f t="shared" si="8"/>
        <v>320.14526199999995</v>
      </c>
      <c r="P268" s="2">
        <f t="shared" si="9"/>
        <v>143.51287500000001</v>
      </c>
      <c r="Q268">
        <v>0</v>
      </c>
    </row>
    <row r="269" spans="1:17" x14ac:dyDescent="0.25">
      <c r="A269" s="15"/>
      <c r="B269" s="15"/>
      <c r="C269">
        <v>20</v>
      </c>
      <c r="D269">
        <v>307.44</v>
      </c>
      <c r="E269">
        <v>76.86</v>
      </c>
      <c r="F269">
        <v>674.5</v>
      </c>
      <c r="G269">
        <v>1038.4000000000001</v>
      </c>
      <c r="H269">
        <v>0</v>
      </c>
      <c r="I269">
        <v>0</v>
      </c>
      <c r="J269">
        <v>0</v>
      </c>
      <c r="K269">
        <v>0</v>
      </c>
      <c r="L269">
        <v>176.3</v>
      </c>
      <c r="M269">
        <v>90</v>
      </c>
      <c r="N269" s="10">
        <v>37.07</v>
      </c>
      <c r="O269" s="2">
        <f t="shared" si="8"/>
        <v>320.14526199999995</v>
      </c>
      <c r="P269" s="2">
        <f t="shared" si="9"/>
        <v>143.51287500000001</v>
      </c>
      <c r="Q269">
        <v>0</v>
      </c>
    </row>
    <row r="270" spans="1:17" x14ac:dyDescent="0.25">
      <c r="A270" s="15"/>
      <c r="B270" s="15"/>
      <c r="C270">
        <v>25</v>
      </c>
      <c r="D270">
        <v>288.22500000000002</v>
      </c>
      <c r="E270">
        <v>96.075000000000003</v>
      </c>
      <c r="F270">
        <v>674.5</v>
      </c>
      <c r="G270">
        <v>1038.4000000000001</v>
      </c>
      <c r="H270">
        <v>0</v>
      </c>
      <c r="I270">
        <v>0</v>
      </c>
      <c r="J270">
        <v>0</v>
      </c>
      <c r="K270">
        <v>0</v>
      </c>
      <c r="L270">
        <v>176.3</v>
      </c>
      <c r="M270">
        <v>14</v>
      </c>
      <c r="N270" s="10">
        <v>23.45</v>
      </c>
      <c r="O270" s="2">
        <f t="shared" si="8"/>
        <v>306.1798</v>
      </c>
      <c r="P270" s="2">
        <f t="shared" si="9"/>
        <v>136.30725000000001</v>
      </c>
      <c r="Q270">
        <v>0</v>
      </c>
    </row>
    <row r="271" spans="1:17" x14ac:dyDescent="0.25">
      <c r="A271" s="15"/>
      <c r="B271" s="15"/>
      <c r="C271">
        <v>25</v>
      </c>
      <c r="D271">
        <v>288.22500000000002</v>
      </c>
      <c r="E271">
        <v>96.075000000000003</v>
      </c>
      <c r="F271">
        <v>674.5</v>
      </c>
      <c r="G271">
        <v>1038.4000000000001</v>
      </c>
      <c r="H271">
        <v>0</v>
      </c>
      <c r="I271">
        <v>0</v>
      </c>
      <c r="J271">
        <v>0</v>
      </c>
      <c r="K271">
        <v>0</v>
      </c>
      <c r="L271">
        <v>176.3</v>
      </c>
      <c r="M271">
        <v>28</v>
      </c>
      <c r="N271" s="10">
        <v>28.88</v>
      </c>
      <c r="O271" s="2">
        <f t="shared" si="8"/>
        <v>306.1798</v>
      </c>
      <c r="P271" s="2">
        <f t="shared" si="9"/>
        <v>136.30725000000001</v>
      </c>
      <c r="Q271">
        <v>0</v>
      </c>
    </row>
    <row r="272" spans="1:17" x14ac:dyDescent="0.25">
      <c r="A272" s="15"/>
      <c r="B272" s="15"/>
      <c r="C272">
        <v>25</v>
      </c>
      <c r="D272">
        <v>288.22500000000002</v>
      </c>
      <c r="E272">
        <v>96.075000000000003</v>
      </c>
      <c r="F272">
        <v>674.5</v>
      </c>
      <c r="G272">
        <v>1038.4000000000001</v>
      </c>
      <c r="H272">
        <v>0</v>
      </c>
      <c r="I272">
        <v>0</v>
      </c>
      <c r="J272">
        <v>0</v>
      </c>
      <c r="K272">
        <v>0</v>
      </c>
      <c r="L272">
        <v>176.3</v>
      </c>
      <c r="M272">
        <v>56</v>
      </c>
      <c r="N272" s="10">
        <v>31.66</v>
      </c>
      <c r="O272" s="2">
        <f t="shared" si="8"/>
        <v>306.1798</v>
      </c>
      <c r="P272" s="2">
        <f t="shared" si="9"/>
        <v>136.30725000000001</v>
      </c>
      <c r="Q272">
        <v>0</v>
      </c>
    </row>
    <row r="273" spans="1:17" x14ac:dyDescent="0.25">
      <c r="A273" s="15"/>
      <c r="B273" s="15"/>
      <c r="C273">
        <v>25</v>
      </c>
      <c r="D273">
        <v>288.22500000000002</v>
      </c>
      <c r="E273">
        <v>96.075000000000003</v>
      </c>
      <c r="F273">
        <v>674.5</v>
      </c>
      <c r="G273">
        <v>1038.4000000000001</v>
      </c>
      <c r="H273">
        <v>0</v>
      </c>
      <c r="I273">
        <v>0</v>
      </c>
      <c r="J273">
        <v>0</v>
      </c>
      <c r="K273">
        <v>0</v>
      </c>
      <c r="L273">
        <v>176.3</v>
      </c>
      <c r="M273">
        <v>90</v>
      </c>
      <c r="N273" s="10">
        <v>35.79</v>
      </c>
      <c r="O273" s="2">
        <f t="shared" si="8"/>
        <v>306.1798</v>
      </c>
      <c r="P273" s="2">
        <f t="shared" si="9"/>
        <v>136.30725000000001</v>
      </c>
      <c r="Q273">
        <v>0</v>
      </c>
    </row>
    <row r="274" spans="1:17" x14ac:dyDescent="0.25">
      <c r="A274" s="15"/>
      <c r="B274" s="15"/>
      <c r="C274">
        <v>30</v>
      </c>
      <c r="D274">
        <v>269.01</v>
      </c>
      <c r="E274">
        <v>115.29</v>
      </c>
      <c r="F274">
        <v>674.5</v>
      </c>
      <c r="G274">
        <v>1038.4000000000001</v>
      </c>
      <c r="H274">
        <v>0</v>
      </c>
      <c r="I274">
        <v>0</v>
      </c>
      <c r="J274">
        <v>0</v>
      </c>
      <c r="K274">
        <v>0</v>
      </c>
      <c r="L274">
        <v>176.3</v>
      </c>
      <c r="M274">
        <v>14</v>
      </c>
      <c r="N274" s="10">
        <v>23.8</v>
      </c>
      <c r="O274" s="2">
        <f t="shared" si="8"/>
        <v>292.214338</v>
      </c>
      <c r="P274" s="2">
        <f t="shared" si="9"/>
        <v>129.10162499999998</v>
      </c>
      <c r="Q274">
        <v>0</v>
      </c>
    </row>
    <row r="275" spans="1:17" x14ac:dyDescent="0.25">
      <c r="A275" s="15"/>
      <c r="B275" s="15"/>
      <c r="C275">
        <v>30</v>
      </c>
      <c r="D275">
        <v>269.01</v>
      </c>
      <c r="E275">
        <v>115.29</v>
      </c>
      <c r="F275">
        <v>674.5</v>
      </c>
      <c r="G275">
        <v>1038.4000000000001</v>
      </c>
      <c r="H275">
        <v>0</v>
      </c>
      <c r="I275">
        <v>0</v>
      </c>
      <c r="J275">
        <v>0</v>
      </c>
      <c r="K275">
        <v>0</v>
      </c>
      <c r="L275">
        <v>176.3</v>
      </c>
      <c r="M275">
        <v>28</v>
      </c>
      <c r="N275" s="10">
        <v>24.48</v>
      </c>
      <c r="O275" s="2">
        <f t="shared" si="8"/>
        <v>292.214338</v>
      </c>
      <c r="P275" s="2">
        <f t="shared" si="9"/>
        <v>129.10162499999998</v>
      </c>
      <c r="Q275">
        <v>0</v>
      </c>
    </row>
    <row r="276" spans="1:17" x14ac:dyDescent="0.25">
      <c r="A276" s="15"/>
      <c r="B276" s="15"/>
      <c r="C276">
        <v>30</v>
      </c>
      <c r="D276">
        <v>269.01</v>
      </c>
      <c r="E276">
        <v>115.29</v>
      </c>
      <c r="F276">
        <v>674.5</v>
      </c>
      <c r="G276">
        <v>1038.4000000000001</v>
      </c>
      <c r="H276">
        <v>0</v>
      </c>
      <c r="I276">
        <v>0</v>
      </c>
      <c r="J276">
        <v>0</v>
      </c>
      <c r="K276">
        <v>0</v>
      </c>
      <c r="L276">
        <v>176.3</v>
      </c>
      <c r="M276">
        <v>56</v>
      </c>
      <c r="N276" s="10">
        <v>33.4</v>
      </c>
      <c r="O276" s="2">
        <f t="shared" si="8"/>
        <v>292.214338</v>
      </c>
      <c r="P276" s="2">
        <f t="shared" si="9"/>
        <v>129.10162499999998</v>
      </c>
      <c r="Q276">
        <v>0</v>
      </c>
    </row>
    <row r="277" spans="1:17" x14ac:dyDescent="0.25">
      <c r="A277" s="15"/>
      <c r="B277" s="15"/>
      <c r="C277">
        <v>30</v>
      </c>
      <c r="D277">
        <v>269.01</v>
      </c>
      <c r="E277">
        <v>115.29</v>
      </c>
      <c r="F277">
        <v>674.5</v>
      </c>
      <c r="G277">
        <v>1038.4000000000001</v>
      </c>
      <c r="H277">
        <v>0</v>
      </c>
      <c r="I277">
        <v>0</v>
      </c>
      <c r="J277">
        <v>0</v>
      </c>
      <c r="K277">
        <v>0</v>
      </c>
      <c r="L277">
        <v>176.3</v>
      </c>
      <c r="M277">
        <v>90</v>
      </c>
      <c r="N277" s="10">
        <v>32.119999999999997</v>
      </c>
      <c r="O277" s="2">
        <f t="shared" si="8"/>
        <v>292.214338</v>
      </c>
      <c r="P277" s="2">
        <f t="shared" si="9"/>
        <v>129.10162499999998</v>
      </c>
      <c r="Q277">
        <v>0</v>
      </c>
    </row>
    <row r="278" spans="1:17" x14ac:dyDescent="0.25">
      <c r="A278" s="15"/>
      <c r="B278" s="15"/>
      <c r="C278">
        <v>35</v>
      </c>
      <c r="D278">
        <v>249.79499999999999</v>
      </c>
      <c r="E278">
        <v>134.505</v>
      </c>
      <c r="F278">
        <v>674.5</v>
      </c>
      <c r="G278">
        <v>1038.4000000000001</v>
      </c>
      <c r="H278">
        <v>0</v>
      </c>
      <c r="I278">
        <v>0</v>
      </c>
      <c r="J278">
        <v>0</v>
      </c>
      <c r="K278">
        <v>0</v>
      </c>
      <c r="L278">
        <v>176.3</v>
      </c>
      <c r="M278">
        <v>14</v>
      </c>
      <c r="N278" s="10">
        <v>23.29</v>
      </c>
      <c r="O278" s="2">
        <f t="shared" si="8"/>
        <v>278.248876</v>
      </c>
      <c r="P278" s="2">
        <f t="shared" si="9"/>
        <v>121.89599999999999</v>
      </c>
      <c r="Q278">
        <v>0</v>
      </c>
    </row>
    <row r="279" spans="1:17" x14ac:dyDescent="0.25">
      <c r="A279" s="15"/>
      <c r="B279" s="15"/>
      <c r="C279">
        <v>35</v>
      </c>
      <c r="D279">
        <v>249.79499999999999</v>
      </c>
      <c r="E279">
        <v>134.505</v>
      </c>
      <c r="F279">
        <v>674.5</v>
      </c>
      <c r="G279">
        <v>1038.4000000000001</v>
      </c>
      <c r="H279">
        <v>0</v>
      </c>
      <c r="I279">
        <v>0</v>
      </c>
      <c r="J279">
        <v>0</v>
      </c>
      <c r="K279">
        <v>0</v>
      </c>
      <c r="L279">
        <v>176.3</v>
      </c>
      <c r="M279">
        <v>28</v>
      </c>
      <c r="N279" s="10">
        <v>26.11</v>
      </c>
      <c r="O279" s="2">
        <f t="shared" si="8"/>
        <v>278.248876</v>
      </c>
      <c r="P279" s="2">
        <f t="shared" si="9"/>
        <v>121.89599999999999</v>
      </c>
      <c r="Q279">
        <v>0</v>
      </c>
    </row>
    <row r="280" spans="1:17" x14ac:dyDescent="0.25">
      <c r="A280" s="15"/>
      <c r="B280" s="15"/>
      <c r="C280">
        <v>35</v>
      </c>
      <c r="D280">
        <v>249.79499999999999</v>
      </c>
      <c r="E280">
        <v>134.505</v>
      </c>
      <c r="F280">
        <v>674.5</v>
      </c>
      <c r="G280">
        <v>1038.4000000000001</v>
      </c>
      <c r="H280">
        <v>0</v>
      </c>
      <c r="I280">
        <v>0</v>
      </c>
      <c r="J280">
        <v>0</v>
      </c>
      <c r="K280">
        <v>0</v>
      </c>
      <c r="L280">
        <v>176.3</v>
      </c>
      <c r="M280">
        <v>56</v>
      </c>
      <c r="N280" s="10">
        <v>30.09</v>
      </c>
      <c r="O280" s="2">
        <f t="shared" si="8"/>
        <v>278.248876</v>
      </c>
      <c r="P280" s="2">
        <f t="shared" si="9"/>
        <v>121.89599999999999</v>
      </c>
      <c r="Q280">
        <v>0</v>
      </c>
    </row>
    <row r="281" spans="1:17" x14ac:dyDescent="0.25">
      <c r="A281" s="15"/>
      <c r="B281" s="15"/>
      <c r="C281">
        <v>35</v>
      </c>
      <c r="D281">
        <v>249.79499999999999</v>
      </c>
      <c r="E281">
        <v>134.505</v>
      </c>
      <c r="F281">
        <v>674.5</v>
      </c>
      <c r="G281">
        <v>1038.4000000000001</v>
      </c>
      <c r="H281">
        <v>0</v>
      </c>
      <c r="I281">
        <v>0</v>
      </c>
      <c r="J281">
        <v>0</v>
      </c>
      <c r="K281">
        <v>0</v>
      </c>
      <c r="L281">
        <v>176.3</v>
      </c>
      <c r="M281">
        <v>90</v>
      </c>
      <c r="N281" s="10">
        <v>30.99</v>
      </c>
      <c r="O281" s="2">
        <f t="shared" si="8"/>
        <v>278.248876</v>
      </c>
      <c r="P281" s="2">
        <f t="shared" si="9"/>
        <v>121.89599999999999</v>
      </c>
      <c r="Q281">
        <v>0</v>
      </c>
    </row>
    <row r="282" spans="1:17" x14ac:dyDescent="0.25">
      <c r="A282" s="15"/>
      <c r="B282" s="15"/>
      <c r="C282">
        <v>40</v>
      </c>
      <c r="D282">
        <v>230.58</v>
      </c>
      <c r="E282">
        <v>153.72</v>
      </c>
      <c r="F282">
        <v>674.5</v>
      </c>
      <c r="G282">
        <v>1038.4000000000001</v>
      </c>
      <c r="H282">
        <v>0</v>
      </c>
      <c r="I282">
        <v>0</v>
      </c>
      <c r="J282">
        <v>0</v>
      </c>
      <c r="K282">
        <v>0</v>
      </c>
      <c r="L282">
        <v>176.3</v>
      </c>
      <c r="M282">
        <v>14</v>
      </c>
      <c r="N282" s="10">
        <v>25.87</v>
      </c>
      <c r="O282" s="2">
        <f t="shared" si="8"/>
        <v>264.28341399999999</v>
      </c>
      <c r="P282" s="2">
        <f t="shared" si="9"/>
        <v>114.690375</v>
      </c>
      <c r="Q282">
        <v>0</v>
      </c>
    </row>
    <row r="283" spans="1:17" x14ac:dyDescent="0.25">
      <c r="A283" s="15"/>
      <c r="B283" s="15"/>
      <c r="C283">
        <v>40</v>
      </c>
      <c r="D283">
        <v>230.58</v>
      </c>
      <c r="E283">
        <v>153.72</v>
      </c>
      <c r="F283">
        <v>674.5</v>
      </c>
      <c r="G283">
        <v>1038.4000000000001</v>
      </c>
      <c r="H283">
        <v>0</v>
      </c>
      <c r="I283">
        <v>0</v>
      </c>
      <c r="J283">
        <v>0</v>
      </c>
      <c r="K283">
        <v>0</v>
      </c>
      <c r="L283">
        <v>176.3</v>
      </c>
      <c r="M283">
        <v>28</v>
      </c>
      <c r="N283" s="10">
        <v>23.7</v>
      </c>
      <c r="O283" s="2">
        <f t="shared" si="8"/>
        <v>264.28341399999999</v>
      </c>
      <c r="P283" s="2">
        <f t="shared" si="9"/>
        <v>114.690375</v>
      </c>
      <c r="Q283">
        <v>0</v>
      </c>
    </row>
    <row r="284" spans="1:17" x14ac:dyDescent="0.25">
      <c r="A284" s="15"/>
      <c r="B284" s="15"/>
      <c r="C284">
        <v>40</v>
      </c>
      <c r="D284">
        <v>230.58</v>
      </c>
      <c r="E284">
        <v>153.72</v>
      </c>
      <c r="F284">
        <v>674.5</v>
      </c>
      <c r="G284">
        <v>1038.4000000000001</v>
      </c>
      <c r="H284">
        <v>0</v>
      </c>
      <c r="I284">
        <v>0</v>
      </c>
      <c r="J284">
        <v>0</v>
      </c>
      <c r="K284">
        <v>0</v>
      </c>
      <c r="L284">
        <v>176.3</v>
      </c>
      <c r="M284">
        <v>56</v>
      </c>
      <c r="N284" s="10">
        <v>25.36</v>
      </c>
      <c r="O284" s="2">
        <f t="shared" si="8"/>
        <v>264.28341399999999</v>
      </c>
      <c r="P284" s="2">
        <f t="shared" si="9"/>
        <v>114.690375</v>
      </c>
      <c r="Q284">
        <v>0</v>
      </c>
    </row>
    <row r="285" spans="1:17" x14ac:dyDescent="0.25">
      <c r="A285" s="15"/>
      <c r="B285" s="15"/>
      <c r="C285">
        <v>40</v>
      </c>
      <c r="D285">
        <v>230.58</v>
      </c>
      <c r="E285">
        <v>153.72</v>
      </c>
      <c r="F285">
        <v>674.5</v>
      </c>
      <c r="G285">
        <v>1038.4000000000001</v>
      </c>
      <c r="H285">
        <v>0</v>
      </c>
      <c r="I285">
        <v>0</v>
      </c>
      <c r="J285">
        <v>0</v>
      </c>
      <c r="K285">
        <v>0</v>
      </c>
      <c r="L285">
        <v>176.3</v>
      </c>
      <c r="M285">
        <v>90</v>
      </c>
      <c r="N285" s="10">
        <v>30.27</v>
      </c>
      <c r="O285" s="2">
        <f t="shared" si="8"/>
        <v>264.28341399999999</v>
      </c>
      <c r="P285" s="2">
        <f t="shared" si="9"/>
        <v>114.690375</v>
      </c>
      <c r="Q285">
        <v>0</v>
      </c>
    </row>
    <row r="286" spans="1:17" x14ac:dyDescent="0.25">
      <c r="A286" s="15"/>
      <c r="B286" s="15"/>
      <c r="C286">
        <v>45</v>
      </c>
      <c r="D286">
        <v>211.36500000000001</v>
      </c>
      <c r="E286">
        <v>172.935</v>
      </c>
      <c r="F286">
        <v>674.5</v>
      </c>
      <c r="G286">
        <v>1038.4000000000001</v>
      </c>
      <c r="H286">
        <v>0</v>
      </c>
      <c r="I286">
        <v>0</v>
      </c>
      <c r="J286">
        <v>0</v>
      </c>
      <c r="K286">
        <v>0</v>
      </c>
      <c r="L286">
        <v>176.3</v>
      </c>
      <c r="M286">
        <v>14</v>
      </c>
      <c r="N286" s="10">
        <v>22.51</v>
      </c>
      <c r="O286" s="2">
        <f t="shared" si="8"/>
        <v>250.31795200000002</v>
      </c>
      <c r="P286" s="2">
        <f t="shared" si="9"/>
        <v>107.48475000000001</v>
      </c>
      <c r="Q286">
        <v>0</v>
      </c>
    </row>
    <row r="287" spans="1:17" x14ac:dyDescent="0.25">
      <c r="A287" s="15"/>
      <c r="B287" s="15"/>
      <c r="C287">
        <v>45</v>
      </c>
      <c r="D287">
        <v>211.36500000000001</v>
      </c>
      <c r="E287">
        <v>172.935</v>
      </c>
      <c r="F287">
        <v>674.5</v>
      </c>
      <c r="G287">
        <v>1038.4000000000001</v>
      </c>
      <c r="H287">
        <v>0</v>
      </c>
      <c r="I287">
        <v>0</v>
      </c>
      <c r="J287">
        <v>0</v>
      </c>
      <c r="K287">
        <v>0</v>
      </c>
      <c r="L287">
        <v>176.3</v>
      </c>
      <c r="M287">
        <v>28</v>
      </c>
      <c r="N287" s="10">
        <v>25.02</v>
      </c>
      <c r="O287" s="2">
        <f t="shared" si="8"/>
        <v>250.31795200000002</v>
      </c>
      <c r="P287" s="2">
        <f t="shared" si="9"/>
        <v>107.48475000000001</v>
      </c>
      <c r="Q287">
        <v>0</v>
      </c>
    </row>
    <row r="288" spans="1:17" x14ac:dyDescent="0.25">
      <c r="A288" s="15"/>
      <c r="B288" s="15"/>
      <c r="C288">
        <v>45</v>
      </c>
      <c r="D288">
        <v>211.36500000000001</v>
      </c>
      <c r="E288">
        <v>172.935</v>
      </c>
      <c r="F288">
        <v>674.5</v>
      </c>
      <c r="G288">
        <v>1038.4000000000001</v>
      </c>
      <c r="H288">
        <v>0</v>
      </c>
      <c r="I288">
        <v>0</v>
      </c>
      <c r="J288">
        <v>0</v>
      </c>
      <c r="K288">
        <v>0</v>
      </c>
      <c r="L288">
        <v>176.3</v>
      </c>
      <c r="M288">
        <v>56</v>
      </c>
      <c r="N288" s="10">
        <v>30.95</v>
      </c>
      <c r="O288" s="2">
        <f t="shared" si="8"/>
        <v>250.31795200000002</v>
      </c>
      <c r="P288" s="2">
        <f t="shared" si="9"/>
        <v>107.48475000000001</v>
      </c>
      <c r="Q288">
        <v>0</v>
      </c>
    </row>
    <row r="289" spans="1:17" x14ac:dyDescent="0.25">
      <c r="A289" s="15"/>
      <c r="B289" s="15"/>
      <c r="C289">
        <v>45</v>
      </c>
      <c r="D289">
        <v>211.36500000000001</v>
      </c>
      <c r="E289">
        <v>172.935</v>
      </c>
      <c r="F289">
        <v>674.5</v>
      </c>
      <c r="G289">
        <v>1038.4000000000001</v>
      </c>
      <c r="H289">
        <v>0</v>
      </c>
      <c r="I289">
        <v>0</v>
      </c>
      <c r="J289">
        <v>0</v>
      </c>
      <c r="K289">
        <v>0</v>
      </c>
      <c r="L289">
        <v>176.3</v>
      </c>
      <c r="M289">
        <v>90</v>
      </c>
      <c r="N289" s="10">
        <v>28.55</v>
      </c>
      <c r="O289" s="2">
        <f t="shared" si="8"/>
        <v>250.31795200000002</v>
      </c>
      <c r="P289" s="2">
        <f t="shared" si="9"/>
        <v>107.48475000000001</v>
      </c>
      <c r="Q289">
        <v>0</v>
      </c>
    </row>
    <row r="290" spans="1:17" x14ac:dyDescent="0.25">
      <c r="A290" s="15"/>
      <c r="B290" s="15"/>
      <c r="C290">
        <v>50</v>
      </c>
      <c r="D290">
        <v>192.15</v>
      </c>
      <c r="E290">
        <v>192.15</v>
      </c>
      <c r="F290">
        <v>674.5</v>
      </c>
      <c r="G290">
        <v>1038.4000000000001</v>
      </c>
      <c r="H290">
        <v>0</v>
      </c>
      <c r="I290">
        <v>0</v>
      </c>
      <c r="J290">
        <v>0</v>
      </c>
      <c r="K290">
        <v>0</v>
      </c>
      <c r="L290">
        <v>176.3</v>
      </c>
      <c r="M290">
        <v>14</v>
      </c>
      <c r="N290" s="10">
        <v>21.74</v>
      </c>
      <c r="O290" s="2">
        <f t="shared" si="8"/>
        <v>236.35249000000002</v>
      </c>
      <c r="P290" s="2">
        <f t="shared" si="9"/>
        <v>100.27912500000001</v>
      </c>
      <c r="Q290">
        <v>0</v>
      </c>
    </row>
    <row r="291" spans="1:17" x14ac:dyDescent="0.25">
      <c r="A291" s="15"/>
      <c r="B291" s="15"/>
      <c r="C291">
        <v>50</v>
      </c>
      <c r="D291">
        <v>192.15</v>
      </c>
      <c r="E291">
        <v>192.15</v>
      </c>
      <c r="F291">
        <v>674.5</v>
      </c>
      <c r="G291">
        <v>1038.4000000000001</v>
      </c>
      <c r="H291">
        <v>0</v>
      </c>
      <c r="I291">
        <v>0</v>
      </c>
      <c r="J291">
        <v>0</v>
      </c>
      <c r="K291">
        <v>0</v>
      </c>
      <c r="L291">
        <v>176.3</v>
      </c>
      <c r="M291">
        <v>28</v>
      </c>
      <c r="N291" s="10">
        <v>22.99</v>
      </c>
      <c r="O291" s="2">
        <f t="shared" si="8"/>
        <v>236.35249000000002</v>
      </c>
      <c r="P291" s="2">
        <f t="shared" si="9"/>
        <v>100.27912500000001</v>
      </c>
      <c r="Q291">
        <v>0</v>
      </c>
    </row>
    <row r="292" spans="1:17" x14ac:dyDescent="0.25">
      <c r="A292" s="15"/>
      <c r="B292" s="15"/>
      <c r="C292">
        <v>50</v>
      </c>
      <c r="D292">
        <v>192.15</v>
      </c>
      <c r="E292">
        <v>192.15</v>
      </c>
      <c r="F292">
        <v>674.5</v>
      </c>
      <c r="G292">
        <v>1038.4000000000001</v>
      </c>
      <c r="H292">
        <v>0</v>
      </c>
      <c r="I292">
        <v>0</v>
      </c>
      <c r="J292">
        <v>0</v>
      </c>
      <c r="K292">
        <v>0</v>
      </c>
      <c r="L292">
        <v>176.3</v>
      </c>
      <c r="M292">
        <v>56</v>
      </c>
      <c r="N292" s="10">
        <v>28.42</v>
      </c>
      <c r="O292" s="2">
        <f t="shared" si="8"/>
        <v>236.35249000000002</v>
      </c>
      <c r="P292" s="2">
        <f t="shared" si="9"/>
        <v>100.27912500000001</v>
      </c>
      <c r="Q292">
        <v>0</v>
      </c>
    </row>
    <row r="293" spans="1:17" x14ac:dyDescent="0.25">
      <c r="A293" s="15"/>
      <c r="B293" s="15"/>
      <c r="C293">
        <v>50</v>
      </c>
      <c r="D293">
        <v>192.15</v>
      </c>
      <c r="E293">
        <v>192.15</v>
      </c>
      <c r="F293">
        <v>674.5</v>
      </c>
      <c r="G293">
        <v>1038.4000000000001</v>
      </c>
      <c r="H293">
        <v>0</v>
      </c>
      <c r="I293">
        <v>0</v>
      </c>
      <c r="J293">
        <v>0</v>
      </c>
      <c r="K293">
        <v>0</v>
      </c>
      <c r="L293">
        <v>176.3</v>
      </c>
      <c r="M293">
        <v>90</v>
      </c>
      <c r="N293" s="10">
        <v>30.09</v>
      </c>
      <c r="O293" s="2">
        <f t="shared" si="8"/>
        <v>236.35249000000002</v>
      </c>
      <c r="P293" s="2">
        <f t="shared" si="9"/>
        <v>100.27912500000001</v>
      </c>
      <c r="Q293">
        <v>0</v>
      </c>
    </row>
    <row r="294" spans="1:17" x14ac:dyDescent="0.25">
      <c r="A294" s="15" t="s">
        <v>46</v>
      </c>
      <c r="B294" s="15" t="s">
        <v>47</v>
      </c>
      <c r="C294">
        <v>0</v>
      </c>
      <c r="D294">
        <v>413.2</v>
      </c>
      <c r="E294">
        <v>0</v>
      </c>
      <c r="F294">
        <v>477</v>
      </c>
      <c r="G294">
        <v>1113</v>
      </c>
      <c r="H294">
        <v>0</v>
      </c>
      <c r="I294">
        <v>0</v>
      </c>
      <c r="J294">
        <v>0</v>
      </c>
      <c r="K294">
        <v>3</v>
      </c>
      <c r="L294">
        <v>169</v>
      </c>
      <c r="M294">
        <v>7</v>
      </c>
      <c r="N294" s="10">
        <v>37.81</v>
      </c>
      <c r="O294" s="2">
        <f t="shared" si="8"/>
        <v>406.67299999999994</v>
      </c>
      <c r="P294" s="2">
        <f t="shared" si="9"/>
        <v>185.08874999999998</v>
      </c>
      <c r="Q294">
        <v>0</v>
      </c>
    </row>
    <row r="295" spans="1:17" x14ac:dyDescent="0.25">
      <c r="A295" s="15"/>
      <c r="B295" s="15"/>
      <c r="C295">
        <v>0</v>
      </c>
      <c r="D295">
        <v>413.2</v>
      </c>
      <c r="E295">
        <v>0</v>
      </c>
      <c r="F295">
        <v>477</v>
      </c>
      <c r="G295">
        <v>1113</v>
      </c>
      <c r="H295">
        <v>0</v>
      </c>
      <c r="I295">
        <v>0</v>
      </c>
      <c r="J295">
        <v>0</v>
      </c>
      <c r="K295">
        <v>3</v>
      </c>
      <c r="L295">
        <v>169</v>
      </c>
      <c r="M295">
        <v>14</v>
      </c>
      <c r="N295" s="10">
        <v>43.35</v>
      </c>
      <c r="O295" s="2">
        <f t="shared" si="8"/>
        <v>406.67299999999994</v>
      </c>
      <c r="P295" s="2">
        <f t="shared" si="9"/>
        <v>185.08874999999998</v>
      </c>
      <c r="Q295">
        <v>0</v>
      </c>
    </row>
    <row r="296" spans="1:17" x14ac:dyDescent="0.25">
      <c r="A296" s="15"/>
      <c r="B296" s="15"/>
      <c r="C296">
        <v>0</v>
      </c>
      <c r="D296">
        <v>413.2</v>
      </c>
      <c r="E296">
        <v>0</v>
      </c>
      <c r="F296">
        <v>477</v>
      </c>
      <c r="G296">
        <v>1113</v>
      </c>
      <c r="H296">
        <v>0</v>
      </c>
      <c r="I296">
        <v>0</v>
      </c>
      <c r="J296">
        <v>0</v>
      </c>
      <c r="K296">
        <v>3</v>
      </c>
      <c r="L296">
        <v>169</v>
      </c>
      <c r="M296">
        <v>56</v>
      </c>
      <c r="N296" s="10">
        <v>50.75</v>
      </c>
      <c r="O296" s="2">
        <f t="shared" si="8"/>
        <v>406.67299999999994</v>
      </c>
      <c r="P296" s="2">
        <f t="shared" si="9"/>
        <v>185.08874999999998</v>
      </c>
      <c r="Q296">
        <v>0</v>
      </c>
    </row>
    <row r="297" spans="1:17" x14ac:dyDescent="0.25">
      <c r="A297" s="15"/>
      <c r="B297" s="15"/>
      <c r="C297">
        <v>0</v>
      </c>
      <c r="D297">
        <v>413.2</v>
      </c>
      <c r="E297">
        <v>0</v>
      </c>
      <c r="F297">
        <v>477</v>
      </c>
      <c r="G297">
        <v>1113</v>
      </c>
      <c r="H297">
        <v>0</v>
      </c>
      <c r="I297">
        <v>0</v>
      </c>
      <c r="J297">
        <v>0</v>
      </c>
      <c r="K297">
        <v>3</v>
      </c>
      <c r="L297">
        <v>169</v>
      </c>
      <c r="M297">
        <v>90</v>
      </c>
      <c r="N297" s="10">
        <v>49.72</v>
      </c>
      <c r="O297" s="2">
        <f t="shared" si="8"/>
        <v>406.67299999999994</v>
      </c>
      <c r="P297" s="2">
        <f t="shared" si="9"/>
        <v>185.08874999999998</v>
      </c>
      <c r="Q297">
        <v>0</v>
      </c>
    </row>
    <row r="298" spans="1:17" x14ac:dyDescent="0.25">
      <c r="A298" s="15"/>
      <c r="B298" s="15"/>
      <c r="C298">
        <v>5</v>
      </c>
      <c r="D298">
        <v>392.54</v>
      </c>
      <c r="E298">
        <v>20.66</v>
      </c>
      <c r="F298">
        <v>477</v>
      </c>
      <c r="G298">
        <v>1113</v>
      </c>
      <c r="H298">
        <v>0</v>
      </c>
      <c r="I298">
        <v>0</v>
      </c>
      <c r="J298">
        <v>0</v>
      </c>
      <c r="K298">
        <v>3</v>
      </c>
      <c r="L298">
        <v>169</v>
      </c>
      <c r="M298">
        <v>7</v>
      </c>
      <c r="N298" s="10">
        <v>35.869999999999997</v>
      </c>
      <c r="O298" s="2">
        <f t="shared" si="8"/>
        <v>391.65731199999999</v>
      </c>
      <c r="P298" s="2">
        <f t="shared" si="9"/>
        <v>177.34125</v>
      </c>
      <c r="Q298">
        <v>0</v>
      </c>
    </row>
    <row r="299" spans="1:17" x14ac:dyDescent="0.25">
      <c r="A299" s="15"/>
      <c r="B299" s="15"/>
      <c r="C299">
        <v>5</v>
      </c>
      <c r="D299">
        <v>392.54</v>
      </c>
      <c r="E299">
        <v>20.66</v>
      </c>
      <c r="F299">
        <v>477</v>
      </c>
      <c r="G299">
        <v>1113</v>
      </c>
      <c r="H299">
        <v>0</v>
      </c>
      <c r="I299">
        <v>0</v>
      </c>
      <c r="J299">
        <v>0</v>
      </c>
      <c r="K299">
        <v>3</v>
      </c>
      <c r="L299">
        <v>169</v>
      </c>
      <c r="M299">
        <v>14</v>
      </c>
      <c r="N299" s="10">
        <v>40.950000000000003</v>
      </c>
      <c r="O299" s="2">
        <f t="shared" si="8"/>
        <v>391.65731199999999</v>
      </c>
      <c r="P299" s="2">
        <f t="shared" si="9"/>
        <v>177.34125</v>
      </c>
      <c r="Q299">
        <v>0</v>
      </c>
    </row>
    <row r="300" spans="1:17" x14ac:dyDescent="0.25">
      <c r="A300" s="15"/>
      <c r="B300" s="15"/>
      <c r="C300">
        <v>5</v>
      </c>
      <c r="D300">
        <v>392.54</v>
      </c>
      <c r="E300">
        <v>20.66</v>
      </c>
      <c r="F300">
        <v>477</v>
      </c>
      <c r="G300">
        <v>1113</v>
      </c>
      <c r="H300">
        <v>0</v>
      </c>
      <c r="I300">
        <v>0</v>
      </c>
      <c r="J300">
        <v>0</v>
      </c>
      <c r="K300">
        <v>3</v>
      </c>
      <c r="L300">
        <v>169</v>
      </c>
      <c r="M300">
        <v>56</v>
      </c>
      <c r="N300" s="10">
        <v>49.31</v>
      </c>
      <c r="O300" s="2">
        <f t="shared" si="8"/>
        <v>391.65731199999999</v>
      </c>
      <c r="P300" s="2">
        <f t="shared" si="9"/>
        <v>177.34125</v>
      </c>
      <c r="Q300">
        <v>0</v>
      </c>
    </row>
    <row r="301" spans="1:17" x14ac:dyDescent="0.25">
      <c r="A301" s="15"/>
      <c r="B301" s="15"/>
      <c r="C301">
        <v>5</v>
      </c>
      <c r="D301">
        <v>392.54</v>
      </c>
      <c r="E301">
        <v>20.66</v>
      </c>
      <c r="F301">
        <v>477</v>
      </c>
      <c r="G301">
        <v>1113</v>
      </c>
      <c r="H301">
        <v>0</v>
      </c>
      <c r="I301">
        <v>0</v>
      </c>
      <c r="J301">
        <v>0</v>
      </c>
      <c r="K301">
        <v>3</v>
      </c>
      <c r="L301">
        <v>169</v>
      </c>
      <c r="M301">
        <v>90</v>
      </c>
      <c r="N301" s="10">
        <v>50.49</v>
      </c>
      <c r="O301" s="2">
        <f t="shared" si="8"/>
        <v>391.65731199999999</v>
      </c>
      <c r="P301" s="2">
        <f t="shared" si="9"/>
        <v>177.34125</v>
      </c>
      <c r="Q301">
        <v>0</v>
      </c>
    </row>
    <row r="302" spans="1:17" x14ac:dyDescent="0.25">
      <c r="A302" s="15"/>
      <c r="B302" s="15"/>
      <c r="C302">
        <v>10</v>
      </c>
      <c r="D302">
        <v>371.88</v>
      </c>
      <c r="E302">
        <v>41.32</v>
      </c>
      <c r="F302">
        <v>477</v>
      </c>
      <c r="G302">
        <v>1113</v>
      </c>
      <c r="H302">
        <v>0</v>
      </c>
      <c r="I302">
        <v>0</v>
      </c>
      <c r="J302">
        <v>0</v>
      </c>
      <c r="K302">
        <v>3</v>
      </c>
      <c r="L302">
        <v>169</v>
      </c>
      <c r="M302">
        <v>7</v>
      </c>
      <c r="N302" s="10">
        <v>33.46</v>
      </c>
      <c r="O302" s="2">
        <f t="shared" si="8"/>
        <v>376.64162399999998</v>
      </c>
      <c r="P302" s="2">
        <f t="shared" si="9"/>
        <v>169.59375</v>
      </c>
      <c r="Q302">
        <v>0</v>
      </c>
    </row>
    <row r="303" spans="1:17" x14ac:dyDescent="0.25">
      <c r="A303" s="15"/>
      <c r="B303" s="15"/>
      <c r="C303">
        <v>10</v>
      </c>
      <c r="D303">
        <v>371.88</v>
      </c>
      <c r="E303">
        <v>41.32</v>
      </c>
      <c r="F303">
        <v>477</v>
      </c>
      <c r="G303">
        <v>1113</v>
      </c>
      <c r="H303">
        <v>0</v>
      </c>
      <c r="I303">
        <v>0</v>
      </c>
      <c r="J303">
        <v>0</v>
      </c>
      <c r="K303">
        <v>3</v>
      </c>
      <c r="L303">
        <v>169</v>
      </c>
      <c r="M303">
        <v>14</v>
      </c>
      <c r="N303" s="10">
        <v>40.590000000000003</v>
      </c>
      <c r="O303" s="2">
        <f t="shared" si="8"/>
        <v>376.64162399999998</v>
      </c>
      <c r="P303" s="2">
        <f t="shared" si="9"/>
        <v>169.59375</v>
      </c>
      <c r="Q303">
        <v>0</v>
      </c>
    </row>
    <row r="304" spans="1:17" x14ac:dyDescent="0.25">
      <c r="A304" s="15"/>
      <c r="B304" s="15"/>
      <c r="C304">
        <v>10</v>
      </c>
      <c r="D304">
        <v>371.88</v>
      </c>
      <c r="E304">
        <v>41.32</v>
      </c>
      <c r="F304">
        <v>477</v>
      </c>
      <c r="G304">
        <v>1113</v>
      </c>
      <c r="H304">
        <v>0</v>
      </c>
      <c r="I304">
        <v>0</v>
      </c>
      <c r="J304">
        <v>0</v>
      </c>
      <c r="K304">
        <v>3</v>
      </c>
      <c r="L304">
        <v>169</v>
      </c>
      <c r="M304">
        <v>56</v>
      </c>
      <c r="N304" s="10">
        <v>47.55</v>
      </c>
      <c r="O304" s="2">
        <f t="shared" si="8"/>
        <v>376.64162399999998</v>
      </c>
      <c r="P304" s="2">
        <f t="shared" si="9"/>
        <v>169.59375</v>
      </c>
      <c r="Q304">
        <v>0</v>
      </c>
    </row>
    <row r="305" spans="1:17" x14ac:dyDescent="0.25">
      <c r="A305" s="15"/>
      <c r="B305" s="15"/>
      <c r="C305">
        <v>10</v>
      </c>
      <c r="D305">
        <v>371.88</v>
      </c>
      <c r="E305">
        <v>41.32</v>
      </c>
      <c r="F305">
        <v>477</v>
      </c>
      <c r="G305">
        <v>1113</v>
      </c>
      <c r="H305">
        <v>0</v>
      </c>
      <c r="I305">
        <v>0</v>
      </c>
      <c r="J305">
        <v>0</v>
      </c>
      <c r="K305">
        <v>3</v>
      </c>
      <c r="L305">
        <v>169</v>
      </c>
      <c r="M305">
        <v>90</v>
      </c>
      <c r="N305" s="10">
        <v>49.3</v>
      </c>
      <c r="O305" s="2">
        <f t="shared" si="8"/>
        <v>376.64162399999998</v>
      </c>
      <c r="P305" s="2">
        <f t="shared" si="9"/>
        <v>169.59375</v>
      </c>
      <c r="Q305">
        <v>0</v>
      </c>
    </row>
    <row r="306" spans="1:17" x14ac:dyDescent="0.25">
      <c r="A306" s="15"/>
      <c r="B306" s="15"/>
      <c r="C306">
        <v>15</v>
      </c>
      <c r="D306">
        <v>351.22</v>
      </c>
      <c r="E306">
        <v>61.98</v>
      </c>
      <c r="F306">
        <v>477</v>
      </c>
      <c r="G306">
        <v>1113</v>
      </c>
      <c r="H306">
        <v>0</v>
      </c>
      <c r="I306">
        <v>0</v>
      </c>
      <c r="J306">
        <v>0</v>
      </c>
      <c r="K306">
        <v>3</v>
      </c>
      <c r="L306">
        <v>169</v>
      </c>
      <c r="M306">
        <v>7</v>
      </c>
      <c r="N306" s="10">
        <v>36.11</v>
      </c>
      <c r="O306" s="2">
        <f t="shared" si="8"/>
        <v>361.62593600000002</v>
      </c>
      <c r="P306" s="2">
        <f t="shared" si="9"/>
        <v>161.84625000000003</v>
      </c>
      <c r="Q306">
        <v>0</v>
      </c>
    </row>
    <row r="307" spans="1:17" x14ac:dyDescent="0.25">
      <c r="A307" s="15"/>
      <c r="B307" s="15"/>
      <c r="C307">
        <v>15</v>
      </c>
      <c r="D307">
        <v>351.22</v>
      </c>
      <c r="E307">
        <v>61.98</v>
      </c>
      <c r="F307">
        <v>477</v>
      </c>
      <c r="G307">
        <v>1113</v>
      </c>
      <c r="H307">
        <v>0</v>
      </c>
      <c r="I307">
        <v>0</v>
      </c>
      <c r="J307">
        <v>0</v>
      </c>
      <c r="K307">
        <v>3</v>
      </c>
      <c r="L307">
        <v>169</v>
      </c>
      <c r="M307">
        <v>14</v>
      </c>
      <c r="N307" s="10">
        <v>37.47</v>
      </c>
      <c r="O307" s="2">
        <f t="shared" si="8"/>
        <v>361.62593600000002</v>
      </c>
      <c r="P307" s="2">
        <f t="shared" si="9"/>
        <v>161.84625000000003</v>
      </c>
      <c r="Q307">
        <v>0</v>
      </c>
    </row>
    <row r="308" spans="1:17" x14ac:dyDescent="0.25">
      <c r="A308" s="15"/>
      <c r="B308" s="15"/>
      <c r="C308">
        <v>15</v>
      </c>
      <c r="D308">
        <v>351.22</v>
      </c>
      <c r="E308">
        <v>61.98</v>
      </c>
      <c r="F308">
        <v>477</v>
      </c>
      <c r="G308">
        <v>1113</v>
      </c>
      <c r="H308">
        <v>0</v>
      </c>
      <c r="I308">
        <v>0</v>
      </c>
      <c r="J308">
        <v>0</v>
      </c>
      <c r="K308">
        <v>3</v>
      </c>
      <c r="L308">
        <v>169</v>
      </c>
      <c r="M308">
        <v>56</v>
      </c>
      <c r="N308" s="10">
        <v>45.87</v>
      </c>
      <c r="O308" s="2">
        <f t="shared" si="8"/>
        <v>361.62593600000002</v>
      </c>
      <c r="P308" s="2">
        <f t="shared" si="9"/>
        <v>161.84625000000003</v>
      </c>
      <c r="Q308">
        <v>0</v>
      </c>
    </row>
    <row r="309" spans="1:17" x14ac:dyDescent="0.25">
      <c r="A309" s="15"/>
      <c r="B309" s="15"/>
      <c r="C309">
        <v>15</v>
      </c>
      <c r="D309">
        <v>351.22</v>
      </c>
      <c r="E309">
        <v>61.98</v>
      </c>
      <c r="F309">
        <v>477</v>
      </c>
      <c r="G309">
        <v>1113</v>
      </c>
      <c r="H309">
        <v>0</v>
      </c>
      <c r="I309">
        <v>0</v>
      </c>
      <c r="J309">
        <v>0</v>
      </c>
      <c r="K309">
        <v>3</v>
      </c>
      <c r="L309">
        <v>169</v>
      </c>
      <c r="M309">
        <v>90</v>
      </c>
      <c r="N309" s="10">
        <v>47.59</v>
      </c>
      <c r="O309" s="2">
        <f t="shared" si="8"/>
        <v>361.62593600000002</v>
      </c>
      <c r="P309" s="2">
        <f t="shared" si="9"/>
        <v>161.84625000000003</v>
      </c>
      <c r="Q309">
        <v>0</v>
      </c>
    </row>
    <row r="310" spans="1:17" x14ac:dyDescent="0.25">
      <c r="A310" s="15"/>
      <c r="B310" s="15"/>
      <c r="C310">
        <v>20</v>
      </c>
      <c r="D310">
        <v>330.56</v>
      </c>
      <c r="E310">
        <v>82.64</v>
      </c>
      <c r="F310">
        <v>477</v>
      </c>
      <c r="G310">
        <v>1113</v>
      </c>
      <c r="H310">
        <v>0</v>
      </c>
      <c r="I310">
        <v>0</v>
      </c>
      <c r="J310">
        <v>0</v>
      </c>
      <c r="K310">
        <v>3</v>
      </c>
      <c r="L310">
        <v>169</v>
      </c>
      <c r="M310">
        <v>7</v>
      </c>
      <c r="N310" s="10">
        <v>33.25</v>
      </c>
      <c r="O310" s="2">
        <f t="shared" si="8"/>
        <v>346.61024800000001</v>
      </c>
      <c r="P310" s="2">
        <f t="shared" si="9"/>
        <v>154.09875</v>
      </c>
      <c r="Q310">
        <v>0</v>
      </c>
    </row>
    <row r="311" spans="1:17" x14ac:dyDescent="0.25">
      <c r="A311" s="15"/>
      <c r="B311" s="15"/>
      <c r="C311">
        <v>20</v>
      </c>
      <c r="D311">
        <v>330.56</v>
      </c>
      <c r="E311">
        <v>82.64</v>
      </c>
      <c r="F311">
        <v>477</v>
      </c>
      <c r="G311">
        <v>1113</v>
      </c>
      <c r="H311">
        <v>0</v>
      </c>
      <c r="I311">
        <v>0</v>
      </c>
      <c r="J311">
        <v>0</v>
      </c>
      <c r="K311">
        <v>3</v>
      </c>
      <c r="L311">
        <v>169</v>
      </c>
      <c r="M311">
        <v>14</v>
      </c>
      <c r="N311" s="10">
        <v>35.82</v>
      </c>
      <c r="O311" s="2">
        <f t="shared" si="8"/>
        <v>346.61024800000001</v>
      </c>
      <c r="P311" s="2">
        <f t="shared" si="9"/>
        <v>154.09875</v>
      </c>
      <c r="Q311">
        <v>0</v>
      </c>
    </row>
    <row r="312" spans="1:17" x14ac:dyDescent="0.25">
      <c r="A312" s="15"/>
      <c r="B312" s="15"/>
      <c r="C312">
        <v>20</v>
      </c>
      <c r="D312">
        <v>330.56</v>
      </c>
      <c r="E312">
        <v>82.64</v>
      </c>
      <c r="F312">
        <v>477</v>
      </c>
      <c r="G312">
        <v>1113</v>
      </c>
      <c r="H312">
        <v>0</v>
      </c>
      <c r="I312">
        <v>0</v>
      </c>
      <c r="J312">
        <v>0</v>
      </c>
      <c r="K312">
        <v>3</v>
      </c>
      <c r="L312">
        <v>169</v>
      </c>
      <c r="M312">
        <v>56</v>
      </c>
      <c r="N312" s="10">
        <v>43.48</v>
      </c>
      <c r="O312" s="2">
        <f t="shared" si="8"/>
        <v>346.61024800000001</v>
      </c>
      <c r="P312" s="2">
        <f t="shared" si="9"/>
        <v>154.09875</v>
      </c>
      <c r="Q312">
        <v>0</v>
      </c>
    </row>
    <row r="313" spans="1:17" x14ac:dyDescent="0.25">
      <c r="A313" s="15"/>
      <c r="B313" s="15"/>
      <c r="C313">
        <v>20</v>
      </c>
      <c r="D313">
        <v>330.56</v>
      </c>
      <c r="E313">
        <v>82.64</v>
      </c>
      <c r="F313">
        <v>477</v>
      </c>
      <c r="G313">
        <v>1113</v>
      </c>
      <c r="H313">
        <v>0</v>
      </c>
      <c r="I313">
        <v>0</v>
      </c>
      <c r="J313">
        <v>0</v>
      </c>
      <c r="K313">
        <v>3</v>
      </c>
      <c r="L313">
        <v>169</v>
      </c>
      <c r="M313">
        <v>90</v>
      </c>
      <c r="N313" s="10">
        <v>48.79</v>
      </c>
      <c r="O313" s="2">
        <f t="shared" si="8"/>
        <v>346.61024800000001</v>
      </c>
      <c r="P313" s="2">
        <f t="shared" si="9"/>
        <v>154.09875</v>
      </c>
      <c r="Q313">
        <v>0</v>
      </c>
    </row>
    <row r="314" spans="1:17" x14ac:dyDescent="0.25">
      <c r="A314" s="15"/>
      <c r="B314" s="15"/>
      <c r="C314">
        <v>25</v>
      </c>
      <c r="D314">
        <v>309.89999999999998</v>
      </c>
      <c r="E314">
        <v>103.3</v>
      </c>
      <c r="F314">
        <v>477</v>
      </c>
      <c r="G314">
        <v>1113</v>
      </c>
      <c r="H314">
        <v>0</v>
      </c>
      <c r="I314">
        <v>0</v>
      </c>
      <c r="J314">
        <v>0</v>
      </c>
      <c r="K314">
        <v>3</v>
      </c>
      <c r="L314">
        <v>169</v>
      </c>
      <c r="M314">
        <v>7</v>
      </c>
      <c r="N314" s="10">
        <v>31.39</v>
      </c>
      <c r="O314" s="2">
        <f t="shared" si="8"/>
        <v>331.59455999999994</v>
      </c>
      <c r="P314" s="2">
        <f t="shared" si="9"/>
        <v>146.35124999999999</v>
      </c>
      <c r="Q314">
        <v>0</v>
      </c>
    </row>
    <row r="315" spans="1:17" x14ac:dyDescent="0.25">
      <c r="A315" s="15"/>
      <c r="B315" s="15"/>
      <c r="C315">
        <v>25</v>
      </c>
      <c r="D315">
        <v>309.89999999999998</v>
      </c>
      <c r="E315">
        <v>103.3</v>
      </c>
      <c r="F315">
        <v>477</v>
      </c>
      <c r="G315">
        <v>1113</v>
      </c>
      <c r="H315">
        <v>0</v>
      </c>
      <c r="I315">
        <v>0</v>
      </c>
      <c r="J315">
        <v>0</v>
      </c>
      <c r="K315">
        <v>3</v>
      </c>
      <c r="L315">
        <v>169</v>
      </c>
      <c r="M315">
        <v>14</v>
      </c>
      <c r="N315" s="10">
        <v>37.86</v>
      </c>
      <c r="O315" s="2">
        <f t="shared" si="8"/>
        <v>331.59455999999994</v>
      </c>
      <c r="P315" s="2">
        <f t="shared" si="9"/>
        <v>146.35124999999999</v>
      </c>
      <c r="Q315">
        <v>0</v>
      </c>
    </row>
    <row r="316" spans="1:17" x14ac:dyDescent="0.25">
      <c r="A316" s="15"/>
      <c r="B316" s="15"/>
      <c r="C316">
        <v>25</v>
      </c>
      <c r="D316">
        <v>309.89999999999998</v>
      </c>
      <c r="E316">
        <v>103.3</v>
      </c>
      <c r="F316">
        <v>477</v>
      </c>
      <c r="G316">
        <v>1113</v>
      </c>
      <c r="H316">
        <v>0</v>
      </c>
      <c r="I316">
        <v>0</v>
      </c>
      <c r="J316">
        <v>0</v>
      </c>
      <c r="K316">
        <v>3</v>
      </c>
      <c r="L316">
        <v>169</v>
      </c>
      <c r="M316">
        <v>56</v>
      </c>
      <c r="N316" s="10">
        <v>43.93</v>
      </c>
      <c r="O316" s="2">
        <f t="shared" si="8"/>
        <v>331.59455999999994</v>
      </c>
      <c r="P316" s="2">
        <f t="shared" si="9"/>
        <v>146.35124999999999</v>
      </c>
      <c r="Q316">
        <v>0</v>
      </c>
    </row>
    <row r="317" spans="1:17" x14ac:dyDescent="0.25">
      <c r="A317" s="15"/>
      <c r="B317" s="15"/>
      <c r="C317">
        <v>25</v>
      </c>
      <c r="D317">
        <v>309.89999999999998</v>
      </c>
      <c r="E317">
        <v>103.3</v>
      </c>
      <c r="F317">
        <v>477</v>
      </c>
      <c r="G317">
        <v>1113</v>
      </c>
      <c r="H317">
        <v>0</v>
      </c>
      <c r="I317">
        <v>0</v>
      </c>
      <c r="J317">
        <v>0</v>
      </c>
      <c r="K317">
        <v>3</v>
      </c>
      <c r="L317">
        <v>169</v>
      </c>
      <c r="M317">
        <v>90</v>
      </c>
      <c r="N317" s="10">
        <v>46.36</v>
      </c>
      <c r="O317" s="2">
        <f t="shared" si="8"/>
        <v>331.59455999999994</v>
      </c>
      <c r="P317" s="2">
        <f t="shared" si="9"/>
        <v>146.35124999999999</v>
      </c>
      <c r="Q317">
        <v>0</v>
      </c>
    </row>
    <row r="318" spans="1:17" x14ac:dyDescent="0.25">
      <c r="A318" s="15"/>
      <c r="B318" s="15"/>
      <c r="C318">
        <v>30</v>
      </c>
      <c r="D318">
        <v>289.24</v>
      </c>
      <c r="E318">
        <v>123.96</v>
      </c>
      <c r="F318">
        <v>477</v>
      </c>
      <c r="G318">
        <v>1113</v>
      </c>
      <c r="H318">
        <v>0</v>
      </c>
      <c r="I318">
        <v>0</v>
      </c>
      <c r="J318">
        <v>0</v>
      </c>
      <c r="K318">
        <v>3</v>
      </c>
      <c r="L318">
        <v>169</v>
      </c>
      <c r="M318">
        <v>7</v>
      </c>
      <c r="N318" s="10">
        <v>32.909999999999997</v>
      </c>
      <c r="O318" s="2">
        <f t="shared" si="8"/>
        <v>316.57887199999999</v>
      </c>
      <c r="P318" s="2">
        <f t="shared" si="9"/>
        <v>138.60375000000002</v>
      </c>
      <c r="Q318">
        <v>0</v>
      </c>
    </row>
    <row r="319" spans="1:17" x14ac:dyDescent="0.25">
      <c r="A319" s="15"/>
      <c r="B319" s="15"/>
      <c r="C319">
        <v>30</v>
      </c>
      <c r="D319">
        <v>289.24</v>
      </c>
      <c r="E319">
        <v>123.96</v>
      </c>
      <c r="F319">
        <v>477</v>
      </c>
      <c r="G319">
        <v>1113</v>
      </c>
      <c r="H319">
        <v>0</v>
      </c>
      <c r="I319">
        <v>0</v>
      </c>
      <c r="J319">
        <v>0</v>
      </c>
      <c r="K319">
        <v>3</v>
      </c>
      <c r="L319">
        <v>169</v>
      </c>
      <c r="M319">
        <v>14</v>
      </c>
      <c r="N319" s="10">
        <v>32.67</v>
      </c>
      <c r="O319" s="2">
        <f t="shared" si="8"/>
        <v>316.57887199999999</v>
      </c>
      <c r="P319" s="2">
        <f t="shared" si="9"/>
        <v>138.60375000000002</v>
      </c>
      <c r="Q319">
        <v>0</v>
      </c>
    </row>
    <row r="320" spans="1:17" x14ac:dyDescent="0.25">
      <c r="A320" s="15"/>
      <c r="B320" s="15"/>
      <c r="C320">
        <v>30</v>
      </c>
      <c r="D320">
        <v>289.24</v>
      </c>
      <c r="E320">
        <v>123.96</v>
      </c>
      <c r="F320">
        <v>477</v>
      </c>
      <c r="G320">
        <v>1113</v>
      </c>
      <c r="H320">
        <v>0</v>
      </c>
      <c r="I320">
        <v>0</v>
      </c>
      <c r="J320">
        <v>0</v>
      </c>
      <c r="K320">
        <v>3</v>
      </c>
      <c r="L320">
        <v>169</v>
      </c>
      <c r="M320">
        <v>56</v>
      </c>
      <c r="N320" s="10">
        <v>42.23</v>
      </c>
      <c r="O320" s="2">
        <f t="shared" si="8"/>
        <v>316.57887199999999</v>
      </c>
      <c r="P320" s="2">
        <f t="shared" si="9"/>
        <v>138.60375000000002</v>
      </c>
      <c r="Q320">
        <v>0</v>
      </c>
    </row>
    <row r="321" spans="1:17" x14ac:dyDescent="0.25">
      <c r="A321" s="15"/>
      <c r="B321" s="15"/>
      <c r="C321">
        <v>30</v>
      </c>
      <c r="D321">
        <v>289.24</v>
      </c>
      <c r="E321">
        <v>123.96</v>
      </c>
      <c r="F321">
        <v>477</v>
      </c>
      <c r="G321">
        <v>1113</v>
      </c>
      <c r="H321">
        <v>0</v>
      </c>
      <c r="I321">
        <v>0</v>
      </c>
      <c r="J321">
        <v>0</v>
      </c>
      <c r="K321">
        <v>3</v>
      </c>
      <c r="L321">
        <v>169</v>
      </c>
      <c r="M321">
        <v>90</v>
      </c>
      <c r="N321" s="10">
        <v>44.17</v>
      </c>
      <c r="O321" s="2">
        <f t="shared" si="8"/>
        <v>316.57887199999999</v>
      </c>
      <c r="P321" s="2">
        <f t="shared" si="9"/>
        <v>138.60375000000002</v>
      </c>
      <c r="Q321">
        <v>0</v>
      </c>
    </row>
    <row r="322" spans="1:17" x14ac:dyDescent="0.25">
      <c r="A322" s="15"/>
      <c r="B322" s="15"/>
      <c r="C322">
        <v>35</v>
      </c>
      <c r="D322">
        <v>268.58</v>
      </c>
      <c r="E322">
        <v>144.62</v>
      </c>
      <c r="F322">
        <v>477</v>
      </c>
      <c r="G322">
        <v>1113</v>
      </c>
      <c r="H322">
        <v>0</v>
      </c>
      <c r="I322">
        <v>0</v>
      </c>
      <c r="J322">
        <v>0</v>
      </c>
      <c r="K322">
        <v>3</v>
      </c>
      <c r="L322">
        <v>169</v>
      </c>
      <c r="M322">
        <v>7</v>
      </c>
      <c r="N322" s="10">
        <v>27.17</v>
      </c>
      <c r="O322" s="2">
        <f t="shared" ref="O322:O385" si="10">SUM((D322*0.83)+(E322*0.1032)+(F322*0.0139)+(G322*0.0459)+(K322*2))</f>
        <v>301.56318399999998</v>
      </c>
      <c r="P322" s="2">
        <f t="shared" si="9"/>
        <v>130.85624999999999</v>
      </c>
      <c r="Q322">
        <v>0</v>
      </c>
    </row>
    <row r="323" spans="1:17" x14ac:dyDescent="0.25">
      <c r="A323" s="15"/>
      <c r="B323" s="15"/>
      <c r="C323">
        <v>35</v>
      </c>
      <c r="D323">
        <v>268.58</v>
      </c>
      <c r="E323">
        <v>144.62</v>
      </c>
      <c r="F323">
        <v>477</v>
      </c>
      <c r="G323">
        <v>1113</v>
      </c>
      <c r="H323">
        <v>0</v>
      </c>
      <c r="I323">
        <v>0</v>
      </c>
      <c r="J323">
        <v>0</v>
      </c>
      <c r="K323">
        <v>3</v>
      </c>
      <c r="L323">
        <v>169</v>
      </c>
      <c r="M323">
        <v>14</v>
      </c>
      <c r="N323" s="10">
        <v>33.53</v>
      </c>
      <c r="O323" s="2">
        <f t="shared" si="10"/>
        <v>301.56318399999998</v>
      </c>
      <c r="P323" s="2">
        <f t="shared" ref="P323:P386" si="11">SUM((D323*5)+((F323*0.25)+(G323*0.2)+(K323*20)))*0.075</f>
        <v>130.85624999999999</v>
      </c>
      <c r="Q323">
        <v>0</v>
      </c>
    </row>
    <row r="324" spans="1:17" x14ac:dyDescent="0.25">
      <c r="A324" s="15"/>
      <c r="B324" s="15"/>
      <c r="C324">
        <v>35</v>
      </c>
      <c r="D324">
        <v>268.58</v>
      </c>
      <c r="E324">
        <v>144.62</v>
      </c>
      <c r="F324">
        <v>477</v>
      </c>
      <c r="G324">
        <v>1113</v>
      </c>
      <c r="H324">
        <v>0</v>
      </c>
      <c r="I324">
        <v>0</v>
      </c>
      <c r="J324">
        <v>0</v>
      </c>
      <c r="K324">
        <v>3</v>
      </c>
      <c r="L324">
        <v>169</v>
      </c>
      <c r="M324">
        <v>56</v>
      </c>
      <c r="N324" s="10">
        <v>36.700000000000003</v>
      </c>
      <c r="O324" s="2">
        <f t="shared" si="10"/>
        <v>301.56318399999998</v>
      </c>
      <c r="P324" s="2">
        <f t="shared" si="11"/>
        <v>130.85624999999999</v>
      </c>
      <c r="Q324">
        <v>0</v>
      </c>
    </row>
    <row r="325" spans="1:17" x14ac:dyDescent="0.25">
      <c r="A325" s="15"/>
      <c r="B325" s="15"/>
      <c r="C325">
        <v>35</v>
      </c>
      <c r="D325">
        <v>268.58</v>
      </c>
      <c r="E325">
        <v>144.62</v>
      </c>
      <c r="F325">
        <v>477</v>
      </c>
      <c r="G325">
        <v>1113</v>
      </c>
      <c r="H325">
        <v>0</v>
      </c>
      <c r="I325">
        <v>0</v>
      </c>
      <c r="J325">
        <v>0</v>
      </c>
      <c r="K325">
        <v>3</v>
      </c>
      <c r="L325">
        <v>169</v>
      </c>
      <c r="M325">
        <v>90</v>
      </c>
      <c r="N325" s="10">
        <v>43.27</v>
      </c>
      <c r="O325" s="2">
        <f t="shared" si="10"/>
        <v>301.56318399999998</v>
      </c>
      <c r="P325" s="2">
        <f t="shared" si="11"/>
        <v>130.85624999999999</v>
      </c>
      <c r="Q325">
        <v>0</v>
      </c>
    </row>
    <row r="326" spans="1:17" x14ac:dyDescent="0.25">
      <c r="A326" s="15"/>
      <c r="B326" s="15"/>
      <c r="C326">
        <v>40</v>
      </c>
      <c r="D326">
        <v>247.92</v>
      </c>
      <c r="E326">
        <v>165.28</v>
      </c>
      <c r="F326">
        <v>477</v>
      </c>
      <c r="G326">
        <v>1113</v>
      </c>
      <c r="H326">
        <v>0</v>
      </c>
      <c r="I326">
        <v>0</v>
      </c>
      <c r="J326">
        <v>0</v>
      </c>
      <c r="K326">
        <v>3</v>
      </c>
      <c r="L326">
        <v>169</v>
      </c>
      <c r="M326">
        <v>7</v>
      </c>
      <c r="N326" s="10">
        <v>32.17</v>
      </c>
      <c r="O326" s="2">
        <f t="shared" si="10"/>
        <v>286.54749599999997</v>
      </c>
      <c r="P326" s="2">
        <f t="shared" si="11"/>
        <v>123.10874999999999</v>
      </c>
      <c r="Q326">
        <v>0</v>
      </c>
    </row>
    <row r="327" spans="1:17" x14ac:dyDescent="0.25">
      <c r="A327" s="15"/>
      <c r="B327" s="15"/>
      <c r="C327">
        <v>40</v>
      </c>
      <c r="D327">
        <v>247.92</v>
      </c>
      <c r="E327">
        <v>165.28</v>
      </c>
      <c r="F327">
        <v>477</v>
      </c>
      <c r="G327">
        <v>1113</v>
      </c>
      <c r="H327">
        <v>0</v>
      </c>
      <c r="I327">
        <v>0</v>
      </c>
      <c r="J327">
        <v>0</v>
      </c>
      <c r="K327">
        <v>3</v>
      </c>
      <c r="L327">
        <v>169</v>
      </c>
      <c r="M327">
        <v>14</v>
      </c>
      <c r="N327" s="10">
        <v>32.03</v>
      </c>
      <c r="O327" s="2">
        <f t="shared" si="10"/>
        <v>286.54749599999997</v>
      </c>
      <c r="P327" s="2">
        <f t="shared" si="11"/>
        <v>123.10874999999999</v>
      </c>
      <c r="Q327">
        <v>0</v>
      </c>
    </row>
    <row r="328" spans="1:17" x14ac:dyDescent="0.25">
      <c r="A328" s="15"/>
      <c r="B328" s="15"/>
      <c r="C328">
        <v>40</v>
      </c>
      <c r="D328">
        <v>247.92</v>
      </c>
      <c r="E328">
        <v>165.28</v>
      </c>
      <c r="F328">
        <v>477</v>
      </c>
      <c r="G328">
        <v>1113</v>
      </c>
      <c r="H328">
        <v>0</v>
      </c>
      <c r="I328">
        <v>0</v>
      </c>
      <c r="J328">
        <v>0</v>
      </c>
      <c r="K328">
        <v>3</v>
      </c>
      <c r="L328">
        <v>169</v>
      </c>
      <c r="M328">
        <v>56</v>
      </c>
      <c r="N328" s="10">
        <v>38.6</v>
      </c>
      <c r="O328" s="2">
        <f t="shared" si="10"/>
        <v>286.54749599999997</v>
      </c>
      <c r="P328" s="2">
        <f t="shared" si="11"/>
        <v>123.10874999999999</v>
      </c>
      <c r="Q328">
        <v>0</v>
      </c>
    </row>
    <row r="329" spans="1:17" x14ac:dyDescent="0.25">
      <c r="A329" s="15"/>
      <c r="B329" s="15"/>
      <c r="C329">
        <v>40</v>
      </c>
      <c r="D329">
        <v>247.92</v>
      </c>
      <c r="E329">
        <v>165.28</v>
      </c>
      <c r="F329">
        <v>477</v>
      </c>
      <c r="G329">
        <v>1113</v>
      </c>
      <c r="H329">
        <v>0</v>
      </c>
      <c r="I329">
        <v>0</v>
      </c>
      <c r="J329">
        <v>0</v>
      </c>
      <c r="K329">
        <v>3</v>
      </c>
      <c r="L329">
        <v>169</v>
      </c>
      <c r="M329">
        <v>90</v>
      </c>
      <c r="N329" s="10">
        <v>39.020000000000003</v>
      </c>
      <c r="O329" s="2">
        <f t="shared" si="10"/>
        <v>286.54749599999997</v>
      </c>
      <c r="P329" s="2">
        <f t="shared" si="11"/>
        <v>123.10874999999999</v>
      </c>
      <c r="Q329">
        <v>0</v>
      </c>
    </row>
    <row r="330" spans="1:17" x14ac:dyDescent="0.25">
      <c r="A330" s="15"/>
      <c r="B330" s="15"/>
      <c r="C330">
        <v>45</v>
      </c>
      <c r="D330">
        <v>227.26</v>
      </c>
      <c r="E330">
        <v>185.94</v>
      </c>
      <c r="F330">
        <v>477</v>
      </c>
      <c r="G330">
        <v>1113</v>
      </c>
      <c r="H330">
        <v>0</v>
      </c>
      <c r="I330">
        <v>0</v>
      </c>
      <c r="J330">
        <v>0</v>
      </c>
      <c r="K330">
        <v>3</v>
      </c>
      <c r="L330">
        <v>169</v>
      </c>
      <c r="M330">
        <v>7</v>
      </c>
      <c r="N330" s="10">
        <v>28.39</v>
      </c>
      <c r="O330" s="2">
        <f t="shared" si="10"/>
        <v>271.53180799999996</v>
      </c>
      <c r="P330" s="2">
        <f t="shared" si="11"/>
        <v>115.36125</v>
      </c>
      <c r="Q330">
        <v>0</v>
      </c>
    </row>
    <row r="331" spans="1:17" x14ac:dyDescent="0.25">
      <c r="A331" s="15"/>
      <c r="B331" s="15"/>
      <c r="C331">
        <v>45</v>
      </c>
      <c r="D331">
        <v>227.26</v>
      </c>
      <c r="E331">
        <v>185.94</v>
      </c>
      <c r="F331">
        <v>477</v>
      </c>
      <c r="G331">
        <v>1113</v>
      </c>
      <c r="H331">
        <v>0</v>
      </c>
      <c r="I331">
        <v>0</v>
      </c>
      <c r="J331">
        <v>0</v>
      </c>
      <c r="K331">
        <v>3</v>
      </c>
      <c r="L331">
        <v>169</v>
      </c>
      <c r="M331">
        <v>14</v>
      </c>
      <c r="N331" s="10">
        <v>31.6</v>
      </c>
      <c r="O331" s="2">
        <f t="shared" si="10"/>
        <v>271.53180799999996</v>
      </c>
      <c r="P331" s="2">
        <f t="shared" si="11"/>
        <v>115.36125</v>
      </c>
      <c r="Q331">
        <v>0</v>
      </c>
    </row>
    <row r="332" spans="1:17" x14ac:dyDescent="0.25">
      <c r="A332" s="15"/>
      <c r="B332" s="15"/>
      <c r="C332">
        <v>45</v>
      </c>
      <c r="D332">
        <v>227.26</v>
      </c>
      <c r="E332">
        <v>185.94</v>
      </c>
      <c r="F332">
        <v>477</v>
      </c>
      <c r="G332">
        <v>1113</v>
      </c>
      <c r="H332">
        <v>0</v>
      </c>
      <c r="I332">
        <v>0</v>
      </c>
      <c r="J332">
        <v>0</v>
      </c>
      <c r="K332">
        <v>3</v>
      </c>
      <c r="L332">
        <v>169</v>
      </c>
      <c r="M332">
        <v>56</v>
      </c>
      <c r="N332" s="10">
        <v>34.229999999999997</v>
      </c>
      <c r="O332" s="2">
        <f t="shared" si="10"/>
        <v>271.53180799999996</v>
      </c>
      <c r="P332" s="2">
        <f t="shared" si="11"/>
        <v>115.36125</v>
      </c>
      <c r="Q332">
        <v>0</v>
      </c>
    </row>
    <row r="333" spans="1:17" x14ac:dyDescent="0.25">
      <c r="A333" s="15"/>
      <c r="B333" s="15"/>
      <c r="C333">
        <v>45</v>
      </c>
      <c r="D333">
        <v>227.26</v>
      </c>
      <c r="E333">
        <v>185.94</v>
      </c>
      <c r="F333">
        <v>477</v>
      </c>
      <c r="G333">
        <v>1113</v>
      </c>
      <c r="H333">
        <v>0</v>
      </c>
      <c r="I333">
        <v>0</v>
      </c>
      <c r="J333">
        <v>0</v>
      </c>
      <c r="K333">
        <v>3</v>
      </c>
      <c r="L333">
        <v>169</v>
      </c>
      <c r="M333">
        <v>90</v>
      </c>
      <c r="N333" s="10">
        <v>40.67</v>
      </c>
      <c r="O333" s="2">
        <f t="shared" si="10"/>
        <v>271.53180799999996</v>
      </c>
      <c r="P333" s="2">
        <f t="shared" si="11"/>
        <v>115.36125</v>
      </c>
      <c r="Q333">
        <v>0</v>
      </c>
    </row>
    <row r="334" spans="1:17" x14ac:dyDescent="0.25">
      <c r="A334" s="15"/>
      <c r="B334" s="15"/>
      <c r="C334">
        <v>50</v>
      </c>
      <c r="D334">
        <v>206.6</v>
      </c>
      <c r="E334">
        <v>206.6</v>
      </c>
      <c r="F334">
        <v>477</v>
      </c>
      <c r="G334">
        <v>1113</v>
      </c>
      <c r="H334">
        <v>0</v>
      </c>
      <c r="I334">
        <v>0</v>
      </c>
      <c r="J334">
        <v>0</v>
      </c>
      <c r="K334">
        <v>3</v>
      </c>
      <c r="L334">
        <v>169</v>
      </c>
      <c r="M334">
        <v>7</v>
      </c>
      <c r="N334" s="10">
        <v>27.48</v>
      </c>
      <c r="O334" s="2">
        <f t="shared" si="10"/>
        <v>256.51612</v>
      </c>
      <c r="P334" s="2">
        <f t="shared" si="11"/>
        <v>107.61375</v>
      </c>
      <c r="Q334">
        <v>0</v>
      </c>
    </row>
    <row r="335" spans="1:17" x14ac:dyDescent="0.25">
      <c r="A335" s="15"/>
      <c r="B335" s="15"/>
      <c r="C335">
        <v>50</v>
      </c>
      <c r="D335">
        <v>206.6</v>
      </c>
      <c r="E335">
        <v>206.6</v>
      </c>
      <c r="F335">
        <v>477</v>
      </c>
      <c r="G335">
        <v>1113</v>
      </c>
      <c r="H335">
        <v>0</v>
      </c>
      <c r="I335">
        <v>0</v>
      </c>
      <c r="J335">
        <v>0</v>
      </c>
      <c r="K335">
        <v>3</v>
      </c>
      <c r="L335">
        <v>169</v>
      </c>
      <c r="M335">
        <v>14</v>
      </c>
      <c r="N335" s="10">
        <v>29.36</v>
      </c>
      <c r="O335" s="2">
        <f t="shared" si="10"/>
        <v>256.51612</v>
      </c>
      <c r="P335" s="2">
        <f t="shared" si="11"/>
        <v>107.61375</v>
      </c>
      <c r="Q335">
        <v>0</v>
      </c>
    </row>
    <row r="336" spans="1:17" x14ac:dyDescent="0.25">
      <c r="A336" s="15"/>
      <c r="B336" s="15"/>
      <c r="C336">
        <v>50</v>
      </c>
      <c r="D336">
        <v>206.6</v>
      </c>
      <c r="E336">
        <v>206.6</v>
      </c>
      <c r="F336">
        <v>477</v>
      </c>
      <c r="G336">
        <v>1113</v>
      </c>
      <c r="H336">
        <v>0</v>
      </c>
      <c r="I336">
        <v>0</v>
      </c>
      <c r="J336">
        <v>0</v>
      </c>
      <c r="K336">
        <v>3</v>
      </c>
      <c r="L336">
        <v>169</v>
      </c>
      <c r="M336">
        <v>56</v>
      </c>
      <c r="N336" s="10">
        <v>33.9</v>
      </c>
      <c r="O336" s="2">
        <f t="shared" si="10"/>
        <v>256.51612</v>
      </c>
      <c r="P336" s="2">
        <f t="shared" si="11"/>
        <v>107.61375</v>
      </c>
      <c r="Q336">
        <v>0</v>
      </c>
    </row>
    <row r="337" spans="1:17" x14ac:dyDescent="0.25">
      <c r="A337" s="15"/>
      <c r="B337" s="15"/>
      <c r="C337">
        <v>50</v>
      </c>
      <c r="D337">
        <v>206.6</v>
      </c>
      <c r="E337">
        <v>206.6</v>
      </c>
      <c r="F337">
        <v>477</v>
      </c>
      <c r="G337">
        <v>1113</v>
      </c>
      <c r="H337">
        <v>0</v>
      </c>
      <c r="I337">
        <v>0</v>
      </c>
      <c r="J337">
        <v>0</v>
      </c>
      <c r="K337">
        <v>3</v>
      </c>
      <c r="L337">
        <v>169</v>
      </c>
      <c r="M337">
        <v>90</v>
      </c>
      <c r="N337" s="10">
        <v>36.78</v>
      </c>
      <c r="O337" s="2">
        <f t="shared" si="10"/>
        <v>256.51612</v>
      </c>
      <c r="P337" s="2">
        <f t="shared" si="11"/>
        <v>107.61375</v>
      </c>
      <c r="Q337">
        <v>0</v>
      </c>
    </row>
    <row r="338" spans="1:17" x14ac:dyDescent="0.25">
      <c r="A338" s="15" t="s">
        <v>48</v>
      </c>
      <c r="B338" s="15" t="s">
        <v>49</v>
      </c>
      <c r="C338">
        <v>0</v>
      </c>
      <c r="D338">
        <v>342</v>
      </c>
      <c r="E338">
        <v>0</v>
      </c>
      <c r="F338">
        <v>728.2</v>
      </c>
      <c r="G338">
        <v>1067.5</v>
      </c>
      <c r="H338">
        <v>0</v>
      </c>
      <c r="I338">
        <v>0</v>
      </c>
      <c r="J338">
        <v>0</v>
      </c>
      <c r="K338">
        <v>0</v>
      </c>
      <c r="L338">
        <v>205.6</v>
      </c>
      <c r="M338">
        <v>7</v>
      </c>
      <c r="N338" s="10">
        <v>26.06</v>
      </c>
      <c r="O338" s="2">
        <f t="shared" si="10"/>
        <v>342.98023000000001</v>
      </c>
      <c r="P338" s="2">
        <f t="shared" si="11"/>
        <v>157.91625000000002</v>
      </c>
      <c r="Q338">
        <v>0</v>
      </c>
    </row>
    <row r="339" spans="1:17" x14ac:dyDescent="0.25">
      <c r="A339" s="15"/>
      <c r="B339" s="15"/>
      <c r="C339">
        <v>0</v>
      </c>
      <c r="D339">
        <v>342</v>
      </c>
      <c r="E339">
        <v>0</v>
      </c>
      <c r="F339">
        <v>728.2</v>
      </c>
      <c r="G339">
        <v>1067.5</v>
      </c>
      <c r="H339">
        <v>0</v>
      </c>
      <c r="I339">
        <v>0</v>
      </c>
      <c r="J339">
        <v>0</v>
      </c>
      <c r="K339">
        <v>0</v>
      </c>
      <c r="L339">
        <v>205.6</v>
      </c>
      <c r="M339">
        <v>14</v>
      </c>
      <c r="N339" s="10">
        <v>28.75</v>
      </c>
      <c r="O339" s="2">
        <f t="shared" si="10"/>
        <v>342.98023000000001</v>
      </c>
      <c r="P339" s="2">
        <f t="shared" si="11"/>
        <v>157.91625000000002</v>
      </c>
      <c r="Q339">
        <v>0</v>
      </c>
    </row>
    <row r="340" spans="1:17" x14ac:dyDescent="0.25">
      <c r="A340" s="15"/>
      <c r="B340" s="15"/>
      <c r="C340">
        <v>0</v>
      </c>
      <c r="D340">
        <v>342</v>
      </c>
      <c r="E340">
        <v>0</v>
      </c>
      <c r="F340">
        <v>728.2</v>
      </c>
      <c r="G340">
        <v>1067.5</v>
      </c>
      <c r="H340">
        <v>0</v>
      </c>
      <c r="I340">
        <v>0</v>
      </c>
      <c r="J340">
        <v>0</v>
      </c>
      <c r="K340">
        <v>0</v>
      </c>
      <c r="L340">
        <v>205.6</v>
      </c>
      <c r="M340">
        <v>56</v>
      </c>
      <c r="N340" s="10">
        <v>37.6</v>
      </c>
      <c r="O340" s="2">
        <f t="shared" si="10"/>
        <v>342.98023000000001</v>
      </c>
      <c r="P340" s="2">
        <f t="shared" si="11"/>
        <v>157.91625000000002</v>
      </c>
      <c r="Q340">
        <v>0</v>
      </c>
    </row>
    <row r="341" spans="1:17" x14ac:dyDescent="0.25">
      <c r="A341" s="15"/>
      <c r="B341" s="15"/>
      <c r="C341">
        <v>0</v>
      </c>
      <c r="D341">
        <v>342</v>
      </c>
      <c r="E341">
        <v>0</v>
      </c>
      <c r="F341">
        <v>728.2</v>
      </c>
      <c r="G341">
        <v>1067.5</v>
      </c>
      <c r="H341">
        <v>0</v>
      </c>
      <c r="I341">
        <v>0</v>
      </c>
      <c r="J341">
        <v>0</v>
      </c>
      <c r="K341">
        <v>0</v>
      </c>
      <c r="L341">
        <v>205.6</v>
      </c>
      <c r="M341">
        <v>90</v>
      </c>
      <c r="N341" s="10">
        <v>37.25</v>
      </c>
      <c r="O341" s="2">
        <f t="shared" si="10"/>
        <v>342.98023000000001</v>
      </c>
      <c r="P341" s="2">
        <f t="shared" si="11"/>
        <v>157.91625000000002</v>
      </c>
      <c r="Q341">
        <v>0</v>
      </c>
    </row>
    <row r="342" spans="1:17" x14ac:dyDescent="0.25">
      <c r="A342" s="15"/>
      <c r="B342" s="15"/>
      <c r="C342">
        <v>5</v>
      </c>
      <c r="D342">
        <v>324.89999999999998</v>
      </c>
      <c r="E342">
        <v>17.100000000000001</v>
      </c>
      <c r="F342">
        <v>728.2</v>
      </c>
      <c r="G342">
        <v>1067.5</v>
      </c>
      <c r="H342">
        <v>0</v>
      </c>
      <c r="I342">
        <v>0</v>
      </c>
      <c r="J342">
        <v>0</v>
      </c>
      <c r="K342">
        <v>0</v>
      </c>
      <c r="L342">
        <v>205.6</v>
      </c>
      <c r="M342">
        <v>7</v>
      </c>
      <c r="N342" s="10">
        <v>25.42</v>
      </c>
      <c r="O342" s="2">
        <f t="shared" si="10"/>
        <v>330.55194999999998</v>
      </c>
      <c r="P342" s="2">
        <f t="shared" si="11"/>
        <v>151.50375</v>
      </c>
      <c r="Q342">
        <v>0</v>
      </c>
    </row>
    <row r="343" spans="1:17" x14ac:dyDescent="0.25">
      <c r="A343" s="15"/>
      <c r="B343" s="15"/>
      <c r="C343">
        <v>5</v>
      </c>
      <c r="D343">
        <v>324.89999999999998</v>
      </c>
      <c r="E343">
        <v>17.100000000000001</v>
      </c>
      <c r="F343">
        <v>728.2</v>
      </c>
      <c r="G343">
        <v>1067.5</v>
      </c>
      <c r="H343">
        <v>0</v>
      </c>
      <c r="I343">
        <v>0</v>
      </c>
      <c r="J343">
        <v>0</v>
      </c>
      <c r="K343">
        <v>0</v>
      </c>
      <c r="L343">
        <v>205.6</v>
      </c>
      <c r="M343">
        <v>14</v>
      </c>
      <c r="N343" s="10">
        <v>31.04</v>
      </c>
      <c r="O343" s="2">
        <f t="shared" si="10"/>
        <v>330.55194999999998</v>
      </c>
      <c r="P343" s="2">
        <f t="shared" si="11"/>
        <v>151.50375</v>
      </c>
      <c r="Q343">
        <v>0</v>
      </c>
    </row>
    <row r="344" spans="1:17" x14ac:dyDescent="0.25">
      <c r="A344" s="15"/>
      <c r="B344" s="15"/>
      <c r="C344">
        <v>5</v>
      </c>
      <c r="D344">
        <v>324.89999999999998</v>
      </c>
      <c r="E344">
        <v>17.100000000000001</v>
      </c>
      <c r="F344">
        <v>728.2</v>
      </c>
      <c r="G344">
        <v>1067.5</v>
      </c>
      <c r="H344">
        <v>0</v>
      </c>
      <c r="I344">
        <v>0</v>
      </c>
      <c r="J344">
        <v>0</v>
      </c>
      <c r="K344">
        <v>0</v>
      </c>
      <c r="L344">
        <v>205.6</v>
      </c>
      <c r="M344">
        <v>56</v>
      </c>
      <c r="N344" s="10">
        <v>35.07</v>
      </c>
      <c r="O344" s="2">
        <f t="shared" si="10"/>
        <v>330.55194999999998</v>
      </c>
      <c r="P344" s="2">
        <f t="shared" si="11"/>
        <v>151.50375</v>
      </c>
      <c r="Q344">
        <v>0</v>
      </c>
    </row>
    <row r="345" spans="1:17" x14ac:dyDescent="0.25">
      <c r="A345" s="15"/>
      <c r="B345" s="15"/>
      <c r="C345">
        <v>5</v>
      </c>
      <c r="D345">
        <v>324.89999999999998</v>
      </c>
      <c r="E345">
        <v>17.100000000000001</v>
      </c>
      <c r="F345">
        <v>728.2</v>
      </c>
      <c r="G345">
        <v>1067.5</v>
      </c>
      <c r="H345">
        <v>0</v>
      </c>
      <c r="I345">
        <v>0</v>
      </c>
      <c r="J345">
        <v>0</v>
      </c>
      <c r="K345">
        <v>0</v>
      </c>
      <c r="L345">
        <v>205.6</v>
      </c>
      <c r="M345">
        <v>90</v>
      </c>
      <c r="N345" s="10">
        <v>40.29</v>
      </c>
      <c r="O345" s="2">
        <f t="shared" si="10"/>
        <v>330.55194999999998</v>
      </c>
      <c r="P345" s="2">
        <f t="shared" si="11"/>
        <v>151.50375</v>
      </c>
      <c r="Q345">
        <v>0</v>
      </c>
    </row>
    <row r="346" spans="1:17" x14ac:dyDescent="0.25">
      <c r="A346" s="15"/>
      <c r="B346" s="15"/>
      <c r="C346">
        <v>10</v>
      </c>
      <c r="D346">
        <v>307.8</v>
      </c>
      <c r="E346">
        <v>34.200000000000003</v>
      </c>
      <c r="F346">
        <v>728.2</v>
      </c>
      <c r="G346">
        <v>1067.5</v>
      </c>
      <c r="H346">
        <v>0</v>
      </c>
      <c r="I346">
        <v>0</v>
      </c>
      <c r="J346">
        <v>0</v>
      </c>
      <c r="K346">
        <v>0</v>
      </c>
      <c r="L346">
        <v>205.6</v>
      </c>
      <c r="M346">
        <v>7</v>
      </c>
      <c r="N346" s="10">
        <v>28.49</v>
      </c>
      <c r="O346" s="2">
        <f t="shared" si="10"/>
        <v>318.12367</v>
      </c>
      <c r="P346" s="2">
        <f t="shared" si="11"/>
        <v>145.09125</v>
      </c>
      <c r="Q346">
        <v>0</v>
      </c>
    </row>
    <row r="347" spans="1:17" x14ac:dyDescent="0.25">
      <c r="A347" s="15"/>
      <c r="B347" s="15"/>
      <c r="C347">
        <v>10</v>
      </c>
      <c r="D347">
        <v>307.8</v>
      </c>
      <c r="E347">
        <v>34.200000000000003</v>
      </c>
      <c r="F347">
        <v>728.2</v>
      </c>
      <c r="G347">
        <v>1067.5</v>
      </c>
      <c r="H347">
        <v>0</v>
      </c>
      <c r="I347">
        <v>0</v>
      </c>
      <c r="J347">
        <v>0</v>
      </c>
      <c r="K347">
        <v>0</v>
      </c>
      <c r="L347">
        <v>205.6</v>
      </c>
      <c r="M347">
        <v>14</v>
      </c>
      <c r="N347" s="10">
        <v>27.56</v>
      </c>
      <c r="O347" s="2">
        <f t="shared" si="10"/>
        <v>318.12367</v>
      </c>
      <c r="P347" s="2">
        <f t="shared" si="11"/>
        <v>145.09125</v>
      </c>
      <c r="Q347">
        <v>0</v>
      </c>
    </row>
    <row r="348" spans="1:17" x14ac:dyDescent="0.25">
      <c r="A348" s="15"/>
      <c r="B348" s="15"/>
      <c r="C348">
        <v>10</v>
      </c>
      <c r="D348">
        <v>307.8</v>
      </c>
      <c r="E348">
        <v>34.200000000000003</v>
      </c>
      <c r="F348">
        <v>728.2</v>
      </c>
      <c r="G348">
        <v>1067.5</v>
      </c>
      <c r="H348">
        <v>0</v>
      </c>
      <c r="I348">
        <v>0</v>
      </c>
      <c r="J348">
        <v>0</v>
      </c>
      <c r="K348">
        <v>0</v>
      </c>
      <c r="L348">
        <v>205.6</v>
      </c>
      <c r="M348">
        <v>56</v>
      </c>
      <c r="N348" s="10">
        <v>35.520000000000003</v>
      </c>
      <c r="O348" s="2">
        <f t="shared" si="10"/>
        <v>318.12367</v>
      </c>
      <c r="P348" s="2">
        <f t="shared" si="11"/>
        <v>145.09125</v>
      </c>
      <c r="Q348">
        <v>0</v>
      </c>
    </row>
    <row r="349" spans="1:17" x14ac:dyDescent="0.25">
      <c r="A349" s="15"/>
      <c r="B349" s="15"/>
      <c r="C349">
        <v>10</v>
      </c>
      <c r="D349">
        <v>307.8</v>
      </c>
      <c r="E349">
        <v>34.200000000000003</v>
      </c>
      <c r="F349">
        <v>728.2</v>
      </c>
      <c r="G349">
        <v>1067.5</v>
      </c>
      <c r="H349">
        <v>0</v>
      </c>
      <c r="I349">
        <v>0</v>
      </c>
      <c r="J349">
        <v>0</v>
      </c>
      <c r="K349">
        <v>0</v>
      </c>
      <c r="L349">
        <v>205.6</v>
      </c>
      <c r="M349">
        <v>90</v>
      </c>
      <c r="N349" s="10">
        <v>39.090000000000003</v>
      </c>
      <c r="O349" s="2">
        <f t="shared" si="10"/>
        <v>318.12367</v>
      </c>
      <c r="P349" s="2">
        <f t="shared" si="11"/>
        <v>145.09125</v>
      </c>
      <c r="Q349">
        <v>0</v>
      </c>
    </row>
    <row r="350" spans="1:17" x14ac:dyDescent="0.25">
      <c r="A350" s="15"/>
      <c r="B350" s="15"/>
      <c r="C350">
        <v>15</v>
      </c>
      <c r="D350">
        <v>290.7</v>
      </c>
      <c r="E350">
        <v>51.3</v>
      </c>
      <c r="F350">
        <v>728.2</v>
      </c>
      <c r="G350">
        <v>1067.5</v>
      </c>
      <c r="H350">
        <v>0</v>
      </c>
      <c r="I350">
        <v>0</v>
      </c>
      <c r="J350">
        <v>0</v>
      </c>
      <c r="K350">
        <v>0</v>
      </c>
      <c r="L350">
        <v>205.6</v>
      </c>
      <c r="M350">
        <v>7</v>
      </c>
      <c r="N350" s="10">
        <v>22.68</v>
      </c>
      <c r="O350" s="2">
        <f t="shared" si="10"/>
        <v>305.69538999999997</v>
      </c>
      <c r="P350" s="2">
        <f t="shared" si="11"/>
        <v>138.67874999999998</v>
      </c>
      <c r="Q350">
        <v>0</v>
      </c>
    </row>
    <row r="351" spans="1:17" x14ac:dyDescent="0.25">
      <c r="A351" s="15"/>
      <c r="B351" s="15"/>
      <c r="C351">
        <v>15</v>
      </c>
      <c r="D351">
        <v>290.7</v>
      </c>
      <c r="E351">
        <v>51.3</v>
      </c>
      <c r="F351">
        <v>728.2</v>
      </c>
      <c r="G351">
        <v>1067.5</v>
      </c>
      <c r="H351">
        <v>0</v>
      </c>
      <c r="I351">
        <v>0</v>
      </c>
      <c r="J351">
        <v>0</v>
      </c>
      <c r="K351">
        <v>0</v>
      </c>
      <c r="L351">
        <v>205.6</v>
      </c>
      <c r="M351">
        <v>14</v>
      </c>
      <c r="N351" s="10">
        <v>26.25</v>
      </c>
      <c r="O351" s="2">
        <f t="shared" si="10"/>
        <v>305.69538999999997</v>
      </c>
      <c r="P351" s="2">
        <f t="shared" si="11"/>
        <v>138.67874999999998</v>
      </c>
      <c r="Q351">
        <v>0</v>
      </c>
    </row>
    <row r="352" spans="1:17" x14ac:dyDescent="0.25">
      <c r="A352" s="15"/>
      <c r="B352" s="15"/>
      <c r="C352">
        <v>15</v>
      </c>
      <c r="D352">
        <v>290.7</v>
      </c>
      <c r="E352">
        <v>51.3</v>
      </c>
      <c r="F352">
        <v>728.2</v>
      </c>
      <c r="G352">
        <v>1067.5</v>
      </c>
      <c r="H352">
        <v>0</v>
      </c>
      <c r="I352">
        <v>0</v>
      </c>
      <c r="J352">
        <v>0</v>
      </c>
      <c r="K352">
        <v>0</v>
      </c>
      <c r="L352">
        <v>205.6</v>
      </c>
      <c r="M352">
        <v>56</v>
      </c>
      <c r="N352" s="10">
        <v>33.880000000000003</v>
      </c>
      <c r="O352" s="2">
        <f t="shared" si="10"/>
        <v>305.69538999999997</v>
      </c>
      <c r="P352" s="2">
        <f t="shared" si="11"/>
        <v>138.67874999999998</v>
      </c>
      <c r="Q352">
        <v>0</v>
      </c>
    </row>
    <row r="353" spans="1:17" x14ac:dyDescent="0.25">
      <c r="A353" s="15"/>
      <c r="B353" s="15"/>
      <c r="C353">
        <v>15</v>
      </c>
      <c r="D353">
        <v>290.7</v>
      </c>
      <c r="E353">
        <v>51.3</v>
      </c>
      <c r="F353">
        <v>728.2</v>
      </c>
      <c r="G353">
        <v>1067.5</v>
      </c>
      <c r="H353">
        <v>0</v>
      </c>
      <c r="I353">
        <v>0</v>
      </c>
      <c r="J353">
        <v>0</v>
      </c>
      <c r="K353">
        <v>0</v>
      </c>
      <c r="L353">
        <v>205.6</v>
      </c>
      <c r="M353">
        <v>90</v>
      </c>
      <c r="N353" s="10">
        <v>41.35</v>
      </c>
      <c r="O353" s="2">
        <f t="shared" si="10"/>
        <v>305.69538999999997</v>
      </c>
      <c r="P353" s="2">
        <f t="shared" si="11"/>
        <v>138.67874999999998</v>
      </c>
      <c r="Q353">
        <v>0</v>
      </c>
    </row>
    <row r="354" spans="1:17" x14ac:dyDescent="0.25">
      <c r="A354" s="15"/>
      <c r="B354" s="15"/>
      <c r="C354">
        <v>20</v>
      </c>
      <c r="D354">
        <v>273.60000000000002</v>
      </c>
      <c r="E354">
        <v>68.400000000000006</v>
      </c>
      <c r="F354">
        <v>728.2</v>
      </c>
      <c r="G354">
        <v>1067.5</v>
      </c>
      <c r="H354">
        <v>0</v>
      </c>
      <c r="I354">
        <v>0</v>
      </c>
      <c r="J354">
        <v>0</v>
      </c>
      <c r="K354">
        <v>0</v>
      </c>
      <c r="L354">
        <v>205.6</v>
      </c>
      <c r="M354">
        <v>7</v>
      </c>
      <c r="N354" s="10">
        <v>24.47</v>
      </c>
      <c r="O354" s="2">
        <f t="shared" si="10"/>
        <v>293.26711</v>
      </c>
      <c r="P354" s="2">
        <f t="shared" si="11"/>
        <v>132.26624999999999</v>
      </c>
      <c r="Q354">
        <v>0</v>
      </c>
    </row>
    <row r="355" spans="1:17" x14ac:dyDescent="0.25">
      <c r="A355" s="15"/>
      <c r="B355" s="15"/>
      <c r="C355">
        <v>20</v>
      </c>
      <c r="D355">
        <v>273.60000000000002</v>
      </c>
      <c r="E355">
        <v>68.400000000000006</v>
      </c>
      <c r="F355">
        <v>728.2</v>
      </c>
      <c r="G355">
        <v>1067.5</v>
      </c>
      <c r="H355">
        <v>0</v>
      </c>
      <c r="I355">
        <v>0</v>
      </c>
      <c r="J355">
        <v>0</v>
      </c>
      <c r="K355">
        <v>0</v>
      </c>
      <c r="L355">
        <v>205.6</v>
      </c>
      <c r="M355">
        <v>14</v>
      </c>
      <c r="N355" s="10">
        <v>29.09</v>
      </c>
      <c r="O355" s="2">
        <f t="shared" si="10"/>
        <v>293.26711</v>
      </c>
      <c r="P355" s="2">
        <f t="shared" si="11"/>
        <v>132.26624999999999</v>
      </c>
      <c r="Q355">
        <v>0</v>
      </c>
    </row>
    <row r="356" spans="1:17" x14ac:dyDescent="0.25">
      <c r="A356" s="15"/>
      <c r="B356" s="15"/>
      <c r="C356">
        <v>20</v>
      </c>
      <c r="D356">
        <v>273.60000000000002</v>
      </c>
      <c r="E356">
        <v>68.400000000000006</v>
      </c>
      <c r="F356">
        <v>728.2</v>
      </c>
      <c r="G356">
        <v>1067.5</v>
      </c>
      <c r="H356">
        <v>0</v>
      </c>
      <c r="I356">
        <v>0</v>
      </c>
      <c r="J356">
        <v>0</v>
      </c>
      <c r="K356">
        <v>0</v>
      </c>
      <c r="L356">
        <v>205.6</v>
      </c>
      <c r="M356">
        <v>56</v>
      </c>
      <c r="N356" s="10">
        <v>35.869999999999997</v>
      </c>
      <c r="O356" s="2">
        <f t="shared" si="10"/>
        <v>293.26711</v>
      </c>
      <c r="P356" s="2">
        <f t="shared" si="11"/>
        <v>132.26624999999999</v>
      </c>
      <c r="Q356">
        <v>0</v>
      </c>
    </row>
    <row r="357" spans="1:17" x14ac:dyDescent="0.25">
      <c r="A357" s="15"/>
      <c r="B357" s="15"/>
      <c r="C357">
        <v>20</v>
      </c>
      <c r="D357">
        <v>273.60000000000002</v>
      </c>
      <c r="E357">
        <v>68.400000000000006</v>
      </c>
      <c r="F357">
        <v>728.2</v>
      </c>
      <c r="G357">
        <v>1067.5</v>
      </c>
      <c r="H357">
        <v>0</v>
      </c>
      <c r="I357">
        <v>0</v>
      </c>
      <c r="J357">
        <v>0</v>
      </c>
      <c r="K357">
        <v>0</v>
      </c>
      <c r="L357">
        <v>205.6</v>
      </c>
      <c r="M357">
        <v>90</v>
      </c>
      <c r="N357" s="10">
        <v>34.97</v>
      </c>
      <c r="O357" s="2">
        <f t="shared" si="10"/>
        <v>293.26711</v>
      </c>
      <c r="P357" s="2">
        <f t="shared" si="11"/>
        <v>132.26624999999999</v>
      </c>
      <c r="Q357">
        <v>0</v>
      </c>
    </row>
    <row r="358" spans="1:17" x14ac:dyDescent="0.25">
      <c r="A358" s="15"/>
      <c r="B358" s="15"/>
      <c r="C358">
        <v>25</v>
      </c>
      <c r="D358">
        <v>256.5</v>
      </c>
      <c r="E358">
        <v>85.5</v>
      </c>
      <c r="F358">
        <v>728.2</v>
      </c>
      <c r="G358">
        <v>1067.5</v>
      </c>
      <c r="H358">
        <v>0</v>
      </c>
      <c r="I358">
        <v>0</v>
      </c>
      <c r="J358">
        <v>0</v>
      </c>
      <c r="K358">
        <v>0</v>
      </c>
      <c r="L358">
        <v>205.6</v>
      </c>
      <c r="M358">
        <v>7</v>
      </c>
      <c r="N358" s="10">
        <v>24.84</v>
      </c>
      <c r="O358" s="2">
        <f t="shared" si="10"/>
        <v>280.83882999999997</v>
      </c>
      <c r="P358" s="2">
        <f t="shared" si="11"/>
        <v>125.85374999999999</v>
      </c>
      <c r="Q358">
        <v>0</v>
      </c>
    </row>
    <row r="359" spans="1:17" x14ac:dyDescent="0.25">
      <c r="A359" s="15"/>
      <c r="B359" s="15"/>
      <c r="C359">
        <v>25</v>
      </c>
      <c r="D359">
        <v>256.5</v>
      </c>
      <c r="E359">
        <v>85.5</v>
      </c>
      <c r="F359">
        <v>728.2</v>
      </c>
      <c r="G359">
        <v>1067.5</v>
      </c>
      <c r="H359">
        <v>0</v>
      </c>
      <c r="I359">
        <v>0</v>
      </c>
      <c r="J359">
        <v>0</v>
      </c>
      <c r="K359">
        <v>0</v>
      </c>
      <c r="L359">
        <v>205.6</v>
      </c>
      <c r="M359">
        <v>14</v>
      </c>
      <c r="N359" s="10">
        <v>25.15</v>
      </c>
      <c r="O359" s="2">
        <f t="shared" si="10"/>
        <v>280.83882999999997</v>
      </c>
      <c r="P359" s="2">
        <f t="shared" si="11"/>
        <v>125.85374999999999</v>
      </c>
      <c r="Q359">
        <v>0</v>
      </c>
    </row>
    <row r="360" spans="1:17" x14ac:dyDescent="0.25">
      <c r="A360" s="15"/>
      <c r="B360" s="15"/>
      <c r="C360">
        <v>25</v>
      </c>
      <c r="D360">
        <v>256.5</v>
      </c>
      <c r="E360">
        <v>85.5</v>
      </c>
      <c r="F360">
        <v>728.2</v>
      </c>
      <c r="G360">
        <v>1067.5</v>
      </c>
      <c r="H360">
        <v>0</v>
      </c>
      <c r="I360">
        <v>0</v>
      </c>
      <c r="J360">
        <v>0</v>
      </c>
      <c r="K360">
        <v>0</v>
      </c>
      <c r="L360">
        <v>205.6</v>
      </c>
      <c r="M360">
        <v>56</v>
      </c>
      <c r="N360" s="10">
        <v>28.97</v>
      </c>
      <c r="O360" s="2">
        <f t="shared" si="10"/>
        <v>280.83882999999997</v>
      </c>
      <c r="P360" s="2">
        <f t="shared" si="11"/>
        <v>125.85374999999999</v>
      </c>
      <c r="Q360">
        <v>0</v>
      </c>
    </row>
    <row r="361" spans="1:17" x14ac:dyDescent="0.25">
      <c r="A361" s="15"/>
      <c r="B361" s="15"/>
      <c r="C361">
        <v>25</v>
      </c>
      <c r="D361">
        <v>256.5</v>
      </c>
      <c r="E361">
        <v>85.5</v>
      </c>
      <c r="F361">
        <v>728.2</v>
      </c>
      <c r="G361">
        <v>1067.5</v>
      </c>
      <c r="H361">
        <v>0</v>
      </c>
      <c r="I361">
        <v>0</v>
      </c>
      <c r="J361">
        <v>0</v>
      </c>
      <c r="K361">
        <v>0</v>
      </c>
      <c r="L361">
        <v>205.6</v>
      </c>
      <c r="M361">
        <v>90</v>
      </c>
      <c r="N361" s="10">
        <v>34.369999999999997</v>
      </c>
      <c r="O361" s="2">
        <f t="shared" si="10"/>
        <v>280.83882999999997</v>
      </c>
      <c r="P361" s="2">
        <f t="shared" si="11"/>
        <v>125.85374999999999</v>
      </c>
      <c r="Q361">
        <v>0</v>
      </c>
    </row>
    <row r="362" spans="1:17" x14ac:dyDescent="0.25">
      <c r="A362" s="15"/>
      <c r="B362" s="15"/>
      <c r="C362">
        <v>30</v>
      </c>
      <c r="D362">
        <v>239.4</v>
      </c>
      <c r="E362">
        <v>102.6</v>
      </c>
      <c r="F362">
        <v>728.2</v>
      </c>
      <c r="G362">
        <v>1067.5</v>
      </c>
      <c r="H362">
        <v>0</v>
      </c>
      <c r="I362">
        <v>0</v>
      </c>
      <c r="J362">
        <v>0</v>
      </c>
      <c r="K362">
        <v>0</v>
      </c>
      <c r="L362">
        <v>205.6</v>
      </c>
      <c r="M362">
        <v>7</v>
      </c>
      <c r="N362" s="10">
        <v>26.5</v>
      </c>
      <c r="O362" s="2">
        <f t="shared" si="10"/>
        <v>268.41055</v>
      </c>
      <c r="P362" s="2">
        <f t="shared" si="11"/>
        <v>119.44125</v>
      </c>
      <c r="Q362">
        <v>0</v>
      </c>
    </row>
    <row r="363" spans="1:17" x14ac:dyDescent="0.25">
      <c r="A363" s="15"/>
      <c r="B363" s="15"/>
      <c r="C363">
        <v>30</v>
      </c>
      <c r="D363">
        <v>239.4</v>
      </c>
      <c r="E363">
        <v>102.6</v>
      </c>
      <c r="F363">
        <v>728.2</v>
      </c>
      <c r="G363">
        <v>1067.5</v>
      </c>
      <c r="H363">
        <v>0</v>
      </c>
      <c r="I363">
        <v>0</v>
      </c>
      <c r="J363">
        <v>0</v>
      </c>
      <c r="K363">
        <v>0</v>
      </c>
      <c r="L363">
        <v>205.6</v>
      </c>
      <c r="M363">
        <v>14</v>
      </c>
      <c r="N363" s="10">
        <v>26.79</v>
      </c>
      <c r="O363" s="2">
        <f t="shared" si="10"/>
        <v>268.41055</v>
      </c>
      <c r="P363" s="2">
        <f t="shared" si="11"/>
        <v>119.44125</v>
      </c>
      <c r="Q363">
        <v>0</v>
      </c>
    </row>
    <row r="364" spans="1:17" x14ac:dyDescent="0.25">
      <c r="A364" s="15"/>
      <c r="B364" s="15"/>
      <c r="C364">
        <v>30</v>
      </c>
      <c r="D364">
        <v>239.4</v>
      </c>
      <c r="E364">
        <v>102.6</v>
      </c>
      <c r="F364">
        <v>728.2</v>
      </c>
      <c r="G364">
        <v>1067.5</v>
      </c>
      <c r="H364">
        <v>0</v>
      </c>
      <c r="I364">
        <v>0</v>
      </c>
      <c r="J364">
        <v>0</v>
      </c>
      <c r="K364">
        <v>0</v>
      </c>
      <c r="L364">
        <v>205.6</v>
      </c>
      <c r="M364">
        <v>56</v>
      </c>
      <c r="N364" s="10">
        <v>29.3</v>
      </c>
      <c r="O364" s="2">
        <f t="shared" si="10"/>
        <v>268.41055</v>
      </c>
      <c r="P364" s="2">
        <f t="shared" si="11"/>
        <v>119.44125</v>
      </c>
      <c r="Q364">
        <v>0</v>
      </c>
    </row>
    <row r="365" spans="1:17" x14ac:dyDescent="0.25">
      <c r="A365" s="15"/>
      <c r="B365" s="15"/>
      <c r="C365">
        <v>30</v>
      </c>
      <c r="D365">
        <v>239.4</v>
      </c>
      <c r="E365">
        <v>102.6</v>
      </c>
      <c r="F365">
        <v>728.2</v>
      </c>
      <c r="G365">
        <v>1067.5</v>
      </c>
      <c r="H365">
        <v>0</v>
      </c>
      <c r="I365">
        <v>0</v>
      </c>
      <c r="J365">
        <v>0</v>
      </c>
      <c r="K365">
        <v>0</v>
      </c>
      <c r="L365">
        <v>205.6</v>
      </c>
      <c r="M365">
        <v>90</v>
      </c>
      <c r="N365" s="10">
        <v>33.35</v>
      </c>
      <c r="O365" s="2">
        <f t="shared" si="10"/>
        <v>268.41055</v>
      </c>
      <c r="P365" s="2">
        <f t="shared" si="11"/>
        <v>119.44125</v>
      </c>
      <c r="Q365">
        <v>0</v>
      </c>
    </row>
    <row r="366" spans="1:17" x14ac:dyDescent="0.25">
      <c r="A366" s="15"/>
      <c r="B366" s="15"/>
      <c r="C366">
        <v>35</v>
      </c>
      <c r="D366">
        <v>222.3</v>
      </c>
      <c r="E366">
        <v>119.7</v>
      </c>
      <c r="F366">
        <v>728.2</v>
      </c>
      <c r="G366">
        <v>1067.5</v>
      </c>
      <c r="H366">
        <v>0</v>
      </c>
      <c r="I366">
        <v>0</v>
      </c>
      <c r="J366">
        <v>0</v>
      </c>
      <c r="K366">
        <v>0</v>
      </c>
      <c r="L366">
        <v>205.6</v>
      </c>
      <c r="M366">
        <v>7</v>
      </c>
      <c r="N366" s="10">
        <v>22.16</v>
      </c>
      <c r="O366" s="2">
        <f t="shared" si="10"/>
        <v>255.98227000000003</v>
      </c>
      <c r="P366" s="2">
        <f t="shared" si="11"/>
        <v>113.02874999999999</v>
      </c>
      <c r="Q366">
        <v>0</v>
      </c>
    </row>
    <row r="367" spans="1:17" x14ac:dyDescent="0.25">
      <c r="A367" s="15"/>
      <c r="B367" s="15"/>
      <c r="C367">
        <v>35</v>
      </c>
      <c r="D367">
        <v>222.3</v>
      </c>
      <c r="E367">
        <v>119.7</v>
      </c>
      <c r="F367">
        <v>728.2</v>
      </c>
      <c r="G367">
        <v>1067.5</v>
      </c>
      <c r="H367">
        <v>0</v>
      </c>
      <c r="I367">
        <v>0</v>
      </c>
      <c r="J367">
        <v>0</v>
      </c>
      <c r="K367">
        <v>0</v>
      </c>
      <c r="L367">
        <v>205.6</v>
      </c>
      <c r="M367">
        <v>14</v>
      </c>
      <c r="N367" s="10">
        <v>23.81</v>
      </c>
      <c r="O367" s="2">
        <f t="shared" si="10"/>
        <v>255.98227000000003</v>
      </c>
      <c r="P367" s="2">
        <f t="shared" si="11"/>
        <v>113.02874999999999</v>
      </c>
      <c r="Q367">
        <v>0</v>
      </c>
    </row>
    <row r="368" spans="1:17" x14ac:dyDescent="0.25">
      <c r="A368" s="15"/>
      <c r="B368" s="15"/>
      <c r="C368">
        <v>35</v>
      </c>
      <c r="D368">
        <v>222.3</v>
      </c>
      <c r="E368">
        <v>119.7</v>
      </c>
      <c r="F368">
        <v>728.2</v>
      </c>
      <c r="G368">
        <v>1067.5</v>
      </c>
      <c r="H368">
        <v>0</v>
      </c>
      <c r="I368">
        <v>0</v>
      </c>
      <c r="J368">
        <v>0</v>
      </c>
      <c r="K368">
        <v>0</v>
      </c>
      <c r="L368">
        <v>205.6</v>
      </c>
      <c r="M368">
        <v>56</v>
      </c>
      <c r="N368" s="10">
        <v>30.12</v>
      </c>
      <c r="O368" s="2">
        <f t="shared" si="10"/>
        <v>255.98227000000003</v>
      </c>
      <c r="P368" s="2">
        <f t="shared" si="11"/>
        <v>113.02874999999999</v>
      </c>
      <c r="Q368">
        <v>0</v>
      </c>
    </row>
    <row r="369" spans="1:17" x14ac:dyDescent="0.25">
      <c r="A369" s="15"/>
      <c r="B369" s="15"/>
      <c r="C369">
        <v>35</v>
      </c>
      <c r="D369">
        <v>222.3</v>
      </c>
      <c r="E369">
        <v>119.7</v>
      </c>
      <c r="F369">
        <v>728.2</v>
      </c>
      <c r="G369">
        <v>1067.5</v>
      </c>
      <c r="H369">
        <v>0</v>
      </c>
      <c r="I369">
        <v>0</v>
      </c>
      <c r="J369">
        <v>0</v>
      </c>
      <c r="K369">
        <v>0</v>
      </c>
      <c r="L369">
        <v>205.6</v>
      </c>
      <c r="M369">
        <v>90</v>
      </c>
      <c r="N369" s="10">
        <v>30.6</v>
      </c>
      <c r="O369" s="2">
        <f t="shared" si="10"/>
        <v>255.98227000000003</v>
      </c>
      <c r="P369" s="2">
        <f t="shared" si="11"/>
        <v>113.02874999999999</v>
      </c>
      <c r="Q369">
        <v>0</v>
      </c>
    </row>
    <row r="370" spans="1:17" x14ac:dyDescent="0.25">
      <c r="A370" s="15"/>
      <c r="B370" s="15"/>
      <c r="C370">
        <v>40</v>
      </c>
      <c r="D370">
        <v>205.2</v>
      </c>
      <c r="E370">
        <v>136.80000000000001</v>
      </c>
      <c r="F370">
        <v>728.2</v>
      </c>
      <c r="G370">
        <v>1067.5</v>
      </c>
      <c r="H370">
        <v>0</v>
      </c>
      <c r="I370">
        <v>0</v>
      </c>
      <c r="J370">
        <v>0</v>
      </c>
      <c r="K370">
        <v>0</v>
      </c>
      <c r="L370">
        <v>205.6</v>
      </c>
      <c r="M370">
        <v>7</v>
      </c>
      <c r="N370" s="10">
        <v>20.13</v>
      </c>
      <c r="O370" s="2">
        <f t="shared" si="10"/>
        <v>243.55399</v>
      </c>
      <c r="P370" s="2">
        <f t="shared" si="11"/>
        <v>106.61624999999999</v>
      </c>
      <c r="Q370">
        <v>0</v>
      </c>
    </row>
    <row r="371" spans="1:17" x14ac:dyDescent="0.25">
      <c r="A371" s="15"/>
      <c r="B371" s="15"/>
      <c r="C371">
        <v>40</v>
      </c>
      <c r="D371">
        <v>205.2</v>
      </c>
      <c r="E371">
        <v>136.80000000000001</v>
      </c>
      <c r="F371">
        <v>728.2</v>
      </c>
      <c r="G371">
        <v>1067.5</v>
      </c>
      <c r="H371">
        <v>0</v>
      </c>
      <c r="I371">
        <v>0</v>
      </c>
      <c r="J371">
        <v>0</v>
      </c>
      <c r="K371">
        <v>0</v>
      </c>
      <c r="L371">
        <v>205.6</v>
      </c>
      <c r="M371">
        <v>14</v>
      </c>
      <c r="N371" s="10">
        <v>24.44</v>
      </c>
      <c r="O371" s="2">
        <f t="shared" si="10"/>
        <v>243.55399</v>
      </c>
      <c r="P371" s="2">
        <f t="shared" si="11"/>
        <v>106.61624999999999</v>
      </c>
      <c r="Q371">
        <v>0</v>
      </c>
    </row>
    <row r="372" spans="1:17" x14ac:dyDescent="0.25">
      <c r="A372" s="15"/>
      <c r="B372" s="15"/>
      <c r="C372">
        <v>40</v>
      </c>
      <c r="D372">
        <v>205.2</v>
      </c>
      <c r="E372">
        <v>136.80000000000001</v>
      </c>
      <c r="F372">
        <v>728.2</v>
      </c>
      <c r="G372">
        <v>1067.5</v>
      </c>
      <c r="H372">
        <v>0</v>
      </c>
      <c r="I372">
        <v>0</v>
      </c>
      <c r="J372">
        <v>0</v>
      </c>
      <c r="K372">
        <v>0</v>
      </c>
      <c r="L372">
        <v>205.6</v>
      </c>
      <c r="M372">
        <v>56</v>
      </c>
      <c r="N372" s="10">
        <v>26.82</v>
      </c>
      <c r="O372" s="2">
        <f t="shared" si="10"/>
        <v>243.55399</v>
      </c>
      <c r="P372" s="2">
        <f t="shared" si="11"/>
        <v>106.61624999999999</v>
      </c>
      <c r="Q372">
        <v>0</v>
      </c>
    </row>
    <row r="373" spans="1:17" x14ac:dyDescent="0.25">
      <c r="A373" s="15"/>
      <c r="B373" s="15"/>
      <c r="C373">
        <v>40</v>
      </c>
      <c r="D373">
        <v>205.2</v>
      </c>
      <c r="E373">
        <v>136.80000000000001</v>
      </c>
      <c r="F373">
        <v>728.2</v>
      </c>
      <c r="G373">
        <v>1067.5</v>
      </c>
      <c r="H373">
        <v>0</v>
      </c>
      <c r="I373">
        <v>0</v>
      </c>
      <c r="J373">
        <v>0</v>
      </c>
      <c r="K373">
        <v>0</v>
      </c>
      <c r="L373">
        <v>205.6</v>
      </c>
      <c r="M373">
        <v>90</v>
      </c>
      <c r="N373" s="10">
        <v>31.53</v>
      </c>
      <c r="O373" s="2">
        <f t="shared" si="10"/>
        <v>243.55399</v>
      </c>
      <c r="P373" s="2">
        <f t="shared" si="11"/>
        <v>106.61624999999999</v>
      </c>
      <c r="Q373">
        <v>0</v>
      </c>
    </row>
    <row r="374" spans="1:17" x14ac:dyDescent="0.25">
      <c r="A374" s="15"/>
      <c r="B374" s="15"/>
      <c r="C374">
        <v>45</v>
      </c>
      <c r="D374">
        <v>188.1</v>
      </c>
      <c r="E374">
        <v>153.9</v>
      </c>
      <c r="F374">
        <v>728.2</v>
      </c>
      <c r="G374">
        <v>1067.5</v>
      </c>
      <c r="H374">
        <v>0</v>
      </c>
      <c r="I374">
        <v>0</v>
      </c>
      <c r="J374">
        <v>0</v>
      </c>
      <c r="K374">
        <v>0</v>
      </c>
      <c r="L374">
        <v>205.6</v>
      </c>
      <c r="M374">
        <v>7</v>
      </c>
      <c r="N374" s="10">
        <v>18.88</v>
      </c>
      <c r="O374" s="2">
        <f t="shared" si="10"/>
        <v>231.12571</v>
      </c>
      <c r="P374" s="2">
        <f t="shared" si="11"/>
        <v>100.20375</v>
      </c>
      <c r="Q374">
        <v>0</v>
      </c>
    </row>
    <row r="375" spans="1:17" x14ac:dyDescent="0.25">
      <c r="A375" s="15"/>
      <c r="B375" s="15"/>
      <c r="C375">
        <v>45</v>
      </c>
      <c r="D375">
        <v>188.1</v>
      </c>
      <c r="E375">
        <v>153.9</v>
      </c>
      <c r="F375">
        <v>728.2</v>
      </c>
      <c r="G375">
        <v>1067.5</v>
      </c>
      <c r="H375">
        <v>0</v>
      </c>
      <c r="I375">
        <v>0</v>
      </c>
      <c r="J375">
        <v>0</v>
      </c>
      <c r="K375">
        <v>0</v>
      </c>
      <c r="L375">
        <v>205.6</v>
      </c>
      <c r="M375">
        <v>14</v>
      </c>
      <c r="N375" s="10">
        <v>21.88</v>
      </c>
      <c r="O375" s="2">
        <f t="shared" si="10"/>
        <v>231.12571</v>
      </c>
      <c r="P375" s="2">
        <f t="shared" si="11"/>
        <v>100.20375</v>
      </c>
      <c r="Q375">
        <v>0</v>
      </c>
    </row>
    <row r="376" spans="1:17" x14ac:dyDescent="0.25">
      <c r="A376" s="15"/>
      <c r="B376" s="15"/>
      <c r="C376">
        <v>45</v>
      </c>
      <c r="D376">
        <v>188.1</v>
      </c>
      <c r="E376">
        <v>153.9</v>
      </c>
      <c r="F376">
        <v>728.2</v>
      </c>
      <c r="G376">
        <v>1067.5</v>
      </c>
      <c r="H376">
        <v>0</v>
      </c>
      <c r="I376">
        <v>0</v>
      </c>
      <c r="J376">
        <v>0</v>
      </c>
      <c r="K376">
        <v>0</v>
      </c>
      <c r="L376">
        <v>205.6</v>
      </c>
      <c r="M376">
        <v>56</v>
      </c>
      <c r="N376" s="10">
        <v>28.01</v>
      </c>
      <c r="O376" s="2">
        <f t="shared" si="10"/>
        <v>231.12571</v>
      </c>
      <c r="P376" s="2">
        <f t="shared" si="11"/>
        <v>100.20375</v>
      </c>
      <c r="Q376">
        <v>0</v>
      </c>
    </row>
    <row r="377" spans="1:17" x14ac:dyDescent="0.25">
      <c r="A377" s="15"/>
      <c r="B377" s="15"/>
      <c r="C377">
        <v>45</v>
      </c>
      <c r="D377">
        <v>188.1</v>
      </c>
      <c r="E377">
        <v>153.9</v>
      </c>
      <c r="F377">
        <v>728.2</v>
      </c>
      <c r="G377">
        <v>1067.5</v>
      </c>
      <c r="H377">
        <v>0</v>
      </c>
      <c r="I377">
        <v>0</v>
      </c>
      <c r="J377">
        <v>0</v>
      </c>
      <c r="K377">
        <v>0</v>
      </c>
      <c r="L377">
        <v>205.6</v>
      </c>
      <c r="M377">
        <v>90</v>
      </c>
      <c r="N377" s="10">
        <v>25.45</v>
      </c>
      <c r="O377" s="2">
        <f t="shared" si="10"/>
        <v>231.12571</v>
      </c>
      <c r="P377" s="2">
        <f t="shared" si="11"/>
        <v>100.20375</v>
      </c>
      <c r="Q377">
        <v>0</v>
      </c>
    </row>
    <row r="378" spans="1:17" x14ac:dyDescent="0.25">
      <c r="A378" s="15"/>
      <c r="B378" s="15"/>
      <c r="C378">
        <v>50</v>
      </c>
      <c r="D378">
        <v>171</v>
      </c>
      <c r="E378">
        <v>171</v>
      </c>
      <c r="F378">
        <v>728.2</v>
      </c>
      <c r="G378">
        <v>1067.5</v>
      </c>
      <c r="H378">
        <v>0</v>
      </c>
      <c r="I378">
        <v>0</v>
      </c>
      <c r="J378">
        <v>0</v>
      </c>
      <c r="K378">
        <v>0</v>
      </c>
      <c r="L378">
        <v>205.6</v>
      </c>
      <c r="M378">
        <v>7</v>
      </c>
      <c r="N378" s="10">
        <v>20.28</v>
      </c>
      <c r="O378" s="2">
        <f t="shared" si="10"/>
        <v>218.69743000000003</v>
      </c>
      <c r="P378" s="2">
        <f t="shared" si="11"/>
        <v>93.791249999999991</v>
      </c>
      <c r="Q378">
        <v>0</v>
      </c>
    </row>
    <row r="379" spans="1:17" x14ac:dyDescent="0.25">
      <c r="A379" s="15"/>
      <c r="B379" s="15"/>
      <c r="C379">
        <v>50</v>
      </c>
      <c r="D379">
        <v>171</v>
      </c>
      <c r="E379">
        <v>171</v>
      </c>
      <c r="F379">
        <v>728.2</v>
      </c>
      <c r="G379">
        <v>1067.5</v>
      </c>
      <c r="H379">
        <v>0</v>
      </c>
      <c r="I379">
        <v>0</v>
      </c>
      <c r="J379">
        <v>0</v>
      </c>
      <c r="K379">
        <v>0</v>
      </c>
      <c r="L379">
        <v>205.6</v>
      </c>
      <c r="M379">
        <v>14</v>
      </c>
      <c r="N379" s="10">
        <v>22.02</v>
      </c>
      <c r="O379" s="2">
        <f t="shared" si="10"/>
        <v>218.69743000000003</v>
      </c>
      <c r="P379" s="2">
        <f t="shared" si="11"/>
        <v>93.791249999999991</v>
      </c>
      <c r="Q379">
        <v>0</v>
      </c>
    </row>
    <row r="380" spans="1:17" x14ac:dyDescent="0.25">
      <c r="A380" s="15"/>
      <c r="B380" s="15"/>
      <c r="C380">
        <v>50</v>
      </c>
      <c r="D380">
        <v>171</v>
      </c>
      <c r="E380">
        <v>171</v>
      </c>
      <c r="F380">
        <v>728.2</v>
      </c>
      <c r="G380">
        <v>1067.5</v>
      </c>
      <c r="H380">
        <v>0</v>
      </c>
      <c r="I380">
        <v>0</v>
      </c>
      <c r="J380">
        <v>0</v>
      </c>
      <c r="K380">
        <v>0</v>
      </c>
      <c r="L380">
        <v>205.6</v>
      </c>
      <c r="M380">
        <v>56</v>
      </c>
      <c r="N380" s="10">
        <v>26.49</v>
      </c>
      <c r="O380" s="2">
        <f t="shared" si="10"/>
        <v>218.69743000000003</v>
      </c>
      <c r="P380" s="2">
        <f t="shared" si="11"/>
        <v>93.791249999999991</v>
      </c>
      <c r="Q380">
        <v>0</v>
      </c>
    </row>
    <row r="381" spans="1:17" x14ac:dyDescent="0.25">
      <c r="A381" s="15"/>
      <c r="B381" s="15"/>
      <c r="C381">
        <v>50</v>
      </c>
      <c r="D381">
        <v>171</v>
      </c>
      <c r="E381">
        <v>171</v>
      </c>
      <c r="F381">
        <v>728.2</v>
      </c>
      <c r="G381">
        <v>1067.5</v>
      </c>
      <c r="H381">
        <v>0</v>
      </c>
      <c r="I381">
        <v>0</v>
      </c>
      <c r="J381">
        <v>0</v>
      </c>
      <c r="K381">
        <v>0</v>
      </c>
      <c r="L381">
        <v>205.6</v>
      </c>
      <c r="M381">
        <v>90</v>
      </c>
      <c r="N381" s="10">
        <v>24.32</v>
      </c>
      <c r="O381" s="2">
        <f t="shared" si="10"/>
        <v>218.69743000000003</v>
      </c>
      <c r="P381" s="2">
        <f t="shared" si="11"/>
        <v>93.791249999999991</v>
      </c>
      <c r="Q381">
        <v>0</v>
      </c>
    </row>
    <row r="382" spans="1:17" x14ac:dyDescent="0.25">
      <c r="A382" s="15" t="s">
        <v>50</v>
      </c>
      <c r="B382" s="15" t="s">
        <v>51</v>
      </c>
      <c r="C382">
        <v>0</v>
      </c>
      <c r="D382">
        <v>352.8</v>
      </c>
      <c r="E382">
        <v>0</v>
      </c>
      <c r="F382">
        <v>693</v>
      </c>
      <c r="G382">
        <v>0</v>
      </c>
      <c r="H382">
        <v>250</v>
      </c>
      <c r="I382">
        <v>0</v>
      </c>
      <c r="J382">
        <v>0</v>
      </c>
      <c r="K382">
        <v>40</v>
      </c>
      <c r="L382">
        <v>163.4</v>
      </c>
      <c r="M382">
        <v>14</v>
      </c>
      <c r="N382" s="10">
        <v>30.19</v>
      </c>
      <c r="O382" s="2">
        <f t="shared" si="10"/>
        <v>382.45670000000001</v>
      </c>
      <c r="P382" s="2">
        <f t="shared" si="11"/>
        <v>205.29374999999999</v>
      </c>
      <c r="Q382">
        <v>0</v>
      </c>
    </row>
    <row r="383" spans="1:17" x14ac:dyDescent="0.25">
      <c r="A383" s="15"/>
      <c r="B383" s="15"/>
      <c r="C383">
        <v>0</v>
      </c>
      <c r="D383">
        <v>352.8</v>
      </c>
      <c r="E383">
        <v>0</v>
      </c>
      <c r="F383">
        <v>693</v>
      </c>
      <c r="G383">
        <v>0</v>
      </c>
      <c r="H383">
        <v>250</v>
      </c>
      <c r="I383">
        <v>0</v>
      </c>
      <c r="J383">
        <v>0</v>
      </c>
      <c r="K383">
        <v>40</v>
      </c>
      <c r="L383">
        <v>163.4</v>
      </c>
      <c r="M383">
        <v>28</v>
      </c>
      <c r="N383" s="10">
        <v>33.57</v>
      </c>
      <c r="O383" s="2">
        <f t="shared" si="10"/>
        <v>382.45670000000001</v>
      </c>
      <c r="P383" s="2">
        <f t="shared" si="11"/>
        <v>205.29374999999999</v>
      </c>
      <c r="Q383">
        <v>0</v>
      </c>
    </row>
    <row r="384" spans="1:17" x14ac:dyDescent="0.25">
      <c r="A384" s="15"/>
      <c r="B384" s="15"/>
      <c r="C384">
        <v>0</v>
      </c>
      <c r="D384">
        <v>352.8</v>
      </c>
      <c r="E384">
        <v>0</v>
      </c>
      <c r="F384">
        <v>693</v>
      </c>
      <c r="G384">
        <v>0</v>
      </c>
      <c r="H384">
        <v>250</v>
      </c>
      <c r="I384">
        <v>0</v>
      </c>
      <c r="J384">
        <v>0</v>
      </c>
      <c r="K384">
        <v>40</v>
      </c>
      <c r="L384">
        <v>163.4</v>
      </c>
      <c r="M384">
        <v>56</v>
      </c>
      <c r="N384" s="10">
        <v>29.62</v>
      </c>
      <c r="O384" s="2">
        <f t="shared" si="10"/>
        <v>382.45670000000001</v>
      </c>
      <c r="P384" s="2">
        <f t="shared" si="11"/>
        <v>205.29374999999999</v>
      </c>
      <c r="Q384">
        <v>0</v>
      </c>
    </row>
    <row r="385" spans="1:17" x14ac:dyDescent="0.25">
      <c r="A385" s="15"/>
      <c r="B385" s="15"/>
      <c r="C385">
        <v>0</v>
      </c>
      <c r="D385">
        <v>352.8</v>
      </c>
      <c r="E385">
        <v>0</v>
      </c>
      <c r="F385">
        <v>693</v>
      </c>
      <c r="G385">
        <v>0</v>
      </c>
      <c r="H385">
        <v>250</v>
      </c>
      <c r="I385">
        <v>0</v>
      </c>
      <c r="J385">
        <v>0</v>
      </c>
      <c r="K385">
        <v>40</v>
      </c>
      <c r="L385">
        <v>163.4</v>
      </c>
      <c r="M385">
        <v>90</v>
      </c>
      <c r="N385" s="10">
        <v>37.25</v>
      </c>
      <c r="O385" s="2">
        <f t="shared" si="10"/>
        <v>382.45670000000001</v>
      </c>
      <c r="P385" s="2">
        <f t="shared" si="11"/>
        <v>205.29374999999999</v>
      </c>
      <c r="Q385">
        <v>0</v>
      </c>
    </row>
    <row r="386" spans="1:17" x14ac:dyDescent="0.25">
      <c r="A386" s="15"/>
      <c r="B386" s="15"/>
      <c r="C386">
        <v>5</v>
      </c>
      <c r="D386">
        <v>335.16</v>
      </c>
      <c r="E386">
        <v>17.64</v>
      </c>
      <c r="F386">
        <v>693</v>
      </c>
      <c r="G386">
        <v>0</v>
      </c>
      <c r="H386">
        <v>250</v>
      </c>
      <c r="I386">
        <v>0</v>
      </c>
      <c r="J386">
        <v>0</v>
      </c>
      <c r="K386">
        <v>40</v>
      </c>
      <c r="L386">
        <v>163.4</v>
      </c>
      <c r="M386">
        <v>14</v>
      </c>
      <c r="N386" s="10">
        <v>26.03</v>
      </c>
      <c r="O386" s="2">
        <f t="shared" ref="O386:O425" si="12">SUM((D386*0.83)+(E386*0.1032)+(F386*0.0139)+(G386*0.0459)+(K386*2))</f>
        <v>369.63594799999998</v>
      </c>
      <c r="P386" s="2">
        <f t="shared" si="11"/>
        <v>198.67875000000001</v>
      </c>
      <c r="Q386">
        <v>0</v>
      </c>
    </row>
    <row r="387" spans="1:17" x14ac:dyDescent="0.25">
      <c r="A387" s="15"/>
      <c r="B387" s="15"/>
      <c r="C387">
        <v>5</v>
      </c>
      <c r="D387">
        <v>335.16</v>
      </c>
      <c r="E387">
        <v>17.64</v>
      </c>
      <c r="F387">
        <v>693</v>
      </c>
      <c r="G387">
        <v>0</v>
      </c>
      <c r="H387">
        <v>250</v>
      </c>
      <c r="I387">
        <v>0</v>
      </c>
      <c r="J387">
        <v>0</v>
      </c>
      <c r="K387">
        <v>40</v>
      </c>
      <c r="L387">
        <v>163.4</v>
      </c>
      <c r="M387">
        <v>28</v>
      </c>
      <c r="N387" s="10">
        <v>30.59</v>
      </c>
      <c r="O387" s="2">
        <f t="shared" si="12"/>
        <v>369.63594799999998</v>
      </c>
      <c r="P387" s="2">
        <f t="shared" ref="P387:P450" si="13">SUM((D387*5)+((F387*0.25)+(G387*0.2)+(K387*20)))*0.075</f>
        <v>198.67875000000001</v>
      </c>
      <c r="Q387">
        <v>0</v>
      </c>
    </row>
    <row r="388" spans="1:17" x14ac:dyDescent="0.25">
      <c r="A388" s="15"/>
      <c r="B388" s="15"/>
      <c r="C388">
        <v>5</v>
      </c>
      <c r="D388">
        <v>335.16</v>
      </c>
      <c r="E388">
        <v>17.64</v>
      </c>
      <c r="F388">
        <v>693</v>
      </c>
      <c r="G388">
        <v>0</v>
      </c>
      <c r="H388">
        <v>250</v>
      </c>
      <c r="I388">
        <v>0</v>
      </c>
      <c r="J388">
        <v>0</v>
      </c>
      <c r="K388">
        <v>40</v>
      </c>
      <c r="L388">
        <v>163.4</v>
      </c>
      <c r="M388">
        <v>56</v>
      </c>
      <c r="N388" s="10">
        <v>34.94</v>
      </c>
      <c r="O388" s="2">
        <f t="shared" si="12"/>
        <v>369.63594799999998</v>
      </c>
      <c r="P388" s="2">
        <f t="shared" si="13"/>
        <v>198.67875000000001</v>
      </c>
      <c r="Q388">
        <v>0</v>
      </c>
    </row>
    <row r="389" spans="1:17" x14ac:dyDescent="0.25">
      <c r="A389" s="15"/>
      <c r="B389" s="15"/>
      <c r="C389">
        <v>5</v>
      </c>
      <c r="D389">
        <v>335.16</v>
      </c>
      <c r="E389">
        <v>17.64</v>
      </c>
      <c r="F389">
        <v>693</v>
      </c>
      <c r="G389">
        <v>0</v>
      </c>
      <c r="H389">
        <v>250</v>
      </c>
      <c r="I389">
        <v>0</v>
      </c>
      <c r="J389">
        <v>0</v>
      </c>
      <c r="K389">
        <v>40</v>
      </c>
      <c r="L389">
        <v>163.4</v>
      </c>
      <c r="M389">
        <v>90</v>
      </c>
      <c r="N389" s="10">
        <v>31.08</v>
      </c>
      <c r="O389" s="2">
        <f t="shared" si="12"/>
        <v>369.63594799999998</v>
      </c>
      <c r="P389" s="2">
        <f t="shared" si="13"/>
        <v>198.67875000000001</v>
      </c>
      <c r="Q389">
        <v>0</v>
      </c>
    </row>
    <row r="390" spans="1:17" x14ac:dyDescent="0.25">
      <c r="A390" s="15"/>
      <c r="B390" s="15"/>
      <c r="C390">
        <v>10</v>
      </c>
      <c r="D390">
        <v>317.52</v>
      </c>
      <c r="E390">
        <v>35.28</v>
      </c>
      <c r="F390">
        <v>693</v>
      </c>
      <c r="G390">
        <v>0</v>
      </c>
      <c r="H390">
        <v>250</v>
      </c>
      <c r="I390">
        <v>0</v>
      </c>
      <c r="J390">
        <v>0</v>
      </c>
      <c r="K390">
        <v>40</v>
      </c>
      <c r="L390">
        <v>163.4</v>
      </c>
      <c r="M390">
        <v>14</v>
      </c>
      <c r="N390" s="10">
        <v>26.81</v>
      </c>
      <c r="O390" s="2">
        <f t="shared" si="12"/>
        <v>356.81519599999996</v>
      </c>
      <c r="P390" s="2">
        <f t="shared" si="13"/>
        <v>192.06375</v>
      </c>
      <c r="Q390">
        <v>0</v>
      </c>
    </row>
    <row r="391" spans="1:17" x14ac:dyDescent="0.25">
      <c r="A391" s="15"/>
      <c r="B391" s="15"/>
      <c r="C391">
        <v>10</v>
      </c>
      <c r="D391">
        <v>317.52</v>
      </c>
      <c r="E391">
        <v>35.28</v>
      </c>
      <c r="F391">
        <v>693</v>
      </c>
      <c r="G391">
        <v>0</v>
      </c>
      <c r="H391">
        <v>250</v>
      </c>
      <c r="I391">
        <v>0</v>
      </c>
      <c r="J391">
        <v>0</v>
      </c>
      <c r="K391">
        <v>40</v>
      </c>
      <c r="L391">
        <v>163.4</v>
      </c>
      <c r="M391">
        <v>28</v>
      </c>
      <c r="N391" s="10">
        <v>26.76</v>
      </c>
      <c r="O391" s="2">
        <f t="shared" si="12"/>
        <v>356.81519599999996</v>
      </c>
      <c r="P391" s="2">
        <f t="shared" si="13"/>
        <v>192.06375</v>
      </c>
      <c r="Q391">
        <v>0</v>
      </c>
    </row>
    <row r="392" spans="1:17" x14ac:dyDescent="0.25">
      <c r="A392" s="15"/>
      <c r="B392" s="15"/>
      <c r="C392">
        <v>10</v>
      </c>
      <c r="D392">
        <v>317.52</v>
      </c>
      <c r="E392">
        <v>35.28</v>
      </c>
      <c r="F392">
        <v>693</v>
      </c>
      <c r="G392">
        <v>0</v>
      </c>
      <c r="H392">
        <v>250</v>
      </c>
      <c r="I392">
        <v>0</v>
      </c>
      <c r="J392">
        <v>0</v>
      </c>
      <c r="K392">
        <v>40</v>
      </c>
      <c r="L392">
        <v>163.4</v>
      </c>
      <c r="M392">
        <v>56</v>
      </c>
      <c r="N392" s="10">
        <v>30.96</v>
      </c>
      <c r="O392" s="2">
        <f t="shared" si="12"/>
        <v>356.81519599999996</v>
      </c>
      <c r="P392" s="2">
        <f t="shared" si="13"/>
        <v>192.06375</v>
      </c>
      <c r="Q392">
        <v>0</v>
      </c>
    </row>
    <row r="393" spans="1:17" x14ac:dyDescent="0.25">
      <c r="A393" s="15"/>
      <c r="B393" s="15"/>
      <c r="C393">
        <v>10</v>
      </c>
      <c r="D393">
        <v>317.52</v>
      </c>
      <c r="E393">
        <v>35.28</v>
      </c>
      <c r="F393">
        <v>693</v>
      </c>
      <c r="G393">
        <v>0</v>
      </c>
      <c r="H393">
        <v>250</v>
      </c>
      <c r="I393">
        <v>0</v>
      </c>
      <c r="J393">
        <v>0</v>
      </c>
      <c r="K393">
        <v>40</v>
      </c>
      <c r="L393">
        <v>163.4</v>
      </c>
      <c r="M393">
        <v>90</v>
      </c>
      <c r="N393" s="10">
        <v>31.17</v>
      </c>
      <c r="O393" s="2">
        <f t="shared" si="12"/>
        <v>356.81519599999996</v>
      </c>
      <c r="P393" s="2">
        <f t="shared" si="13"/>
        <v>192.06375</v>
      </c>
      <c r="Q393">
        <v>0</v>
      </c>
    </row>
    <row r="394" spans="1:17" x14ac:dyDescent="0.25">
      <c r="A394" s="15"/>
      <c r="B394" s="15"/>
      <c r="C394">
        <v>15</v>
      </c>
      <c r="D394">
        <v>299.88</v>
      </c>
      <c r="E394">
        <v>52.92</v>
      </c>
      <c r="F394">
        <v>693</v>
      </c>
      <c r="G394">
        <v>0</v>
      </c>
      <c r="H394">
        <v>250</v>
      </c>
      <c r="I394">
        <v>0</v>
      </c>
      <c r="J394">
        <v>0</v>
      </c>
      <c r="K394">
        <v>40</v>
      </c>
      <c r="L394">
        <v>163.4</v>
      </c>
      <c r="M394">
        <v>14</v>
      </c>
      <c r="N394" s="10">
        <v>23.6</v>
      </c>
      <c r="O394" s="2">
        <f t="shared" si="12"/>
        <v>343.99444399999999</v>
      </c>
      <c r="P394" s="2">
        <f t="shared" si="13"/>
        <v>185.44874999999999</v>
      </c>
      <c r="Q394">
        <v>0</v>
      </c>
    </row>
    <row r="395" spans="1:17" x14ac:dyDescent="0.25">
      <c r="A395" s="15"/>
      <c r="B395" s="15"/>
      <c r="C395">
        <v>15</v>
      </c>
      <c r="D395">
        <v>299.88</v>
      </c>
      <c r="E395">
        <v>52.92</v>
      </c>
      <c r="F395">
        <v>693</v>
      </c>
      <c r="G395">
        <v>0</v>
      </c>
      <c r="H395">
        <v>250</v>
      </c>
      <c r="I395">
        <v>0</v>
      </c>
      <c r="J395">
        <v>0</v>
      </c>
      <c r="K395">
        <v>40</v>
      </c>
      <c r="L395">
        <v>163.4</v>
      </c>
      <c r="M395">
        <v>28</v>
      </c>
      <c r="N395" s="10">
        <v>29.83</v>
      </c>
      <c r="O395" s="2">
        <f t="shared" si="12"/>
        <v>343.99444399999999</v>
      </c>
      <c r="P395" s="2">
        <f t="shared" si="13"/>
        <v>185.44874999999999</v>
      </c>
      <c r="Q395">
        <v>0</v>
      </c>
    </row>
    <row r="396" spans="1:17" x14ac:dyDescent="0.25">
      <c r="A396" s="15"/>
      <c r="B396" s="15"/>
      <c r="C396">
        <v>15</v>
      </c>
      <c r="D396">
        <v>299.88</v>
      </c>
      <c r="E396">
        <v>52.92</v>
      </c>
      <c r="F396">
        <v>693</v>
      </c>
      <c r="G396">
        <v>0</v>
      </c>
      <c r="H396">
        <v>250</v>
      </c>
      <c r="I396">
        <v>0</v>
      </c>
      <c r="J396">
        <v>0</v>
      </c>
      <c r="K396">
        <v>40</v>
      </c>
      <c r="L396">
        <v>163.4</v>
      </c>
      <c r="M396">
        <v>56</v>
      </c>
      <c r="N396" s="10">
        <v>28.2</v>
      </c>
      <c r="O396" s="2">
        <f t="shared" si="12"/>
        <v>343.99444399999999</v>
      </c>
      <c r="P396" s="2">
        <f t="shared" si="13"/>
        <v>185.44874999999999</v>
      </c>
      <c r="Q396">
        <v>0</v>
      </c>
    </row>
    <row r="397" spans="1:17" x14ac:dyDescent="0.25">
      <c r="A397" s="15"/>
      <c r="B397" s="15"/>
      <c r="C397">
        <v>15</v>
      </c>
      <c r="D397">
        <v>299.88</v>
      </c>
      <c r="E397">
        <v>52.92</v>
      </c>
      <c r="F397">
        <v>693</v>
      </c>
      <c r="G397">
        <v>0</v>
      </c>
      <c r="H397">
        <v>250</v>
      </c>
      <c r="I397">
        <v>0</v>
      </c>
      <c r="J397">
        <v>0</v>
      </c>
      <c r="K397">
        <v>40</v>
      </c>
      <c r="L397">
        <v>163.4</v>
      </c>
      <c r="M397">
        <v>90</v>
      </c>
      <c r="N397" s="10">
        <v>30.34</v>
      </c>
      <c r="O397" s="2">
        <f t="shared" si="12"/>
        <v>343.99444399999999</v>
      </c>
      <c r="P397" s="2">
        <f t="shared" si="13"/>
        <v>185.44874999999999</v>
      </c>
      <c r="Q397">
        <v>0</v>
      </c>
    </row>
    <row r="398" spans="1:17" x14ac:dyDescent="0.25">
      <c r="A398" s="15"/>
      <c r="B398" s="15"/>
      <c r="C398">
        <v>20</v>
      </c>
      <c r="D398">
        <v>282.24</v>
      </c>
      <c r="E398">
        <v>70.56</v>
      </c>
      <c r="F398">
        <v>693</v>
      </c>
      <c r="G398">
        <v>0</v>
      </c>
      <c r="H398">
        <v>250</v>
      </c>
      <c r="I398">
        <v>0</v>
      </c>
      <c r="J398">
        <v>0</v>
      </c>
      <c r="K398">
        <v>40</v>
      </c>
      <c r="L398">
        <v>163.4</v>
      </c>
      <c r="M398">
        <v>14</v>
      </c>
      <c r="N398" s="10">
        <v>21.71</v>
      </c>
      <c r="O398" s="2">
        <f t="shared" si="12"/>
        <v>331.17369199999996</v>
      </c>
      <c r="P398" s="2">
        <f t="shared" si="13"/>
        <v>178.83374999999998</v>
      </c>
      <c r="Q398">
        <v>0</v>
      </c>
    </row>
    <row r="399" spans="1:17" x14ac:dyDescent="0.25">
      <c r="A399" s="15"/>
      <c r="B399" s="15"/>
      <c r="C399">
        <v>20</v>
      </c>
      <c r="D399">
        <v>282.24</v>
      </c>
      <c r="E399">
        <v>70.56</v>
      </c>
      <c r="F399">
        <v>693</v>
      </c>
      <c r="G399">
        <v>0</v>
      </c>
      <c r="H399">
        <v>250</v>
      </c>
      <c r="I399">
        <v>0</v>
      </c>
      <c r="J399">
        <v>0</v>
      </c>
      <c r="K399">
        <v>40</v>
      </c>
      <c r="L399">
        <v>163.4</v>
      </c>
      <c r="M399">
        <v>28</v>
      </c>
      <c r="N399" s="10">
        <v>24.83</v>
      </c>
      <c r="O399" s="2">
        <f t="shared" si="12"/>
        <v>331.17369199999996</v>
      </c>
      <c r="P399" s="2">
        <f t="shared" si="13"/>
        <v>178.83374999999998</v>
      </c>
      <c r="Q399">
        <v>0</v>
      </c>
    </row>
    <row r="400" spans="1:17" x14ac:dyDescent="0.25">
      <c r="A400" s="15"/>
      <c r="B400" s="15"/>
      <c r="C400">
        <v>20</v>
      </c>
      <c r="D400">
        <v>282.24</v>
      </c>
      <c r="E400">
        <v>70.56</v>
      </c>
      <c r="F400">
        <v>693</v>
      </c>
      <c r="G400">
        <v>0</v>
      </c>
      <c r="H400">
        <v>250</v>
      </c>
      <c r="I400">
        <v>0</v>
      </c>
      <c r="J400">
        <v>0</v>
      </c>
      <c r="K400">
        <v>40</v>
      </c>
      <c r="L400">
        <v>163.4</v>
      </c>
      <c r="M400">
        <v>56</v>
      </c>
      <c r="N400" s="10">
        <v>29.21</v>
      </c>
      <c r="O400" s="2">
        <f t="shared" si="12"/>
        <v>331.17369199999996</v>
      </c>
      <c r="P400" s="2">
        <f t="shared" si="13"/>
        <v>178.83374999999998</v>
      </c>
      <c r="Q400">
        <v>0</v>
      </c>
    </row>
    <row r="401" spans="1:17" x14ac:dyDescent="0.25">
      <c r="A401" s="15"/>
      <c r="B401" s="15"/>
      <c r="C401">
        <v>20</v>
      </c>
      <c r="D401">
        <v>282.24</v>
      </c>
      <c r="E401">
        <v>70.56</v>
      </c>
      <c r="F401">
        <v>693</v>
      </c>
      <c r="G401">
        <v>0</v>
      </c>
      <c r="H401">
        <v>250</v>
      </c>
      <c r="I401">
        <v>0</v>
      </c>
      <c r="J401">
        <v>0</v>
      </c>
      <c r="K401">
        <v>40</v>
      </c>
      <c r="L401">
        <v>163.4</v>
      </c>
      <c r="M401">
        <v>90</v>
      </c>
      <c r="N401" s="10">
        <v>30.95</v>
      </c>
      <c r="O401" s="2">
        <f t="shared" si="12"/>
        <v>331.17369199999996</v>
      </c>
      <c r="P401" s="2">
        <f t="shared" si="13"/>
        <v>178.83374999999998</v>
      </c>
      <c r="Q401">
        <v>0</v>
      </c>
    </row>
    <row r="402" spans="1:17" x14ac:dyDescent="0.25">
      <c r="A402" s="15"/>
      <c r="B402" s="15"/>
      <c r="C402">
        <v>25</v>
      </c>
      <c r="D402">
        <v>264.60000000000002</v>
      </c>
      <c r="E402">
        <v>88.2</v>
      </c>
      <c r="F402">
        <v>693</v>
      </c>
      <c r="G402">
        <v>0</v>
      </c>
      <c r="H402">
        <v>250</v>
      </c>
      <c r="I402">
        <v>0</v>
      </c>
      <c r="J402">
        <v>0</v>
      </c>
      <c r="K402">
        <v>40</v>
      </c>
      <c r="L402">
        <v>163.4</v>
      </c>
      <c r="M402">
        <v>14</v>
      </c>
      <c r="N402" s="10">
        <v>23.23</v>
      </c>
      <c r="O402" s="2">
        <f t="shared" si="12"/>
        <v>318.35293999999999</v>
      </c>
      <c r="P402" s="2">
        <f t="shared" si="13"/>
        <v>172.21875</v>
      </c>
      <c r="Q402">
        <v>0</v>
      </c>
    </row>
    <row r="403" spans="1:17" x14ac:dyDescent="0.25">
      <c r="A403" s="15"/>
      <c r="B403" s="15"/>
      <c r="C403">
        <v>25</v>
      </c>
      <c r="D403">
        <v>264.60000000000002</v>
      </c>
      <c r="E403">
        <v>88.2</v>
      </c>
      <c r="F403">
        <v>693</v>
      </c>
      <c r="G403">
        <v>0</v>
      </c>
      <c r="H403">
        <v>250</v>
      </c>
      <c r="I403">
        <v>0</v>
      </c>
      <c r="J403">
        <v>0</v>
      </c>
      <c r="K403">
        <v>40</v>
      </c>
      <c r="L403">
        <v>163.4</v>
      </c>
      <c r="M403">
        <v>28</v>
      </c>
      <c r="N403" s="10">
        <v>28.61</v>
      </c>
      <c r="O403" s="2">
        <f t="shared" si="12"/>
        <v>318.35293999999999</v>
      </c>
      <c r="P403" s="2">
        <f t="shared" si="13"/>
        <v>172.21875</v>
      </c>
      <c r="Q403">
        <v>0</v>
      </c>
    </row>
    <row r="404" spans="1:17" x14ac:dyDescent="0.25">
      <c r="A404" s="15"/>
      <c r="B404" s="15"/>
      <c r="C404">
        <v>25</v>
      </c>
      <c r="D404">
        <v>264.60000000000002</v>
      </c>
      <c r="E404">
        <v>88.2</v>
      </c>
      <c r="F404">
        <v>693</v>
      </c>
      <c r="G404">
        <v>0</v>
      </c>
      <c r="H404">
        <v>250</v>
      </c>
      <c r="I404">
        <v>0</v>
      </c>
      <c r="J404">
        <v>0</v>
      </c>
      <c r="K404">
        <v>40</v>
      </c>
      <c r="L404">
        <v>163.4</v>
      </c>
      <c r="M404">
        <v>56</v>
      </c>
      <c r="N404" s="10">
        <v>29.74</v>
      </c>
      <c r="O404" s="2">
        <f t="shared" si="12"/>
        <v>318.35293999999999</v>
      </c>
      <c r="P404" s="2">
        <f t="shared" si="13"/>
        <v>172.21875</v>
      </c>
      <c r="Q404">
        <v>0</v>
      </c>
    </row>
    <row r="405" spans="1:17" x14ac:dyDescent="0.25">
      <c r="A405" s="15"/>
      <c r="B405" s="15"/>
      <c r="C405">
        <v>25</v>
      </c>
      <c r="D405">
        <v>264.60000000000002</v>
      </c>
      <c r="E405">
        <v>88.2</v>
      </c>
      <c r="F405">
        <v>693</v>
      </c>
      <c r="G405">
        <v>0</v>
      </c>
      <c r="H405">
        <v>250</v>
      </c>
      <c r="I405">
        <v>0</v>
      </c>
      <c r="J405">
        <v>0</v>
      </c>
      <c r="K405">
        <v>40</v>
      </c>
      <c r="L405">
        <v>163.4</v>
      </c>
      <c r="M405">
        <v>90</v>
      </c>
      <c r="N405" s="10">
        <v>27.26</v>
      </c>
      <c r="O405" s="2">
        <f t="shared" si="12"/>
        <v>318.35293999999999</v>
      </c>
      <c r="P405" s="2">
        <f t="shared" si="13"/>
        <v>172.21875</v>
      </c>
      <c r="Q405">
        <v>0</v>
      </c>
    </row>
    <row r="406" spans="1:17" x14ac:dyDescent="0.25">
      <c r="A406" s="15"/>
      <c r="B406" s="15"/>
      <c r="C406">
        <v>30</v>
      </c>
      <c r="D406">
        <v>246.96</v>
      </c>
      <c r="E406">
        <v>105.84</v>
      </c>
      <c r="F406">
        <v>693</v>
      </c>
      <c r="G406">
        <v>0</v>
      </c>
      <c r="H406">
        <v>250</v>
      </c>
      <c r="I406">
        <v>0</v>
      </c>
      <c r="J406">
        <v>0</v>
      </c>
      <c r="K406">
        <v>40</v>
      </c>
      <c r="L406">
        <v>163.4</v>
      </c>
      <c r="M406">
        <v>14</v>
      </c>
      <c r="N406" s="10">
        <v>26.01</v>
      </c>
      <c r="O406" s="2">
        <f t="shared" si="12"/>
        <v>305.53218800000002</v>
      </c>
      <c r="P406" s="2">
        <f t="shared" si="13"/>
        <v>165.60375000000002</v>
      </c>
      <c r="Q406">
        <v>0</v>
      </c>
    </row>
    <row r="407" spans="1:17" x14ac:dyDescent="0.25">
      <c r="A407" s="15"/>
      <c r="B407" s="15"/>
      <c r="C407">
        <v>30</v>
      </c>
      <c r="D407">
        <v>246.96</v>
      </c>
      <c r="E407">
        <v>105.84</v>
      </c>
      <c r="F407">
        <v>693</v>
      </c>
      <c r="G407">
        <v>0</v>
      </c>
      <c r="H407">
        <v>250</v>
      </c>
      <c r="I407">
        <v>0</v>
      </c>
      <c r="J407">
        <v>0</v>
      </c>
      <c r="K407">
        <v>40</v>
      </c>
      <c r="L407">
        <v>163.4</v>
      </c>
      <c r="M407">
        <v>28</v>
      </c>
      <c r="N407" s="10">
        <v>23.17</v>
      </c>
      <c r="O407" s="2">
        <f t="shared" si="12"/>
        <v>305.53218800000002</v>
      </c>
      <c r="P407" s="2">
        <f t="shared" si="13"/>
        <v>165.60375000000002</v>
      </c>
      <c r="Q407">
        <v>0</v>
      </c>
    </row>
    <row r="408" spans="1:17" x14ac:dyDescent="0.25">
      <c r="A408" s="15"/>
      <c r="B408" s="15"/>
      <c r="C408">
        <v>30</v>
      </c>
      <c r="D408">
        <v>246.96</v>
      </c>
      <c r="E408">
        <v>105.84</v>
      </c>
      <c r="F408">
        <v>693</v>
      </c>
      <c r="G408">
        <v>0</v>
      </c>
      <c r="H408">
        <v>250</v>
      </c>
      <c r="I408">
        <v>0</v>
      </c>
      <c r="J408">
        <v>0</v>
      </c>
      <c r="K408">
        <v>40</v>
      </c>
      <c r="L408">
        <v>163.4</v>
      </c>
      <c r="M408">
        <v>56</v>
      </c>
      <c r="N408" s="10">
        <v>27.63</v>
      </c>
      <c r="O408" s="2">
        <f t="shared" si="12"/>
        <v>305.53218800000002</v>
      </c>
      <c r="P408" s="2">
        <f t="shared" si="13"/>
        <v>165.60375000000002</v>
      </c>
      <c r="Q408">
        <v>0</v>
      </c>
    </row>
    <row r="409" spans="1:17" x14ac:dyDescent="0.25">
      <c r="A409" s="15"/>
      <c r="B409" s="15"/>
      <c r="C409">
        <v>30</v>
      </c>
      <c r="D409">
        <v>246.96</v>
      </c>
      <c r="E409">
        <v>105.84</v>
      </c>
      <c r="F409">
        <v>693</v>
      </c>
      <c r="G409">
        <v>0</v>
      </c>
      <c r="H409">
        <v>250</v>
      </c>
      <c r="I409">
        <v>0</v>
      </c>
      <c r="J409">
        <v>0</v>
      </c>
      <c r="K409">
        <v>40</v>
      </c>
      <c r="L409">
        <v>163.4</v>
      </c>
      <c r="M409">
        <v>90</v>
      </c>
      <c r="N409" s="10">
        <v>29.2</v>
      </c>
      <c r="O409" s="2">
        <f t="shared" si="12"/>
        <v>305.53218800000002</v>
      </c>
      <c r="P409" s="2">
        <f t="shared" si="13"/>
        <v>165.60375000000002</v>
      </c>
      <c r="Q409">
        <v>0</v>
      </c>
    </row>
    <row r="410" spans="1:17" x14ac:dyDescent="0.25">
      <c r="A410" s="15"/>
      <c r="B410" s="15"/>
      <c r="C410">
        <v>35</v>
      </c>
      <c r="D410">
        <v>229.32</v>
      </c>
      <c r="E410">
        <v>123.48</v>
      </c>
      <c r="F410">
        <v>693</v>
      </c>
      <c r="G410">
        <v>0</v>
      </c>
      <c r="H410">
        <v>250</v>
      </c>
      <c r="I410">
        <v>0</v>
      </c>
      <c r="J410">
        <v>0</v>
      </c>
      <c r="K410">
        <v>40</v>
      </c>
      <c r="L410">
        <v>163.4</v>
      </c>
      <c r="M410">
        <v>14</v>
      </c>
      <c r="N410" s="10">
        <v>19.440000000000001</v>
      </c>
      <c r="O410" s="2">
        <f t="shared" si="12"/>
        <v>292.71143599999994</v>
      </c>
      <c r="P410" s="2">
        <f t="shared" si="13"/>
        <v>158.98874999999998</v>
      </c>
      <c r="Q410">
        <v>0</v>
      </c>
    </row>
    <row r="411" spans="1:17" x14ac:dyDescent="0.25">
      <c r="A411" s="15"/>
      <c r="B411" s="15"/>
      <c r="C411">
        <v>35</v>
      </c>
      <c r="D411">
        <v>229.32</v>
      </c>
      <c r="E411">
        <v>123.48</v>
      </c>
      <c r="F411">
        <v>693</v>
      </c>
      <c r="G411">
        <v>0</v>
      </c>
      <c r="H411">
        <v>250</v>
      </c>
      <c r="I411">
        <v>0</v>
      </c>
      <c r="J411">
        <v>0</v>
      </c>
      <c r="K411">
        <v>40</v>
      </c>
      <c r="L411">
        <v>163.4</v>
      </c>
      <c r="M411">
        <v>28</v>
      </c>
      <c r="N411" s="10">
        <v>26.43</v>
      </c>
      <c r="O411" s="2">
        <f t="shared" si="12"/>
        <v>292.71143599999994</v>
      </c>
      <c r="P411" s="2">
        <f t="shared" si="13"/>
        <v>158.98874999999998</v>
      </c>
      <c r="Q411">
        <v>0</v>
      </c>
    </row>
    <row r="412" spans="1:17" x14ac:dyDescent="0.25">
      <c r="A412" s="15"/>
      <c r="B412" s="15"/>
      <c r="C412">
        <v>35</v>
      </c>
      <c r="D412">
        <v>229.32</v>
      </c>
      <c r="E412">
        <v>123.48</v>
      </c>
      <c r="F412">
        <v>693</v>
      </c>
      <c r="G412">
        <v>0</v>
      </c>
      <c r="H412">
        <v>250</v>
      </c>
      <c r="I412">
        <v>0</v>
      </c>
      <c r="J412">
        <v>0</v>
      </c>
      <c r="K412">
        <v>40</v>
      </c>
      <c r="L412">
        <v>163.4</v>
      </c>
      <c r="M412">
        <v>56</v>
      </c>
      <c r="N412" s="10">
        <v>26.01</v>
      </c>
      <c r="O412" s="2">
        <f t="shared" si="12"/>
        <v>292.71143599999994</v>
      </c>
      <c r="P412" s="2">
        <f t="shared" si="13"/>
        <v>158.98874999999998</v>
      </c>
      <c r="Q412">
        <v>0</v>
      </c>
    </row>
    <row r="413" spans="1:17" x14ac:dyDescent="0.25">
      <c r="A413" s="15"/>
      <c r="B413" s="15"/>
      <c r="C413">
        <v>35</v>
      </c>
      <c r="D413">
        <v>229.32</v>
      </c>
      <c r="E413">
        <v>123.48</v>
      </c>
      <c r="F413">
        <v>693</v>
      </c>
      <c r="G413">
        <v>0</v>
      </c>
      <c r="H413">
        <v>250</v>
      </c>
      <c r="I413">
        <v>0</v>
      </c>
      <c r="J413">
        <v>0</v>
      </c>
      <c r="K413">
        <v>40</v>
      </c>
      <c r="L413">
        <v>163.4</v>
      </c>
      <c r="M413">
        <v>90</v>
      </c>
      <c r="N413" s="10">
        <v>28.5</v>
      </c>
      <c r="O413" s="2">
        <f t="shared" si="12"/>
        <v>292.71143599999994</v>
      </c>
      <c r="P413" s="2">
        <f t="shared" si="13"/>
        <v>158.98874999999998</v>
      </c>
      <c r="Q413">
        <v>0</v>
      </c>
    </row>
    <row r="414" spans="1:17" x14ac:dyDescent="0.25">
      <c r="A414" s="15"/>
      <c r="B414" s="15"/>
      <c r="C414">
        <v>40</v>
      </c>
      <c r="D414">
        <v>211.68</v>
      </c>
      <c r="E414">
        <v>141.12</v>
      </c>
      <c r="F414">
        <v>693</v>
      </c>
      <c r="G414">
        <v>0</v>
      </c>
      <c r="H414">
        <v>250</v>
      </c>
      <c r="I414">
        <v>0</v>
      </c>
      <c r="J414">
        <v>0</v>
      </c>
      <c r="K414">
        <v>40</v>
      </c>
      <c r="L414">
        <v>163.4</v>
      </c>
      <c r="M414">
        <v>14</v>
      </c>
      <c r="N414" s="10">
        <v>21.13</v>
      </c>
      <c r="O414" s="2">
        <f t="shared" si="12"/>
        <v>279.89068399999996</v>
      </c>
      <c r="P414" s="2">
        <f t="shared" si="13"/>
        <v>152.37375</v>
      </c>
      <c r="Q414">
        <v>0</v>
      </c>
    </row>
    <row r="415" spans="1:17" x14ac:dyDescent="0.25">
      <c r="A415" s="15"/>
      <c r="B415" s="15"/>
      <c r="C415">
        <v>40</v>
      </c>
      <c r="D415">
        <v>211.68</v>
      </c>
      <c r="E415">
        <v>141.12</v>
      </c>
      <c r="F415">
        <v>693</v>
      </c>
      <c r="G415">
        <v>0</v>
      </c>
      <c r="H415">
        <v>250</v>
      </c>
      <c r="I415">
        <v>0</v>
      </c>
      <c r="J415">
        <v>0</v>
      </c>
      <c r="K415">
        <v>40</v>
      </c>
      <c r="L415">
        <v>163.4</v>
      </c>
      <c r="M415">
        <v>28</v>
      </c>
      <c r="N415" s="10">
        <v>22.51</v>
      </c>
      <c r="O415" s="2">
        <f t="shared" si="12"/>
        <v>279.89068399999996</v>
      </c>
      <c r="P415" s="2">
        <f t="shared" si="13"/>
        <v>152.37375</v>
      </c>
      <c r="Q415">
        <v>0</v>
      </c>
    </row>
    <row r="416" spans="1:17" x14ac:dyDescent="0.25">
      <c r="A416" s="15"/>
      <c r="B416" s="15"/>
      <c r="C416">
        <v>40</v>
      </c>
      <c r="D416">
        <v>211.68</v>
      </c>
      <c r="E416">
        <v>141.12</v>
      </c>
      <c r="F416">
        <v>693</v>
      </c>
      <c r="G416">
        <v>0</v>
      </c>
      <c r="H416">
        <v>250</v>
      </c>
      <c r="I416">
        <v>0</v>
      </c>
      <c r="J416">
        <v>0</v>
      </c>
      <c r="K416">
        <v>40</v>
      </c>
      <c r="L416">
        <v>163.4</v>
      </c>
      <c r="M416">
        <v>56</v>
      </c>
      <c r="N416" s="10">
        <v>23.07</v>
      </c>
      <c r="O416" s="2">
        <f t="shared" si="12"/>
        <v>279.89068399999996</v>
      </c>
      <c r="P416" s="2">
        <f t="shared" si="13"/>
        <v>152.37375</v>
      </c>
      <c r="Q416">
        <v>0</v>
      </c>
    </row>
    <row r="417" spans="1:17" x14ac:dyDescent="0.25">
      <c r="A417" s="15"/>
      <c r="B417" s="15"/>
      <c r="C417">
        <v>40</v>
      </c>
      <c r="D417">
        <v>211.68</v>
      </c>
      <c r="E417">
        <v>141.12</v>
      </c>
      <c r="F417">
        <v>693</v>
      </c>
      <c r="G417">
        <v>0</v>
      </c>
      <c r="H417">
        <v>250</v>
      </c>
      <c r="I417">
        <v>0</v>
      </c>
      <c r="J417">
        <v>0</v>
      </c>
      <c r="K417">
        <v>40</v>
      </c>
      <c r="L417">
        <v>163.4</v>
      </c>
      <c r="M417">
        <v>90</v>
      </c>
      <c r="N417" s="10">
        <v>26.08</v>
      </c>
      <c r="O417" s="2">
        <f t="shared" si="12"/>
        <v>279.89068399999996</v>
      </c>
      <c r="P417" s="2">
        <f t="shared" si="13"/>
        <v>152.37375</v>
      </c>
      <c r="Q417">
        <v>0</v>
      </c>
    </row>
    <row r="418" spans="1:17" x14ac:dyDescent="0.25">
      <c r="A418" s="15"/>
      <c r="B418" s="15"/>
      <c r="C418">
        <v>45</v>
      </c>
      <c r="D418">
        <v>194.04</v>
      </c>
      <c r="E418">
        <v>158.76</v>
      </c>
      <c r="F418">
        <v>693</v>
      </c>
      <c r="G418">
        <v>0</v>
      </c>
      <c r="H418">
        <v>250</v>
      </c>
      <c r="I418">
        <v>0</v>
      </c>
      <c r="J418">
        <v>0</v>
      </c>
      <c r="K418">
        <v>40</v>
      </c>
      <c r="L418">
        <v>163.4</v>
      </c>
      <c r="M418">
        <v>14</v>
      </c>
      <c r="N418" s="10">
        <v>19.670000000000002</v>
      </c>
      <c r="O418" s="2">
        <f t="shared" si="12"/>
        <v>267.06993199999999</v>
      </c>
      <c r="P418" s="2">
        <f t="shared" si="13"/>
        <v>145.75874999999999</v>
      </c>
      <c r="Q418">
        <v>0</v>
      </c>
    </row>
    <row r="419" spans="1:17" x14ac:dyDescent="0.25">
      <c r="A419" s="15"/>
      <c r="B419" s="15"/>
      <c r="C419">
        <v>45</v>
      </c>
      <c r="D419">
        <v>194.04</v>
      </c>
      <c r="E419">
        <v>158.76</v>
      </c>
      <c r="F419">
        <v>693</v>
      </c>
      <c r="G419">
        <v>0</v>
      </c>
      <c r="H419">
        <v>250</v>
      </c>
      <c r="I419">
        <v>0</v>
      </c>
      <c r="J419">
        <v>0</v>
      </c>
      <c r="K419">
        <v>40</v>
      </c>
      <c r="L419">
        <v>163.4</v>
      </c>
      <c r="M419">
        <v>28</v>
      </c>
      <c r="N419" s="10">
        <v>23.92</v>
      </c>
      <c r="O419" s="2">
        <f t="shared" si="12"/>
        <v>267.06993199999999</v>
      </c>
      <c r="P419" s="2">
        <f t="shared" si="13"/>
        <v>145.75874999999999</v>
      </c>
      <c r="Q419">
        <v>0</v>
      </c>
    </row>
    <row r="420" spans="1:17" x14ac:dyDescent="0.25">
      <c r="A420" s="15"/>
      <c r="B420" s="15"/>
      <c r="C420">
        <v>45</v>
      </c>
      <c r="D420">
        <v>194.04</v>
      </c>
      <c r="E420">
        <v>158.76</v>
      </c>
      <c r="F420">
        <v>693</v>
      </c>
      <c r="G420">
        <v>0</v>
      </c>
      <c r="H420">
        <v>250</v>
      </c>
      <c r="I420">
        <v>0</v>
      </c>
      <c r="J420">
        <v>0</v>
      </c>
      <c r="K420">
        <v>40</v>
      </c>
      <c r="L420">
        <v>163.4</v>
      </c>
      <c r="M420">
        <v>56</v>
      </c>
      <c r="N420" s="10">
        <v>20.9</v>
      </c>
      <c r="O420" s="2">
        <f t="shared" si="12"/>
        <v>267.06993199999999</v>
      </c>
      <c r="P420" s="2">
        <f t="shared" si="13"/>
        <v>145.75874999999999</v>
      </c>
      <c r="Q420">
        <v>0</v>
      </c>
    </row>
    <row r="421" spans="1:17" x14ac:dyDescent="0.25">
      <c r="A421" s="15"/>
      <c r="B421" s="15"/>
      <c r="C421">
        <v>45</v>
      </c>
      <c r="D421">
        <v>194.04</v>
      </c>
      <c r="E421">
        <v>158.76</v>
      </c>
      <c r="F421">
        <v>693</v>
      </c>
      <c r="G421">
        <v>0</v>
      </c>
      <c r="H421">
        <v>250</v>
      </c>
      <c r="I421">
        <v>0</v>
      </c>
      <c r="J421">
        <v>0</v>
      </c>
      <c r="K421">
        <v>40</v>
      </c>
      <c r="L421">
        <v>163.4</v>
      </c>
      <c r="M421">
        <v>90</v>
      </c>
      <c r="N421" s="10">
        <v>28.15</v>
      </c>
      <c r="O421" s="2">
        <f t="shared" si="12"/>
        <v>267.06993199999999</v>
      </c>
      <c r="P421" s="2">
        <f t="shared" si="13"/>
        <v>145.75874999999999</v>
      </c>
      <c r="Q421">
        <v>0</v>
      </c>
    </row>
    <row r="422" spans="1:17" x14ac:dyDescent="0.25">
      <c r="A422" s="15"/>
      <c r="B422" s="15"/>
      <c r="C422">
        <v>50</v>
      </c>
      <c r="D422">
        <v>176.4</v>
      </c>
      <c r="E422">
        <v>176.4</v>
      </c>
      <c r="F422">
        <v>693</v>
      </c>
      <c r="G422">
        <v>0</v>
      </c>
      <c r="H422">
        <v>250</v>
      </c>
      <c r="I422">
        <v>0</v>
      </c>
      <c r="J422">
        <v>0</v>
      </c>
      <c r="K422">
        <v>40</v>
      </c>
      <c r="L422">
        <v>163.4</v>
      </c>
      <c r="M422">
        <v>14</v>
      </c>
      <c r="N422" s="10">
        <v>20.95</v>
      </c>
      <c r="O422" s="2">
        <f t="shared" si="12"/>
        <v>254.24918</v>
      </c>
      <c r="P422" s="2">
        <f t="shared" si="13"/>
        <v>139.14374999999998</v>
      </c>
      <c r="Q422">
        <v>0</v>
      </c>
    </row>
    <row r="423" spans="1:17" x14ac:dyDescent="0.25">
      <c r="A423" s="15"/>
      <c r="B423" s="15"/>
      <c r="C423">
        <v>50</v>
      </c>
      <c r="D423">
        <v>176.4</v>
      </c>
      <c r="E423">
        <v>176.4</v>
      </c>
      <c r="F423">
        <v>693</v>
      </c>
      <c r="G423">
        <v>0</v>
      </c>
      <c r="H423">
        <v>250</v>
      </c>
      <c r="I423">
        <v>0</v>
      </c>
      <c r="J423">
        <v>0</v>
      </c>
      <c r="K423">
        <v>40</v>
      </c>
      <c r="L423">
        <v>163.4</v>
      </c>
      <c r="M423">
        <v>28</v>
      </c>
      <c r="N423" s="10">
        <v>21.88</v>
      </c>
      <c r="O423" s="2">
        <f t="shared" si="12"/>
        <v>254.24918</v>
      </c>
      <c r="P423" s="2">
        <f t="shared" si="13"/>
        <v>139.14374999999998</v>
      </c>
      <c r="Q423">
        <v>0</v>
      </c>
    </row>
    <row r="424" spans="1:17" x14ac:dyDescent="0.25">
      <c r="A424" s="15"/>
      <c r="B424" s="15"/>
      <c r="C424">
        <v>50</v>
      </c>
      <c r="D424">
        <v>176.4</v>
      </c>
      <c r="E424">
        <v>176.4</v>
      </c>
      <c r="F424">
        <v>693</v>
      </c>
      <c r="G424">
        <v>0</v>
      </c>
      <c r="H424">
        <v>250</v>
      </c>
      <c r="I424">
        <v>0</v>
      </c>
      <c r="J424">
        <v>0</v>
      </c>
      <c r="K424">
        <v>40</v>
      </c>
      <c r="L424">
        <v>163.4</v>
      </c>
      <c r="M424">
        <v>56</v>
      </c>
      <c r="N424" s="10">
        <v>22.66</v>
      </c>
      <c r="O424" s="2">
        <f t="shared" si="12"/>
        <v>254.24918</v>
      </c>
      <c r="P424" s="2">
        <f t="shared" si="13"/>
        <v>139.14374999999998</v>
      </c>
      <c r="Q424">
        <v>0</v>
      </c>
    </row>
    <row r="425" spans="1:17" x14ac:dyDescent="0.25">
      <c r="A425" s="15"/>
      <c r="B425" s="15"/>
      <c r="C425">
        <v>50</v>
      </c>
      <c r="D425">
        <v>176.4</v>
      </c>
      <c r="E425">
        <v>176.4</v>
      </c>
      <c r="F425">
        <v>693</v>
      </c>
      <c r="G425">
        <v>0</v>
      </c>
      <c r="H425">
        <v>250</v>
      </c>
      <c r="I425">
        <v>0</v>
      </c>
      <c r="J425">
        <v>0</v>
      </c>
      <c r="K425">
        <v>40</v>
      </c>
      <c r="L425">
        <v>163.4</v>
      </c>
      <c r="M425">
        <v>90</v>
      </c>
      <c r="N425" s="10">
        <v>22.96</v>
      </c>
      <c r="O425" s="2">
        <f t="shared" si="12"/>
        <v>254.24918</v>
      </c>
      <c r="P425" s="2">
        <f t="shared" si="13"/>
        <v>139.14374999999998</v>
      </c>
      <c r="Q425">
        <v>0</v>
      </c>
    </row>
    <row r="426" spans="1:17" x14ac:dyDescent="0.25">
      <c r="A426" s="15" t="s">
        <v>52</v>
      </c>
      <c r="B426" s="15" t="s">
        <v>53</v>
      </c>
      <c r="C426">
        <v>0</v>
      </c>
      <c r="D426">
        <v>400.5</v>
      </c>
      <c r="E426">
        <v>0</v>
      </c>
      <c r="F426">
        <v>659</v>
      </c>
      <c r="G426">
        <v>1170.7</v>
      </c>
      <c r="H426">
        <v>0</v>
      </c>
      <c r="I426">
        <v>0</v>
      </c>
      <c r="J426">
        <v>0</v>
      </c>
      <c r="K426">
        <v>0</v>
      </c>
      <c r="L426">
        <v>160.1</v>
      </c>
      <c r="M426">
        <v>7</v>
      </c>
      <c r="N426" s="10">
        <v>28.34</v>
      </c>
      <c r="O426" s="2">
        <f t="shared" ref="O426:O460" si="14">SUM((D426*0.83)+(E426*0.1032)+(F426*0.0139)+(G426*0.0459)+(K426*2))</f>
        <v>395.31022999999999</v>
      </c>
      <c r="P426" s="2">
        <f t="shared" si="13"/>
        <v>180.10424999999998</v>
      </c>
      <c r="Q426">
        <v>0</v>
      </c>
    </row>
    <row r="427" spans="1:17" x14ac:dyDescent="0.25">
      <c r="A427" s="15"/>
      <c r="B427" s="15"/>
      <c r="C427">
        <v>0</v>
      </c>
      <c r="D427">
        <v>400.5</v>
      </c>
      <c r="E427">
        <v>0</v>
      </c>
      <c r="F427">
        <v>659</v>
      </c>
      <c r="G427">
        <v>1170.7</v>
      </c>
      <c r="H427">
        <v>0</v>
      </c>
      <c r="I427">
        <v>0</v>
      </c>
      <c r="J427">
        <v>0</v>
      </c>
      <c r="K427">
        <v>0</v>
      </c>
      <c r="L427">
        <v>160.1</v>
      </c>
      <c r="M427">
        <v>14</v>
      </c>
      <c r="N427" s="10">
        <v>28.53</v>
      </c>
      <c r="O427" s="2">
        <f t="shared" si="14"/>
        <v>395.31022999999999</v>
      </c>
      <c r="P427" s="2">
        <f t="shared" si="13"/>
        <v>180.10424999999998</v>
      </c>
      <c r="Q427">
        <v>0</v>
      </c>
    </row>
    <row r="428" spans="1:17" x14ac:dyDescent="0.25">
      <c r="A428" s="15"/>
      <c r="B428" s="15"/>
      <c r="C428">
        <v>0</v>
      </c>
      <c r="D428">
        <v>400.5</v>
      </c>
      <c r="E428">
        <v>0</v>
      </c>
      <c r="F428">
        <v>659</v>
      </c>
      <c r="G428">
        <v>1170.7</v>
      </c>
      <c r="H428">
        <v>0</v>
      </c>
      <c r="I428">
        <v>0</v>
      </c>
      <c r="J428">
        <v>0</v>
      </c>
      <c r="K428">
        <v>0</v>
      </c>
      <c r="L428">
        <v>160.1</v>
      </c>
      <c r="M428">
        <v>56</v>
      </c>
      <c r="N428" s="10">
        <v>36.06</v>
      </c>
      <c r="O428" s="2">
        <f t="shared" si="14"/>
        <v>395.31022999999999</v>
      </c>
      <c r="P428" s="2">
        <f t="shared" si="13"/>
        <v>180.10424999999998</v>
      </c>
      <c r="Q428">
        <v>0</v>
      </c>
    </row>
    <row r="429" spans="1:17" x14ac:dyDescent="0.25">
      <c r="A429" s="15"/>
      <c r="B429" s="15"/>
      <c r="C429">
        <v>0</v>
      </c>
      <c r="D429">
        <v>400.5</v>
      </c>
      <c r="E429">
        <v>0</v>
      </c>
      <c r="F429">
        <v>659</v>
      </c>
      <c r="G429">
        <v>1170.7</v>
      </c>
      <c r="H429">
        <v>0</v>
      </c>
      <c r="I429">
        <v>0</v>
      </c>
      <c r="J429">
        <v>0</v>
      </c>
      <c r="K429">
        <v>0</v>
      </c>
      <c r="L429">
        <v>160.1</v>
      </c>
      <c r="M429">
        <v>90</v>
      </c>
      <c r="N429" s="10">
        <v>39.47</v>
      </c>
      <c r="O429" s="2">
        <f t="shared" si="14"/>
        <v>395.31022999999999</v>
      </c>
      <c r="P429" s="2">
        <f t="shared" si="13"/>
        <v>180.10424999999998</v>
      </c>
      <c r="Q429">
        <v>0</v>
      </c>
    </row>
    <row r="430" spans="1:17" x14ac:dyDescent="0.25">
      <c r="A430" s="15"/>
      <c r="B430" s="15"/>
      <c r="C430">
        <v>5</v>
      </c>
      <c r="D430">
        <v>380.47500000000002</v>
      </c>
      <c r="E430">
        <v>20.024999999999999</v>
      </c>
      <c r="F430">
        <v>659</v>
      </c>
      <c r="G430">
        <v>1170.7</v>
      </c>
      <c r="H430">
        <v>0</v>
      </c>
      <c r="I430">
        <v>0</v>
      </c>
      <c r="J430">
        <v>0</v>
      </c>
      <c r="K430">
        <v>0</v>
      </c>
      <c r="L430">
        <v>160.1</v>
      </c>
      <c r="M430">
        <v>7</v>
      </c>
      <c r="N430" s="10">
        <v>26.25</v>
      </c>
      <c r="O430" s="2">
        <f t="shared" si="14"/>
        <v>380.75605999999999</v>
      </c>
      <c r="P430" s="2">
        <f t="shared" si="13"/>
        <v>172.59487499999997</v>
      </c>
      <c r="Q430">
        <v>0</v>
      </c>
    </row>
    <row r="431" spans="1:17" x14ac:dyDescent="0.25">
      <c r="A431" s="15"/>
      <c r="B431" s="15"/>
      <c r="C431">
        <v>5</v>
      </c>
      <c r="D431">
        <v>380.47500000000002</v>
      </c>
      <c r="E431">
        <v>20.024999999999999</v>
      </c>
      <c r="F431">
        <v>659</v>
      </c>
      <c r="G431">
        <v>1170.7</v>
      </c>
      <c r="H431">
        <v>0</v>
      </c>
      <c r="I431">
        <v>0</v>
      </c>
      <c r="J431">
        <v>0</v>
      </c>
      <c r="K431">
        <v>0</v>
      </c>
      <c r="L431">
        <v>160.1</v>
      </c>
      <c r="M431">
        <v>14</v>
      </c>
      <c r="N431" s="10">
        <v>34.29</v>
      </c>
      <c r="O431" s="2">
        <f t="shared" si="14"/>
        <v>380.75605999999999</v>
      </c>
      <c r="P431" s="2">
        <f t="shared" si="13"/>
        <v>172.59487499999997</v>
      </c>
      <c r="Q431">
        <v>0</v>
      </c>
    </row>
    <row r="432" spans="1:17" x14ac:dyDescent="0.25">
      <c r="A432" s="15"/>
      <c r="B432" s="15"/>
      <c r="C432">
        <v>5</v>
      </c>
      <c r="D432">
        <v>380.47500000000002</v>
      </c>
      <c r="E432">
        <v>20.024999999999999</v>
      </c>
      <c r="F432">
        <v>659</v>
      </c>
      <c r="G432">
        <v>1170.7</v>
      </c>
      <c r="H432">
        <v>0</v>
      </c>
      <c r="I432">
        <v>0</v>
      </c>
      <c r="J432">
        <v>0</v>
      </c>
      <c r="K432">
        <v>0</v>
      </c>
      <c r="L432">
        <v>160.1</v>
      </c>
      <c r="M432">
        <v>56</v>
      </c>
      <c r="N432" s="10">
        <v>31.82</v>
      </c>
      <c r="O432" s="2">
        <f t="shared" si="14"/>
        <v>380.75605999999999</v>
      </c>
      <c r="P432" s="2">
        <f t="shared" si="13"/>
        <v>172.59487499999997</v>
      </c>
      <c r="Q432">
        <v>0</v>
      </c>
    </row>
    <row r="433" spans="1:17" x14ac:dyDescent="0.25">
      <c r="A433" s="15"/>
      <c r="B433" s="15"/>
      <c r="C433">
        <v>5</v>
      </c>
      <c r="D433">
        <v>380.47500000000002</v>
      </c>
      <c r="E433">
        <v>20.024999999999999</v>
      </c>
      <c r="F433">
        <v>659</v>
      </c>
      <c r="G433">
        <v>1170.7</v>
      </c>
      <c r="H433">
        <v>0</v>
      </c>
      <c r="I433">
        <v>0</v>
      </c>
      <c r="J433">
        <v>0</v>
      </c>
      <c r="K433">
        <v>0</v>
      </c>
      <c r="L433">
        <v>160.1</v>
      </c>
      <c r="M433">
        <v>90</v>
      </c>
      <c r="N433" s="10">
        <v>38.229999999999997</v>
      </c>
      <c r="O433" s="2">
        <f t="shared" si="14"/>
        <v>380.75605999999999</v>
      </c>
      <c r="P433" s="2">
        <f t="shared" si="13"/>
        <v>172.59487499999997</v>
      </c>
      <c r="Q433">
        <v>0</v>
      </c>
    </row>
    <row r="434" spans="1:17" x14ac:dyDescent="0.25">
      <c r="A434" s="15"/>
      <c r="B434" s="15"/>
      <c r="C434">
        <v>10</v>
      </c>
      <c r="D434">
        <v>360.45</v>
      </c>
      <c r="E434">
        <v>40.049999999999997</v>
      </c>
      <c r="F434">
        <v>659</v>
      </c>
      <c r="G434">
        <v>1170.7</v>
      </c>
      <c r="H434">
        <v>0</v>
      </c>
      <c r="I434">
        <v>0</v>
      </c>
      <c r="J434">
        <v>0</v>
      </c>
      <c r="K434">
        <v>0</v>
      </c>
      <c r="L434">
        <v>160.1</v>
      </c>
      <c r="M434">
        <v>7</v>
      </c>
      <c r="N434" s="10">
        <v>27.6</v>
      </c>
      <c r="O434" s="2">
        <f t="shared" si="14"/>
        <v>366.20188999999999</v>
      </c>
      <c r="P434" s="2">
        <f t="shared" si="13"/>
        <v>165.0855</v>
      </c>
      <c r="Q434">
        <v>0</v>
      </c>
    </row>
    <row r="435" spans="1:17" x14ac:dyDescent="0.25">
      <c r="A435" s="15"/>
      <c r="B435" s="15"/>
      <c r="C435">
        <v>10</v>
      </c>
      <c r="D435">
        <v>360.45</v>
      </c>
      <c r="E435">
        <v>40.049999999999997</v>
      </c>
      <c r="F435">
        <v>659</v>
      </c>
      <c r="G435">
        <v>1170.7</v>
      </c>
      <c r="H435">
        <v>0</v>
      </c>
      <c r="I435">
        <v>0</v>
      </c>
      <c r="J435">
        <v>0</v>
      </c>
      <c r="K435">
        <v>0</v>
      </c>
      <c r="L435">
        <v>160.1</v>
      </c>
      <c r="M435">
        <v>14</v>
      </c>
      <c r="N435" s="10">
        <v>29.19</v>
      </c>
      <c r="O435" s="2">
        <f t="shared" si="14"/>
        <v>366.20188999999999</v>
      </c>
      <c r="P435" s="2">
        <f t="shared" si="13"/>
        <v>165.0855</v>
      </c>
      <c r="Q435">
        <v>0</v>
      </c>
    </row>
    <row r="436" spans="1:17" x14ac:dyDescent="0.25">
      <c r="A436" s="15"/>
      <c r="B436" s="15"/>
      <c r="C436">
        <v>10</v>
      </c>
      <c r="D436">
        <v>360.45</v>
      </c>
      <c r="E436">
        <v>40.049999999999997</v>
      </c>
      <c r="F436">
        <v>659</v>
      </c>
      <c r="G436">
        <v>1170.7</v>
      </c>
      <c r="H436">
        <v>0</v>
      </c>
      <c r="I436">
        <v>0</v>
      </c>
      <c r="J436">
        <v>0</v>
      </c>
      <c r="K436">
        <v>0</v>
      </c>
      <c r="L436">
        <v>160.1</v>
      </c>
      <c r="M436">
        <v>56</v>
      </c>
      <c r="N436" s="10">
        <v>36.32</v>
      </c>
      <c r="O436" s="2">
        <f t="shared" si="14"/>
        <v>366.20188999999999</v>
      </c>
      <c r="P436" s="2">
        <f t="shared" si="13"/>
        <v>165.0855</v>
      </c>
      <c r="Q436">
        <v>0</v>
      </c>
    </row>
    <row r="437" spans="1:17" x14ac:dyDescent="0.25">
      <c r="A437" s="15"/>
      <c r="B437" s="15"/>
      <c r="C437">
        <v>10</v>
      </c>
      <c r="D437">
        <v>360.45</v>
      </c>
      <c r="E437">
        <v>40.049999999999997</v>
      </c>
      <c r="F437">
        <v>659</v>
      </c>
      <c r="G437">
        <v>1170.7</v>
      </c>
      <c r="H437">
        <v>0</v>
      </c>
      <c r="I437">
        <v>0</v>
      </c>
      <c r="J437">
        <v>0</v>
      </c>
      <c r="K437">
        <v>0</v>
      </c>
      <c r="L437">
        <v>160.1</v>
      </c>
      <c r="M437">
        <v>90</v>
      </c>
      <c r="N437" s="10">
        <v>36.46</v>
      </c>
      <c r="O437" s="2">
        <f t="shared" si="14"/>
        <v>366.20188999999999</v>
      </c>
      <c r="P437" s="2">
        <f t="shared" si="13"/>
        <v>165.0855</v>
      </c>
      <c r="Q437">
        <v>0</v>
      </c>
    </row>
    <row r="438" spans="1:17" x14ac:dyDescent="0.25">
      <c r="A438" s="15" t="s">
        <v>144</v>
      </c>
      <c r="B438" s="17" t="s">
        <v>145</v>
      </c>
      <c r="C438">
        <v>0</v>
      </c>
      <c r="D438" s="3">
        <v>400</v>
      </c>
      <c r="E438">
        <f>SUM((C438/100* D438))</f>
        <v>0</v>
      </c>
      <c r="F438">
        <v>750</v>
      </c>
      <c r="G438">
        <v>840</v>
      </c>
      <c r="H438" s="7">
        <v>0</v>
      </c>
      <c r="I438">
        <v>0</v>
      </c>
      <c r="J438">
        <v>0</v>
      </c>
      <c r="K438" s="8">
        <v>15</v>
      </c>
      <c r="L438">
        <v>180</v>
      </c>
      <c r="M438">
        <v>7</v>
      </c>
      <c r="N438" s="10">
        <v>50</v>
      </c>
      <c r="O438" s="2">
        <f t="shared" si="14"/>
        <v>410.98099999999999</v>
      </c>
      <c r="P438" s="2">
        <f t="shared" si="13"/>
        <v>199.16249999999999</v>
      </c>
      <c r="Q438">
        <v>0</v>
      </c>
    </row>
    <row r="439" spans="1:17" x14ac:dyDescent="0.25">
      <c r="A439" s="15"/>
      <c r="B439" s="17"/>
      <c r="C439">
        <v>0</v>
      </c>
      <c r="D439" s="3">
        <v>400</v>
      </c>
      <c r="E439">
        <f t="shared" ref="E439:E449" si="15">SUM((C439/100* D439))</f>
        <v>0</v>
      </c>
      <c r="F439">
        <v>750</v>
      </c>
      <c r="G439">
        <v>840</v>
      </c>
      <c r="H439" s="7">
        <v>0</v>
      </c>
      <c r="I439">
        <v>0</v>
      </c>
      <c r="J439">
        <v>0</v>
      </c>
      <c r="K439" s="8">
        <v>15</v>
      </c>
      <c r="L439">
        <v>180</v>
      </c>
      <c r="M439">
        <v>28</v>
      </c>
      <c r="N439" s="10">
        <v>83</v>
      </c>
      <c r="O439" s="2">
        <f t="shared" si="14"/>
        <v>410.98099999999999</v>
      </c>
      <c r="P439" s="2">
        <f t="shared" si="13"/>
        <v>199.16249999999999</v>
      </c>
      <c r="Q439">
        <v>0</v>
      </c>
    </row>
    <row r="440" spans="1:17" x14ac:dyDescent="0.25">
      <c r="A440" s="15"/>
      <c r="B440" s="17"/>
      <c r="C440">
        <v>5</v>
      </c>
      <c r="D440" s="3">
        <v>380</v>
      </c>
      <c r="E440">
        <f t="shared" si="15"/>
        <v>19</v>
      </c>
      <c r="F440">
        <v>750</v>
      </c>
      <c r="G440">
        <v>840</v>
      </c>
      <c r="H440" s="7">
        <v>0</v>
      </c>
      <c r="I440">
        <v>0</v>
      </c>
      <c r="J440">
        <v>0</v>
      </c>
      <c r="K440" s="8">
        <v>15</v>
      </c>
      <c r="L440">
        <v>180</v>
      </c>
      <c r="M440">
        <v>7</v>
      </c>
      <c r="N440" s="10">
        <v>52</v>
      </c>
      <c r="O440" s="2">
        <f t="shared" si="14"/>
        <v>396.34179999999998</v>
      </c>
      <c r="P440" s="2">
        <f t="shared" si="13"/>
        <v>191.66249999999999</v>
      </c>
      <c r="Q440">
        <v>0</v>
      </c>
    </row>
    <row r="441" spans="1:17" x14ac:dyDescent="0.25">
      <c r="A441" s="15"/>
      <c r="B441" s="17"/>
      <c r="C441">
        <v>5</v>
      </c>
      <c r="D441" s="3">
        <v>380</v>
      </c>
      <c r="E441">
        <f t="shared" si="15"/>
        <v>19</v>
      </c>
      <c r="F441">
        <v>750</v>
      </c>
      <c r="G441">
        <v>840</v>
      </c>
      <c r="H441" s="7">
        <v>0</v>
      </c>
      <c r="I441">
        <v>0</v>
      </c>
      <c r="J441">
        <v>0</v>
      </c>
      <c r="K441" s="8">
        <v>15</v>
      </c>
      <c r="L441">
        <v>180</v>
      </c>
      <c r="M441">
        <v>28</v>
      </c>
      <c r="N441" s="10">
        <v>85</v>
      </c>
      <c r="O441" s="2">
        <f t="shared" si="14"/>
        <v>396.34179999999998</v>
      </c>
      <c r="P441" s="2">
        <f t="shared" si="13"/>
        <v>191.66249999999999</v>
      </c>
      <c r="Q441">
        <v>0</v>
      </c>
    </row>
    <row r="442" spans="1:17" x14ac:dyDescent="0.25">
      <c r="A442" s="15"/>
      <c r="B442" s="17"/>
      <c r="C442">
        <v>10</v>
      </c>
      <c r="D442" s="3">
        <v>360</v>
      </c>
      <c r="E442">
        <f t="shared" si="15"/>
        <v>36</v>
      </c>
      <c r="F442">
        <v>750</v>
      </c>
      <c r="G442">
        <v>840</v>
      </c>
      <c r="H442" s="7">
        <v>0</v>
      </c>
      <c r="I442">
        <v>0</v>
      </c>
      <c r="J442">
        <v>0</v>
      </c>
      <c r="K442" s="8">
        <v>15</v>
      </c>
      <c r="L442">
        <v>180</v>
      </c>
      <c r="M442">
        <v>7</v>
      </c>
      <c r="N442" s="10">
        <v>53</v>
      </c>
      <c r="O442" s="2">
        <f t="shared" si="14"/>
        <v>381.49619999999999</v>
      </c>
      <c r="P442" s="2">
        <f t="shared" si="13"/>
        <v>184.16249999999999</v>
      </c>
      <c r="Q442">
        <v>0</v>
      </c>
    </row>
    <row r="443" spans="1:17" x14ac:dyDescent="0.25">
      <c r="A443" s="15"/>
      <c r="B443" s="17"/>
      <c r="C443">
        <v>10</v>
      </c>
      <c r="D443" s="3">
        <v>360</v>
      </c>
      <c r="E443">
        <f t="shared" si="15"/>
        <v>36</v>
      </c>
      <c r="F443">
        <v>750</v>
      </c>
      <c r="G443">
        <v>840</v>
      </c>
      <c r="H443" s="7">
        <v>0</v>
      </c>
      <c r="I443">
        <v>0</v>
      </c>
      <c r="J443">
        <v>0</v>
      </c>
      <c r="K443" s="8">
        <v>15</v>
      </c>
      <c r="L443">
        <v>180</v>
      </c>
      <c r="M443">
        <v>28</v>
      </c>
      <c r="N443" s="10">
        <v>87</v>
      </c>
      <c r="O443" s="2">
        <f t="shared" si="14"/>
        <v>381.49619999999999</v>
      </c>
      <c r="P443" s="2">
        <f t="shared" si="13"/>
        <v>184.16249999999999</v>
      </c>
      <c r="Q443">
        <v>0</v>
      </c>
    </row>
    <row r="444" spans="1:17" x14ac:dyDescent="0.25">
      <c r="A444" s="15"/>
      <c r="B444" s="17"/>
      <c r="C444">
        <v>15</v>
      </c>
      <c r="D444" s="3">
        <v>340</v>
      </c>
      <c r="E444">
        <f t="shared" si="15"/>
        <v>51</v>
      </c>
      <c r="F444">
        <v>750</v>
      </c>
      <c r="G444">
        <v>840</v>
      </c>
      <c r="H444" s="7">
        <v>0</v>
      </c>
      <c r="I444">
        <v>0</v>
      </c>
      <c r="J444">
        <v>0</v>
      </c>
      <c r="K444" s="8">
        <v>15</v>
      </c>
      <c r="L444">
        <v>180</v>
      </c>
      <c r="M444">
        <v>7</v>
      </c>
      <c r="N444" s="10">
        <v>56</v>
      </c>
      <c r="O444" s="2">
        <f t="shared" si="14"/>
        <v>366.44419999999997</v>
      </c>
      <c r="P444" s="2">
        <f t="shared" si="13"/>
        <v>176.66249999999999</v>
      </c>
      <c r="Q444">
        <v>0</v>
      </c>
    </row>
    <row r="445" spans="1:17" x14ac:dyDescent="0.25">
      <c r="A445" s="15"/>
      <c r="B445" s="17"/>
      <c r="C445">
        <v>15</v>
      </c>
      <c r="D445" s="3">
        <v>340</v>
      </c>
      <c r="E445">
        <f t="shared" si="15"/>
        <v>51</v>
      </c>
      <c r="F445">
        <v>750</v>
      </c>
      <c r="G445">
        <v>840</v>
      </c>
      <c r="H445" s="7">
        <v>0</v>
      </c>
      <c r="I445">
        <v>0</v>
      </c>
      <c r="J445">
        <v>0</v>
      </c>
      <c r="K445" s="8">
        <v>15</v>
      </c>
      <c r="L445">
        <v>180</v>
      </c>
      <c r="M445">
        <v>28</v>
      </c>
      <c r="N445" s="10">
        <v>92</v>
      </c>
      <c r="O445" s="2">
        <f t="shared" si="14"/>
        <v>366.44419999999997</v>
      </c>
      <c r="P445" s="2">
        <f t="shared" si="13"/>
        <v>176.66249999999999</v>
      </c>
      <c r="Q445">
        <v>0</v>
      </c>
    </row>
    <row r="446" spans="1:17" x14ac:dyDescent="0.25">
      <c r="A446" s="15"/>
      <c r="B446" s="17"/>
      <c r="C446">
        <v>20</v>
      </c>
      <c r="D446" s="3">
        <v>320</v>
      </c>
      <c r="E446">
        <f t="shared" si="15"/>
        <v>64</v>
      </c>
      <c r="F446">
        <v>750</v>
      </c>
      <c r="G446">
        <v>840</v>
      </c>
      <c r="H446" s="7">
        <v>0</v>
      </c>
      <c r="I446">
        <v>0</v>
      </c>
      <c r="J446">
        <v>0</v>
      </c>
      <c r="K446" s="8">
        <v>15</v>
      </c>
      <c r="L446">
        <v>180</v>
      </c>
      <c r="M446">
        <v>7</v>
      </c>
      <c r="N446" s="10">
        <v>57</v>
      </c>
      <c r="O446" s="2">
        <f t="shared" si="14"/>
        <v>351.18579999999997</v>
      </c>
      <c r="P446" s="2">
        <f t="shared" si="13"/>
        <v>169.16249999999999</v>
      </c>
      <c r="Q446">
        <v>0</v>
      </c>
    </row>
    <row r="447" spans="1:17" x14ac:dyDescent="0.25">
      <c r="A447" s="15"/>
      <c r="B447" s="17"/>
      <c r="C447">
        <v>20</v>
      </c>
      <c r="D447" s="3">
        <v>320</v>
      </c>
      <c r="E447">
        <f t="shared" si="15"/>
        <v>64</v>
      </c>
      <c r="F447">
        <v>750</v>
      </c>
      <c r="G447">
        <v>840</v>
      </c>
      <c r="H447" s="7">
        <v>0</v>
      </c>
      <c r="I447">
        <v>0</v>
      </c>
      <c r="J447">
        <v>0</v>
      </c>
      <c r="K447" s="8">
        <v>15</v>
      </c>
      <c r="L447">
        <v>180</v>
      </c>
      <c r="M447">
        <v>28</v>
      </c>
      <c r="N447" s="10">
        <v>93</v>
      </c>
      <c r="O447" s="2">
        <f t="shared" si="14"/>
        <v>351.18579999999997</v>
      </c>
      <c r="P447" s="2">
        <f t="shared" si="13"/>
        <v>169.16249999999999</v>
      </c>
      <c r="Q447">
        <v>0</v>
      </c>
    </row>
    <row r="448" spans="1:17" x14ac:dyDescent="0.25">
      <c r="A448" s="15"/>
      <c r="B448" s="17"/>
      <c r="C448">
        <v>25</v>
      </c>
      <c r="D448" s="3">
        <v>300</v>
      </c>
      <c r="E448">
        <f t="shared" si="15"/>
        <v>75</v>
      </c>
      <c r="F448">
        <v>750</v>
      </c>
      <c r="G448">
        <v>840</v>
      </c>
      <c r="H448" s="7">
        <v>0</v>
      </c>
      <c r="I448">
        <v>0</v>
      </c>
      <c r="J448">
        <v>0</v>
      </c>
      <c r="K448" s="8">
        <v>15</v>
      </c>
      <c r="L448">
        <v>180</v>
      </c>
      <c r="M448">
        <v>7</v>
      </c>
      <c r="N448" s="10">
        <v>54</v>
      </c>
      <c r="O448" s="2">
        <f t="shared" si="14"/>
        <v>335.721</v>
      </c>
      <c r="P448" s="2">
        <f t="shared" si="13"/>
        <v>161.66249999999999</v>
      </c>
      <c r="Q448">
        <v>0</v>
      </c>
    </row>
    <row r="449" spans="1:17" x14ac:dyDescent="0.25">
      <c r="A449" s="15"/>
      <c r="B449" s="17"/>
      <c r="C449">
        <v>25</v>
      </c>
      <c r="D449" s="3">
        <v>300</v>
      </c>
      <c r="E449">
        <f t="shared" si="15"/>
        <v>75</v>
      </c>
      <c r="F449">
        <v>750</v>
      </c>
      <c r="G449">
        <v>840</v>
      </c>
      <c r="H449" s="7">
        <v>0</v>
      </c>
      <c r="I449">
        <v>0</v>
      </c>
      <c r="J449">
        <v>0</v>
      </c>
      <c r="K449" s="8">
        <v>15</v>
      </c>
      <c r="L449">
        <v>180</v>
      </c>
      <c r="M449">
        <v>28</v>
      </c>
      <c r="N449" s="10">
        <v>89</v>
      </c>
      <c r="O449" s="2">
        <f t="shared" si="14"/>
        <v>335.721</v>
      </c>
      <c r="P449" s="2">
        <f t="shared" si="13"/>
        <v>161.66249999999999</v>
      </c>
      <c r="Q449">
        <v>0</v>
      </c>
    </row>
    <row r="450" spans="1:17" x14ac:dyDescent="0.25">
      <c r="A450" s="15" t="s">
        <v>146</v>
      </c>
      <c r="B450" s="15" t="s">
        <v>147</v>
      </c>
      <c r="C450">
        <v>0</v>
      </c>
      <c r="D450" s="3">
        <v>427</v>
      </c>
      <c r="E450">
        <v>0</v>
      </c>
      <c r="F450">
        <v>717</v>
      </c>
      <c r="G450">
        <v>1075</v>
      </c>
      <c r="H450" s="7">
        <v>0</v>
      </c>
      <c r="I450">
        <v>0</v>
      </c>
      <c r="J450">
        <v>0</v>
      </c>
      <c r="K450" s="8">
        <v>0</v>
      </c>
      <c r="L450">
        <v>171</v>
      </c>
      <c r="M450">
        <v>3</v>
      </c>
      <c r="N450" s="10">
        <v>30</v>
      </c>
      <c r="O450" s="2">
        <f t="shared" si="14"/>
        <v>413.71879999999999</v>
      </c>
      <c r="P450" s="2">
        <f t="shared" si="13"/>
        <v>189.69374999999999</v>
      </c>
      <c r="Q450">
        <v>0</v>
      </c>
    </row>
    <row r="451" spans="1:17" x14ac:dyDescent="0.25">
      <c r="A451" s="15"/>
      <c r="B451" s="15"/>
      <c r="C451">
        <v>0</v>
      </c>
      <c r="D451" s="3">
        <v>427</v>
      </c>
      <c r="E451">
        <v>0</v>
      </c>
      <c r="F451">
        <v>717</v>
      </c>
      <c r="G451">
        <v>1075</v>
      </c>
      <c r="H451" s="7">
        <v>0</v>
      </c>
      <c r="I451">
        <v>0</v>
      </c>
      <c r="J451">
        <v>0</v>
      </c>
      <c r="K451" s="8">
        <v>0</v>
      </c>
      <c r="L451">
        <v>171</v>
      </c>
      <c r="M451">
        <v>7</v>
      </c>
      <c r="N451" s="10">
        <v>35</v>
      </c>
      <c r="O451" s="2">
        <f t="shared" si="14"/>
        <v>413.71879999999999</v>
      </c>
      <c r="P451" s="2">
        <f t="shared" ref="P451:P514" si="16">SUM((D451*5)+((F451*0.25)+(G451*0.2)+(K451*20)))*0.075</f>
        <v>189.69374999999999</v>
      </c>
      <c r="Q451">
        <v>0</v>
      </c>
    </row>
    <row r="452" spans="1:17" x14ac:dyDescent="0.25">
      <c r="A452" s="15"/>
      <c r="B452" s="15"/>
      <c r="C452">
        <v>0</v>
      </c>
      <c r="D452" s="3">
        <v>427</v>
      </c>
      <c r="E452">
        <v>0</v>
      </c>
      <c r="F452">
        <v>717</v>
      </c>
      <c r="G452">
        <v>1075</v>
      </c>
      <c r="H452" s="7">
        <v>0</v>
      </c>
      <c r="I452">
        <v>0</v>
      </c>
      <c r="J452">
        <v>0</v>
      </c>
      <c r="K452" s="8">
        <v>0</v>
      </c>
      <c r="L452">
        <v>171</v>
      </c>
      <c r="M452">
        <v>28</v>
      </c>
      <c r="N452" s="10">
        <v>42</v>
      </c>
      <c r="O452" s="2">
        <f t="shared" si="14"/>
        <v>413.71879999999999</v>
      </c>
      <c r="P452" s="2">
        <f t="shared" si="16"/>
        <v>189.69374999999999</v>
      </c>
      <c r="Q452">
        <v>0</v>
      </c>
    </row>
    <row r="453" spans="1:17" x14ac:dyDescent="0.25">
      <c r="A453" s="15"/>
      <c r="B453" s="15"/>
      <c r="C453">
        <v>0</v>
      </c>
      <c r="D453" s="3">
        <v>427</v>
      </c>
      <c r="E453">
        <v>0</v>
      </c>
      <c r="F453">
        <v>717</v>
      </c>
      <c r="G453">
        <v>1075</v>
      </c>
      <c r="H453" s="7">
        <v>0</v>
      </c>
      <c r="I453">
        <v>0</v>
      </c>
      <c r="J453">
        <v>0</v>
      </c>
      <c r="K453" s="8">
        <v>0</v>
      </c>
      <c r="L453">
        <v>171</v>
      </c>
      <c r="M453">
        <v>90</v>
      </c>
      <c r="N453" s="10">
        <v>47</v>
      </c>
      <c r="O453" s="2">
        <f t="shared" si="14"/>
        <v>413.71879999999999</v>
      </c>
      <c r="P453" s="2">
        <f t="shared" si="16"/>
        <v>189.69374999999999</v>
      </c>
      <c r="Q453">
        <v>0</v>
      </c>
    </row>
    <row r="454" spans="1:17" x14ac:dyDescent="0.25">
      <c r="A454" s="15"/>
      <c r="B454" s="15"/>
      <c r="C454">
        <v>7.5</v>
      </c>
      <c r="D454" s="3">
        <v>393</v>
      </c>
      <c r="E454">
        <v>32</v>
      </c>
      <c r="F454">
        <v>713</v>
      </c>
      <c r="G454">
        <v>1070</v>
      </c>
      <c r="H454" s="7">
        <v>0</v>
      </c>
      <c r="I454">
        <v>0</v>
      </c>
      <c r="J454">
        <v>0</v>
      </c>
      <c r="K454" s="8">
        <v>0</v>
      </c>
      <c r="L454">
        <v>170</v>
      </c>
      <c r="M454">
        <v>3</v>
      </c>
      <c r="N454" s="10">
        <v>30</v>
      </c>
      <c r="O454" s="2">
        <f t="shared" si="14"/>
        <v>388.51609999999999</v>
      </c>
      <c r="P454" s="2">
        <f t="shared" si="16"/>
        <v>176.79374999999999</v>
      </c>
      <c r="Q454">
        <v>0</v>
      </c>
    </row>
    <row r="455" spans="1:17" x14ac:dyDescent="0.25">
      <c r="A455" s="15"/>
      <c r="B455" s="15"/>
      <c r="C455">
        <v>7.5</v>
      </c>
      <c r="D455" s="3">
        <v>393</v>
      </c>
      <c r="E455">
        <v>32</v>
      </c>
      <c r="F455">
        <v>713</v>
      </c>
      <c r="G455">
        <v>1070</v>
      </c>
      <c r="H455" s="7">
        <v>0</v>
      </c>
      <c r="I455">
        <v>0</v>
      </c>
      <c r="J455">
        <v>0</v>
      </c>
      <c r="K455" s="8">
        <v>0</v>
      </c>
      <c r="L455">
        <v>170</v>
      </c>
      <c r="M455">
        <v>7</v>
      </c>
      <c r="N455" s="10">
        <v>40</v>
      </c>
      <c r="O455" s="2">
        <f t="shared" si="14"/>
        <v>388.51609999999999</v>
      </c>
      <c r="P455" s="2">
        <f t="shared" si="16"/>
        <v>176.79374999999999</v>
      </c>
      <c r="Q455">
        <v>0</v>
      </c>
    </row>
    <row r="456" spans="1:17" x14ac:dyDescent="0.25">
      <c r="A456" s="15"/>
      <c r="B456" s="15"/>
      <c r="C456">
        <v>7.5</v>
      </c>
      <c r="D456" s="3">
        <v>393</v>
      </c>
      <c r="E456">
        <v>32</v>
      </c>
      <c r="F456">
        <v>713</v>
      </c>
      <c r="G456">
        <v>1070</v>
      </c>
      <c r="H456" s="7">
        <v>0</v>
      </c>
      <c r="I456">
        <v>0</v>
      </c>
      <c r="J456">
        <v>0</v>
      </c>
      <c r="K456" s="8">
        <v>0</v>
      </c>
      <c r="L456">
        <v>170</v>
      </c>
      <c r="M456">
        <v>28</v>
      </c>
      <c r="N456" s="10">
        <v>49</v>
      </c>
      <c r="O456" s="2">
        <f t="shared" si="14"/>
        <v>388.51609999999999</v>
      </c>
      <c r="P456" s="2">
        <f t="shared" si="16"/>
        <v>176.79374999999999</v>
      </c>
      <c r="Q456">
        <v>0</v>
      </c>
    </row>
    <row r="457" spans="1:17" x14ac:dyDescent="0.25">
      <c r="A457" s="15"/>
      <c r="B457" s="15"/>
      <c r="C457">
        <v>7.5</v>
      </c>
      <c r="D457" s="3">
        <v>393</v>
      </c>
      <c r="E457">
        <v>32</v>
      </c>
      <c r="F457">
        <v>713</v>
      </c>
      <c r="G457">
        <v>1070</v>
      </c>
      <c r="H457" s="7">
        <v>0</v>
      </c>
      <c r="I457">
        <v>0</v>
      </c>
      <c r="J457">
        <v>0</v>
      </c>
      <c r="K457" s="8">
        <v>0</v>
      </c>
      <c r="L457">
        <v>170</v>
      </c>
      <c r="M457">
        <v>90</v>
      </c>
      <c r="N457" s="10">
        <v>53</v>
      </c>
      <c r="O457" s="2">
        <f t="shared" si="14"/>
        <v>388.51609999999999</v>
      </c>
      <c r="P457" s="2">
        <f t="shared" si="16"/>
        <v>176.79374999999999</v>
      </c>
      <c r="Q457">
        <v>0</v>
      </c>
    </row>
    <row r="458" spans="1:17" x14ac:dyDescent="0.25">
      <c r="A458" s="15"/>
      <c r="B458" s="15"/>
      <c r="C458">
        <v>15</v>
      </c>
      <c r="D458" s="3">
        <v>361</v>
      </c>
      <c r="E458">
        <v>64</v>
      </c>
      <c r="F458">
        <v>713</v>
      </c>
      <c r="G458">
        <v>1070</v>
      </c>
      <c r="H458" s="7">
        <v>0</v>
      </c>
      <c r="I458">
        <v>0</v>
      </c>
      <c r="J458">
        <v>0</v>
      </c>
      <c r="K458" s="8">
        <v>0</v>
      </c>
      <c r="L458">
        <v>170</v>
      </c>
      <c r="M458">
        <v>3</v>
      </c>
      <c r="N458" s="10">
        <v>30</v>
      </c>
      <c r="O458" s="2">
        <f t="shared" si="14"/>
        <v>365.25850000000003</v>
      </c>
      <c r="P458" s="2">
        <f t="shared" si="16"/>
        <v>164.79374999999999</v>
      </c>
      <c r="Q458">
        <v>0</v>
      </c>
    </row>
    <row r="459" spans="1:17" x14ac:dyDescent="0.25">
      <c r="A459" s="15"/>
      <c r="B459" s="15"/>
      <c r="C459">
        <v>15</v>
      </c>
      <c r="D459" s="3">
        <v>361</v>
      </c>
      <c r="E459">
        <v>64</v>
      </c>
      <c r="F459">
        <v>713</v>
      </c>
      <c r="G459">
        <v>1070</v>
      </c>
      <c r="H459" s="7">
        <v>0</v>
      </c>
      <c r="I459">
        <v>0</v>
      </c>
      <c r="J459">
        <v>0</v>
      </c>
      <c r="K459" s="8">
        <v>0</v>
      </c>
      <c r="L459">
        <v>170</v>
      </c>
      <c r="M459">
        <v>7</v>
      </c>
      <c r="N459" s="10">
        <v>41</v>
      </c>
      <c r="O459" s="2">
        <f t="shared" si="14"/>
        <v>365.25850000000003</v>
      </c>
      <c r="P459" s="2">
        <f t="shared" si="16"/>
        <v>164.79374999999999</v>
      </c>
      <c r="Q459">
        <v>0</v>
      </c>
    </row>
    <row r="460" spans="1:17" x14ac:dyDescent="0.25">
      <c r="A460" s="15"/>
      <c r="B460" s="15"/>
      <c r="C460">
        <v>15</v>
      </c>
      <c r="D460" s="3">
        <v>361</v>
      </c>
      <c r="E460">
        <v>64</v>
      </c>
      <c r="F460">
        <v>713</v>
      </c>
      <c r="G460">
        <v>1070</v>
      </c>
      <c r="H460" s="7">
        <v>0</v>
      </c>
      <c r="I460">
        <v>0</v>
      </c>
      <c r="J460">
        <v>0</v>
      </c>
      <c r="K460" s="8">
        <v>0</v>
      </c>
      <c r="L460">
        <v>170</v>
      </c>
      <c r="M460">
        <v>28</v>
      </c>
      <c r="N460" s="10">
        <v>51</v>
      </c>
      <c r="O460" s="2">
        <f t="shared" si="14"/>
        <v>365.25850000000003</v>
      </c>
      <c r="P460" s="2">
        <f t="shared" si="16"/>
        <v>164.79374999999999</v>
      </c>
      <c r="Q460">
        <v>0</v>
      </c>
    </row>
    <row r="461" spans="1:17" x14ac:dyDescent="0.25">
      <c r="A461" s="15"/>
      <c r="B461" s="15"/>
      <c r="C461">
        <v>15</v>
      </c>
      <c r="D461" s="3">
        <v>361</v>
      </c>
      <c r="E461">
        <v>64</v>
      </c>
      <c r="F461">
        <v>713</v>
      </c>
      <c r="G461">
        <v>1070</v>
      </c>
      <c r="H461" s="7">
        <v>0</v>
      </c>
      <c r="I461">
        <v>0</v>
      </c>
      <c r="J461">
        <v>0</v>
      </c>
      <c r="K461" s="8">
        <v>0</v>
      </c>
      <c r="L461">
        <v>170</v>
      </c>
      <c r="M461">
        <v>90</v>
      </c>
      <c r="N461" s="10">
        <v>56</v>
      </c>
      <c r="O461" s="2">
        <f t="shared" ref="O461:O524" si="17">SUM((D461*0.83)+(E461*0.1032)+(F461*0.0139)+(G461*0.0459)+(K461*2))</f>
        <v>365.25850000000003</v>
      </c>
      <c r="P461" s="2">
        <f t="shared" si="16"/>
        <v>164.79374999999999</v>
      </c>
      <c r="Q461">
        <v>0</v>
      </c>
    </row>
    <row r="462" spans="1:17" x14ac:dyDescent="0.25">
      <c r="A462" s="15" t="s">
        <v>338</v>
      </c>
      <c r="B462" s="15" t="s">
        <v>337</v>
      </c>
      <c r="C462">
        <v>0</v>
      </c>
      <c r="D462" s="3">
        <v>383</v>
      </c>
      <c r="E462">
        <v>0</v>
      </c>
      <c r="F462">
        <v>575</v>
      </c>
      <c r="G462">
        <v>1150</v>
      </c>
      <c r="H462" s="7">
        <v>0</v>
      </c>
      <c r="I462">
        <v>0</v>
      </c>
      <c r="J462">
        <v>0</v>
      </c>
      <c r="K462" s="8">
        <v>0</v>
      </c>
      <c r="L462">
        <v>203</v>
      </c>
      <c r="M462">
        <v>7</v>
      </c>
      <c r="N462" s="10">
        <v>27.2</v>
      </c>
      <c r="O462" s="2">
        <f t="shared" si="17"/>
        <v>378.66750000000002</v>
      </c>
      <c r="P462" s="2">
        <f t="shared" si="16"/>
        <v>171.65625</v>
      </c>
      <c r="Q462">
        <v>98</v>
      </c>
    </row>
    <row r="463" spans="1:17" x14ac:dyDescent="0.25">
      <c r="A463" s="15"/>
      <c r="B463" s="15"/>
      <c r="C463">
        <v>0</v>
      </c>
      <c r="D463" s="3">
        <v>383</v>
      </c>
      <c r="E463">
        <v>0</v>
      </c>
      <c r="F463">
        <v>575</v>
      </c>
      <c r="G463">
        <v>1150</v>
      </c>
      <c r="H463" s="7">
        <v>0</v>
      </c>
      <c r="I463">
        <v>0</v>
      </c>
      <c r="J463">
        <v>0</v>
      </c>
      <c r="K463" s="8">
        <v>0</v>
      </c>
      <c r="L463">
        <v>203</v>
      </c>
      <c r="M463">
        <v>14</v>
      </c>
      <c r="N463" s="10">
        <v>32.299999999999997</v>
      </c>
      <c r="O463" s="2">
        <f t="shared" si="17"/>
        <v>378.66750000000002</v>
      </c>
      <c r="P463" s="2">
        <f t="shared" si="16"/>
        <v>171.65625</v>
      </c>
      <c r="Q463">
        <v>98</v>
      </c>
    </row>
    <row r="464" spans="1:17" x14ac:dyDescent="0.25">
      <c r="A464" s="15"/>
      <c r="B464" s="15"/>
      <c r="C464">
        <v>0</v>
      </c>
      <c r="D464" s="3">
        <v>383</v>
      </c>
      <c r="E464">
        <v>0</v>
      </c>
      <c r="F464">
        <v>575</v>
      </c>
      <c r="G464">
        <v>1150</v>
      </c>
      <c r="H464" s="7">
        <v>0</v>
      </c>
      <c r="I464">
        <v>0</v>
      </c>
      <c r="J464">
        <v>0</v>
      </c>
      <c r="K464" s="8">
        <v>0</v>
      </c>
      <c r="L464">
        <v>203</v>
      </c>
      <c r="M464">
        <v>28</v>
      </c>
      <c r="N464" s="10">
        <v>37.1</v>
      </c>
      <c r="O464" s="2">
        <f t="shared" si="17"/>
        <v>378.66750000000002</v>
      </c>
      <c r="P464" s="2">
        <f t="shared" si="16"/>
        <v>171.65625</v>
      </c>
      <c r="Q464">
        <v>98</v>
      </c>
    </row>
    <row r="465" spans="1:17" x14ac:dyDescent="0.25">
      <c r="A465" s="15"/>
      <c r="B465" s="15"/>
      <c r="C465">
        <v>0</v>
      </c>
      <c r="D465" s="3">
        <v>383</v>
      </c>
      <c r="E465">
        <v>0</v>
      </c>
      <c r="F465">
        <v>575</v>
      </c>
      <c r="G465">
        <v>1150</v>
      </c>
      <c r="H465" s="7">
        <v>0</v>
      </c>
      <c r="I465">
        <v>0</v>
      </c>
      <c r="J465">
        <v>0</v>
      </c>
      <c r="K465" s="8">
        <v>0</v>
      </c>
      <c r="L465">
        <v>203</v>
      </c>
      <c r="M465">
        <v>90</v>
      </c>
      <c r="N465" s="10">
        <v>38.299999999999997</v>
      </c>
      <c r="O465" s="2">
        <f t="shared" si="17"/>
        <v>378.66750000000002</v>
      </c>
      <c r="P465" s="2">
        <f t="shared" si="16"/>
        <v>171.65625</v>
      </c>
      <c r="Q465">
        <v>98</v>
      </c>
    </row>
    <row r="466" spans="1:17" x14ac:dyDescent="0.25">
      <c r="A466" s="15"/>
      <c r="B466" s="15"/>
      <c r="C466">
        <v>5</v>
      </c>
      <c r="D466" s="3">
        <v>364</v>
      </c>
      <c r="E466">
        <v>19</v>
      </c>
      <c r="F466">
        <v>575</v>
      </c>
      <c r="G466">
        <v>1150</v>
      </c>
      <c r="H466" s="7">
        <v>0</v>
      </c>
      <c r="I466">
        <v>0</v>
      </c>
      <c r="J466">
        <v>0</v>
      </c>
      <c r="K466" s="8">
        <v>0</v>
      </c>
      <c r="L466">
        <v>203</v>
      </c>
      <c r="M466">
        <v>7</v>
      </c>
      <c r="N466" s="10">
        <v>27.6</v>
      </c>
      <c r="O466" s="2">
        <f t="shared" si="17"/>
        <v>364.85830000000004</v>
      </c>
      <c r="P466" s="2">
        <f t="shared" si="16"/>
        <v>164.53125</v>
      </c>
      <c r="Q466">
        <v>106</v>
      </c>
    </row>
    <row r="467" spans="1:17" x14ac:dyDescent="0.25">
      <c r="A467" s="15"/>
      <c r="B467" s="15"/>
      <c r="C467">
        <v>5</v>
      </c>
      <c r="D467" s="3">
        <v>364</v>
      </c>
      <c r="E467">
        <v>19</v>
      </c>
      <c r="F467">
        <v>575</v>
      </c>
      <c r="G467">
        <v>1150</v>
      </c>
      <c r="H467" s="7">
        <v>0</v>
      </c>
      <c r="I467">
        <v>0</v>
      </c>
      <c r="J467">
        <v>0</v>
      </c>
      <c r="K467" s="8">
        <v>0</v>
      </c>
      <c r="L467">
        <v>203</v>
      </c>
      <c r="M467">
        <v>14</v>
      </c>
      <c r="N467" s="10">
        <v>34.200000000000003</v>
      </c>
      <c r="O467" s="2">
        <f t="shared" si="17"/>
        <v>364.85830000000004</v>
      </c>
      <c r="P467" s="2">
        <f t="shared" si="16"/>
        <v>164.53125</v>
      </c>
      <c r="Q467">
        <v>106</v>
      </c>
    </row>
    <row r="468" spans="1:17" x14ac:dyDescent="0.25">
      <c r="A468" s="15"/>
      <c r="B468" s="15"/>
      <c r="C468">
        <v>5</v>
      </c>
      <c r="D468" s="3">
        <v>364</v>
      </c>
      <c r="E468">
        <v>19</v>
      </c>
      <c r="F468">
        <v>575</v>
      </c>
      <c r="G468">
        <v>1150</v>
      </c>
      <c r="H468" s="7">
        <v>0</v>
      </c>
      <c r="I468">
        <v>0</v>
      </c>
      <c r="J468">
        <v>0</v>
      </c>
      <c r="K468" s="8">
        <v>0</v>
      </c>
      <c r="L468">
        <v>203</v>
      </c>
      <c r="M468">
        <v>28</v>
      </c>
      <c r="N468" s="10">
        <v>40</v>
      </c>
      <c r="O468" s="2">
        <f t="shared" si="17"/>
        <v>364.85830000000004</v>
      </c>
      <c r="P468" s="2">
        <f t="shared" si="16"/>
        <v>164.53125</v>
      </c>
      <c r="Q468">
        <v>106</v>
      </c>
    </row>
    <row r="469" spans="1:17" x14ac:dyDescent="0.25">
      <c r="A469" s="15"/>
      <c r="B469" s="15"/>
      <c r="C469">
        <v>5</v>
      </c>
      <c r="D469" s="3">
        <v>364</v>
      </c>
      <c r="E469">
        <v>19</v>
      </c>
      <c r="F469">
        <v>575</v>
      </c>
      <c r="G469">
        <v>1150</v>
      </c>
      <c r="H469" s="7">
        <v>0</v>
      </c>
      <c r="I469">
        <v>0</v>
      </c>
      <c r="J469">
        <v>0</v>
      </c>
      <c r="K469" s="8">
        <v>0</v>
      </c>
      <c r="L469">
        <v>203</v>
      </c>
      <c r="M469">
        <v>90</v>
      </c>
      <c r="N469" s="10">
        <v>43.3</v>
      </c>
      <c r="O469" s="2">
        <f t="shared" si="17"/>
        <v>364.85830000000004</v>
      </c>
      <c r="P469" s="2">
        <f t="shared" si="16"/>
        <v>164.53125</v>
      </c>
      <c r="Q469">
        <v>106</v>
      </c>
    </row>
    <row r="470" spans="1:17" x14ac:dyDescent="0.25">
      <c r="A470" s="15"/>
      <c r="B470" s="15"/>
      <c r="C470">
        <v>10</v>
      </c>
      <c r="D470" s="3">
        <v>345</v>
      </c>
      <c r="E470">
        <v>38</v>
      </c>
      <c r="F470">
        <v>575</v>
      </c>
      <c r="G470">
        <v>1150</v>
      </c>
      <c r="H470" s="7">
        <v>0</v>
      </c>
      <c r="I470">
        <v>0</v>
      </c>
      <c r="J470">
        <v>0</v>
      </c>
      <c r="K470" s="8">
        <v>0</v>
      </c>
      <c r="L470">
        <v>203</v>
      </c>
      <c r="M470">
        <v>7</v>
      </c>
      <c r="N470" s="10">
        <v>28</v>
      </c>
      <c r="O470" s="2">
        <f t="shared" si="17"/>
        <v>351.04910000000001</v>
      </c>
      <c r="P470" s="2">
        <f t="shared" si="16"/>
        <v>157.40625</v>
      </c>
      <c r="Q470">
        <v>115</v>
      </c>
    </row>
    <row r="471" spans="1:17" x14ac:dyDescent="0.25">
      <c r="A471" s="15"/>
      <c r="B471" s="15"/>
      <c r="C471">
        <v>10</v>
      </c>
      <c r="D471" s="3">
        <v>345</v>
      </c>
      <c r="E471">
        <v>38</v>
      </c>
      <c r="F471">
        <v>575</v>
      </c>
      <c r="G471">
        <v>1150</v>
      </c>
      <c r="H471" s="7">
        <v>0</v>
      </c>
      <c r="I471">
        <v>0</v>
      </c>
      <c r="J471">
        <v>0</v>
      </c>
      <c r="K471" s="8">
        <v>0</v>
      </c>
      <c r="L471">
        <v>203</v>
      </c>
      <c r="M471">
        <v>14</v>
      </c>
      <c r="N471" s="10">
        <v>35.299999999999997</v>
      </c>
      <c r="O471" s="2">
        <f t="shared" si="17"/>
        <v>351.04910000000001</v>
      </c>
      <c r="P471" s="2">
        <f t="shared" si="16"/>
        <v>157.40625</v>
      </c>
      <c r="Q471">
        <v>115</v>
      </c>
    </row>
    <row r="472" spans="1:17" x14ac:dyDescent="0.25">
      <c r="A472" s="15"/>
      <c r="B472" s="15"/>
      <c r="C472">
        <v>10</v>
      </c>
      <c r="D472" s="3">
        <v>345</v>
      </c>
      <c r="E472">
        <v>38</v>
      </c>
      <c r="F472">
        <v>575</v>
      </c>
      <c r="G472">
        <v>1150</v>
      </c>
      <c r="H472" s="7">
        <v>0</v>
      </c>
      <c r="I472">
        <v>0</v>
      </c>
      <c r="J472">
        <v>0</v>
      </c>
      <c r="K472" s="8">
        <v>0</v>
      </c>
      <c r="L472">
        <v>203</v>
      </c>
      <c r="M472">
        <v>28</v>
      </c>
      <c r="N472" s="10">
        <v>41.3</v>
      </c>
      <c r="O472" s="2">
        <f t="shared" si="17"/>
        <v>351.04910000000001</v>
      </c>
      <c r="P472" s="2">
        <f t="shared" si="16"/>
        <v>157.40625</v>
      </c>
      <c r="Q472">
        <v>115</v>
      </c>
    </row>
    <row r="473" spans="1:17" x14ac:dyDescent="0.25">
      <c r="A473" s="15"/>
      <c r="B473" s="15"/>
      <c r="C473">
        <v>10</v>
      </c>
      <c r="D473" s="3">
        <v>345</v>
      </c>
      <c r="E473">
        <v>38</v>
      </c>
      <c r="F473">
        <v>575</v>
      </c>
      <c r="G473">
        <v>1150</v>
      </c>
      <c r="H473" s="7">
        <v>0</v>
      </c>
      <c r="I473">
        <v>0</v>
      </c>
      <c r="J473">
        <v>0</v>
      </c>
      <c r="K473" s="8">
        <v>0</v>
      </c>
      <c r="L473">
        <v>203</v>
      </c>
      <c r="M473">
        <v>90</v>
      </c>
      <c r="N473" s="10">
        <v>44.8</v>
      </c>
      <c r="O473" s="2">
        <f t="shared" si="17"/>
        <v>351.04910000000001</v>
      </c>
      <c r="P473" s="2">
        <f t="shared" si="16"/>
        <v>157.40625</v>
      </c>
      <c r="Q473">
        <v>115</v>
      </c>
    </row>
    <row r="474" spans="1:17" x14ac:dyDescent="0.25">
      <c r="A474" s="15"/>
      <c r="B474" s="15"/>
      <c r="C474">
        <v>15</v>
      </c>
      <c r="D474" s="3">
        <v>326</v>
      </c>
      <c r="E474">
        <v>57</v>
      </c>
      <c r="F474">
        <v>575</v>
      </c>
      <c r="G474">
        <v>1150</v>
      </c>
      <c r="H474" s="7">
        <v>0</v>
      </c>
      <c r="I474">
        <v>0</v>
      </c>
      <c r="J474">
        <v>0</v>
      </c>
      <c r="K474" s="8">
        <v>0</v>
      </c>
      <c r="L474">
        <v>203</v>
      </c>
      <c r="M474">
        <v>7</v>
      </c>
      <c r="N474" s="10">
        <v>29.3</v>
      </c>
      <c r="O474" s="2">
        <f t="shared" si="17"/>
        <v>337.23990000000003</v>
      </c>
      <c r="P474" s="2">
        <f t="shared" si="16"/>
        <v>150.28125</v>
      </c>
      <c r="Q474">
        <v>91</v>
      </c>
    </row>
    <row r="475" spans="1:17" x14ac:dyDescent="0.25">
      <c r="A475" s="15"/>
      <c r="B475" s="15"/>
      <c r="C475">
        <v>15</v>
      </c>
      <c r="D475" s="3">
        <v>326</v>
      </c>
      <c r="E475">
        <v>57</v>
      </c>
      <c r="F475">
        <v>575</v>
      </c>
      <c r="G475">
        <v>1150</v>
      </c>
      <c r="H475" s="7">
        <v>0</v>
      </c>
      <c r="I475">
        <v>0</v>
      </c>
      <c r="J475">
        <v>0</v>
      </c>
      <c r="K475" s="8">
        <v>0</v>
      </c>
      <c r="L475">
        <v>203</v>
      </c>
      <c r="M475">
        <v>14</v>
      </c>
      <c r="N475" s="10">
        <v>36</v>
      </c>
      <c r="O475" s="2">
        <f t="shared" si="17"/>
        <v>337.23990000000003</v>
      </c>
      <c r="P475" s="2">
        <f t="shared" si="16"/>
        <v>150.28125</v>
      </c>
      <c r="Q475">
        <v>91</v>
      </c>
    </row>
    <row r="476" spans="1:17" x14ac:dyDescent="0.25">
      <c r="A476" s="15"/>
      <c r="B476" s="15"/>
      <c r="C476">
        <v>15</v>
      </c>
      <c r="D476" s="3">
        <v>326</v>
      </c>
      <c r="E476">
        <v>57</v>
      </c>
      <c r="F476">
        <v>575</v>
      </c>
      <c r="G476">
        <v>1150</v>
      </c>
      <c r="H476" s="7">
        <v>0</v>
      </c>
      <c r="I476">
        <v>0</v>
      </c>
      <c r="J476">
        <v>0</v>
      </c>
      <c r="K476" s="8">
        <v>0</v>
      </c>
      <c r="L476">
        <v>203</v>
      </c>
      <c r="M476">
        <v>28</v>
      </c>
      <c r="N476" s="10">
        <v>41.8</v>
      </c>
      <c r="O476" s="2">
        <f t="shared" si="17"/>
        <v>337.23990000000003</v>
      </c>
      <c r="P476" s="2">
        <f t="shared" si="16"/>
        <v>150.28125</v>
      </c>
      <c r="Q476">
        <v>91</v>
      </c>
    </row>
    <row r="477" spans="1:17" x14ac:dyDescent="0.25">
      <c r="A477" s="15"/>
      <c r="B477" s="15"/>
      <c r="C477">
        <v>15</v>
      </c>
      <c r="D477" s="3">
        <v>326</v>
      </c>
      <c r="E477">
        <v>57</v>
      </c>
      <c r="F477">
        <v>575</v>
      </c>
      <c r="G477">
        <v>1150</v>
      </c>
      <c r="H477" s="7">
        <v>0</v>
      </c>
      <c r="I477">
        <v>0</v>
      </c>
      <c r="J477">
        <v>0</v>
      </c>
      <c r="K477" s="8">
        <v>0</v>
      </c>
      <c r="L477">
        <v>203</v>
      </c>
      <c r="M477">
        <v>90</v>
      </c>
      <c r="N477" s="10">
        <v>45.7</v>
      </c>
      <c r="O477" s="2">
        <f t="shared" si="17"/>
        <v>337.23990000000003</v>
      </c>
      <c r="P477" s="2">
        <f t="shared" si="16"/>
        <v>150.28125</v>
      </c>
      <c r="Q477">
        <v>91</v>
      </c>
    </row>
    <row r="478" spans="1:17" x14ac:dyDescent="0.25">
      <c r="A478" s="15"/>
      <c r="B478" s="15"/>
      <c r="C478">
        <v>20</v>
      </c>
      <c r="D478" s="3">
        <v>306</v>
      </c>
      <c r="E478">
        <v>77</v>
      </c>
      <c r="F478">
        <v>575</v>
      </c>
      <c r="G478">
        <v>1150</v>
      </c>
      <c r="H478" s="7">
        <v>0</v>
      </c>
      <c r="I478">
        <v>0</v>
      </c>
      <c r="J478">
        <v>0</v>
      </c>
      <c r="K478" s="8">
        <v>0</v>
      </c>
      <c r="L478">
        <v>203</v>
      </c>
      <c r="M478">
        <v>7</v>
      </c>
      <c r="N478" s="10">
        <v>29.7</v>
      </c>
      <c r="O478" s="2">
        <f t="shared" si="17"/>
        <v>322.70390000000003</v>
      </c>
      <c r="P478" s="2">
        <f t="shared" si="16"/>
        <v>142.78125</v>
      </c>
      <c r="Q478">
        <v>81</v>
      </c>
    </row>
    <row r="479" spans="1:17" x14ac:dyDescent="0.25">
      <c r="A479" s="15"/>
      <c r="B479" s="15"/>
      <c r="C479">
        <v>20</v>
      </c>
      <c r="D479" s="3">
        <v>306</v>
      </c>
      <c r="E479">
        <v>77</v>
      </c>
      <c r="F479">
        <v>575</v>
      </c>
      <c r="G479">
        <v>1150</v>
      </c>
      <c r="H479" s="7">
        <v>0</v>
      </c>
      <c r="I479">
        <v>0</v>
      </c>
      <c r="J479">
        <v>0</v>
      </c>
      <c r="K479" s="8">
        <v>0</v>
      </c>
      <c r="L479">
        <v>203</v>
      </c>
      <c r="M479">
        <v>14</v>
      </c>
      <c r="N479" s="10">
        <v>39.299999999999997</v>
      </c>
      <c r="O479" s="2">
        <f t="shared" si="17"/>
        <v>322.70390000000003</v>
      </c>
      <c r="P479" s="2">
        <f t="shared" si="16"/>
        <v>142.78125</v>
      </c>
      <c r="Q479">
        <v>81</v>
      </c>
    </row>
    <row r="480" spans="1:17" x14ac:dyDescent="0.25">
      <c r="A480" s="15"/>
      <c r="B480" s="15"/>
      <c r="C480">
        <v>20</v>
      </c>
      <c r="D480" s="3">
        <v>306</v>
      </c>
      <c r="E480">
        <v>77</v>
      </c>
      <c r="F480">
        <v>575</v>
      </c>
      <c r="G480">
        <v>1150</v>
      </c>
      <c r="H480" s="7">
        <v>0</v>
      </c>
      <c r="I480">
        <v>0</v>
      </c>
      <c r="J480">
        <v>0</v>
      </c>
      <c r="K480" s="8">
        <v>0</v>
      </c>
      <c r="L480">
        <v>203</v>
      </c>
      <c r="M480">
        <v>28</v>
      </c>
      <c r="N480" s="10">
        <v>42.5</v>
      </c>
      <c r="O480" s="2">
        <f t="shared" si="17"/>
        <v>322.70390000000003</v>
      </c>
      <c r="P480" s="2">
        <f t="shared" si="16"/>
        <v>142.78125</v>
      </c>
      <c r="Q480">
        <v>81</v>
      </c>
    </row>
    <row r="481" spans="1:17" x14ac:dyDescent="0.25">
      <c r="A481" s="15"/>
      <c r="B481" s="15"/>
      <c r="C481">
        <v>20</v>
      </c>
      <c r="D481" s="3">
        <v>306</v>
      </c>
      <c r="E481">
        <v>77</v>
      </c>
      <c r="F481">
        <v>575</v>
      </c>
      <c r="G481">
        <v>1150</v>
      </c>
      <c r="H481" s="7">
        <v>0</v>
      </c>
      <c r="I481">
        <v>0</v>
      </c>
      <c r="J481">
        <v>0</v>
      </c>
      <c r="K481" s="8">
        <v>0</v>
      </c>
      <c r="L481">
        <v>203</v>
      </c>
      <c r="M481">
        <v>90</v>
      </c>
      <c r="N481" s="10">
        <v>46</v>
      </c>
      <c r="O481" s="2">
        <f t="shared" si="17"/>
        <v>322.70390000000003</v>
      </c>
      <c r="P481" s="2">
        <f t="shared" si="16"/>
        <v>142.78125</v>
      </c>
      <c r="Q481">
        <v>81</v>
      </c>
    </row>
    <row r="482" spans="1:17" x14ac:dyDescent="0.25">
      <c r="A482" s="15"/>
      <c r="B482" s="15"/>
      <c r="C482">
        <v>25</v>
      </c>
      <c r="D482" s="3">
        <v>287</v>
      </c>
      <c r="E482">
        <v>96</v>
      </c>
      <c r="F482">
        <v>575</v>
      </c>
      <c r="G482">
        <v>1150</v>
      </c>
      <c r="H482" s="7">
        <v>0</v>
      </c>
      <c r="I482">
        <v>0</v>
      </c>
      <c r="J482">
        <v>0</v>
      </c>
      <c r="K482" s="8">
        <v>0</v>
      </c>
      <c r="L482">
        <v>203</v>
      </c>
      <c r="M482">
        <v>7</v>
      </c>
      <c r="N482" s="10">
        <v>28.7</v>
      </c>
      <c r="O482" s="2">
        <f t="shared" si="17"/>
        <v>308.8947</v>
      </c>
      <c r="P482" s="2">
        <f t="shared" si="16"/>
        <v>135.65625</v>
      </c>
      <c r="Q482">
        <v>74</v>
      </c>
    </row>
    <row r="483" spans="1:17" x14ac:dyDescent="0.25">
      <c r="A483" s="15"/>
      <c r="B483" s="15"/>
      <c r="C483">
        <v>25</v>
      </c>
      <c r="D483" s="3">
        <v>287</v>
      </c>
      <c r="E483">
        <v>96</v>
      </c>
      <c r="F483">
        <v>575</v>
      </c>
      <c r="G483">
        <v>1150</v>
      </c>
      <c r="H483" s="7">
        <v>0</v>
      </c>
      <c r="I483">
        <v>0</v>
      </c>
      <c r="J483">
        <v>0</v>
      </c>
      <c r="K483" s="8">
        <v>0</v>
      </c>
      <c r="L483">
        <v>203</v>
      </c>
      <c r="M483">
        <v>14</v>
      </c>
      <c r="N483" s="10">
        <v>36.1</v>
      </c>
      <c r="O483" s="2">
        <f t="shared" si="17"/>
        <v>308.8947</v>
      </c>
      <c r="P483" s="2">
        <f t="shared" si="16"/>
        <v>135.65625</v>
      </c>
      <c r="Q483">
        <v>74</v>
      </c>
    </row>
    <row r="484" spans="1:17" x14ac:dyDescent="0.25">
      <c r="A484" s="15"/>
      <c r="B484" s="15"/>
      <c r="C484">
        <v>25</v>
      </c>
      <c r="D484" s="3">
        <v>287</v>
      </c>
      <c r="E484">
        <v>96</v>
      </c>
      <c r="F484">
        <v>575</v>
      </c>
      <c r="G484">
        <v>1150</v>
      </c>
      <c r="H484" s="7">
        <v>0</v>
      </c>
      <c r="I484">
        <v>0</v>
      </c>
      <c r="J484">
        <v>0</v>
      </c>
      <c r="K484" s="8">
        <v>0</v>
      </c>
      <c r="L484">
        <v>203</v>
      </c>
      <c r="M484">
        <v>28</v>
      </c>
      <c r="N484" s="10">
        <v>38.799999999999997</v>
      </c>
      <c r="O484" s="2">
        <f t="shared" si="17"/>
        <v>308.8947</v>
      </c>
      <c r="P484" s="2">
        <f t="shared" si="16"/>
        <v>135.65625</v>
      </c>
      <c r="Q484">
        <v>74</v>
      </c>
    </row>
    <row r="485" spans="1:17" x14ac:dyDescent="0.25">
      <c r="A485" s="15"/>
      <c r="B485" s="15"/>
      <c r="C485">
        <v>25</v>
      </c>
      <c r="D485" s="3">
        <v>287</v>
      </c>
      <c r="E485">
        <v>96</v>
      </c>
      <c r="F485">
        <v>575</v>
      </c>
      <c r="G485">
        <v>1150</v>
      </c>
      <c r="H485" s="7">
        <v>0</v>
      </c>
      <c r="I485">
        <v>0</v>
      </c>
      <c r="J485">
        <v>0</v>
      </c>
      <c r="K485" s="8">
        <v>0</v>
      </c>
      <c r="L485">
        <v>203</v>
      </c>
      <c r="M485">
        <v>90</v>
      </c>
      <c r="N485" s="10">
        <v>43</v>
      </c>
      <c r="O485" s="2">
        <f t="shared" si="17"/>
        <v>308.8947</v>
      </c>
      <c r="P485" s="2">
        <f t="shared" si="16"/>
        <v>135.65625</v>
      </c>
      <c r="Q485">
        <v>74</v>
      </c>
    </row>
    <row r="486" spans="1:17" x14ac:dyDescent="0.25">
      <c r="A486" s="15"/>
      <c r="B486" s="15"/>
      <c r="C486">
        <v>30</v>
      </c>
      <c r="D486" s="3">
        <v>268</v>
      </c>
      <c r="E486">
        <v>115</v>
      </c>
      <c r="F486">
        <v>575</v>
      </c>
      <c r="G486">
        <v>1150</v>
      </c>
      <c r="H486" s="7">
        <v>0</v>
      </c>
      <c r="I486">
        <v>0</v>
      </c>
      <c r="J486">
        <v>0</v>
      </c>
      <c r="K486" s="8">
        <v>0</v>
      </c>
      <c r="L486">
        <v>203</v>
      </c>
      <c r="M486">
        <v>7</v>
      </c>
      <c r="N486" s="10">
        <v>27.4</v>
      </c>
      <c r="O486" s="2">
        <f t="shared" si="17"/>
        <v>295.08550000000002</v>
      </c>
      <c r="P486" s="2">
        <f t="shared" si="16"/>
        <v>128.53125</v>
      </c>
      <c r="Q486">
        <v>64</v>
      </c>
    </row>
    <row r="487" spans="1:17" x14ac:dyDescent="0.25">
      <c r="A487" s="15"/>
      <c r="B487" s="15"/>
      <c r="C487">
        <v>30</v>
      </c>
      <c r="D487" s="3">
        <v>268</v>
      </c>
      <c r="E487">
        <v>115</v>
      </c>
      <c r="F487">
        <v>575</v>
      </c>
      <c r="G487">
        <v>1150</v>
      </c>
      <c r="H487" s="7">
        <v>0</v>
      </c>
      <c r="I487">
        <v>0</v>
      </c>
      <c r="J487">
        <v>0</v>
      </c>
      <c r="K487" s="8">
        <v>0</v>
      </c>
      <c r="L487">
        <v>203</v>
      </c>
      <c r="M487">
        <v>14</v>
      </c>
      <c r="N487" s="10">
        <v>33.5</v>
      </c>
      <c r="O487" s="2">
        <f t="shared" si="17"/>
        <v>295.08550000000002</v>
      </c>
      <c r="P487" s="2">
        <f t="shared" si="16"/>
        <v>128.53125</v>
      </c>
      <c r="Q487">
        <v>64</v>
      </c>
    </row>
    <row r="488" spans="1:17" x14ac:dyDescent="0.25">
      <c r="A488" s="15"/>
      <c r="B488" s="15"/>
      <c r="C488">
        <v>30</v>
      </c>
      <c r="D488" s="3">
        <v>268</v>
      </c>
      <c r="E488">
        <v>115</v>
      </c>
      <c r="F488">
        <v>575</v>
      </c>
      <c r="G488">
        <v>1150</v>
      </c>
      <c r="H488" s="7">
        <v>0</v>
      </c>
      <c r="I488">
        <v>0</v>
      </c>
      <c r="J488">
        <v>0</v>
      </c>
      <c r="K488" s="8">
        <v>0</v>
      </c>
      <c r="L488">
        <v>203</v>
      </c>
      <c r="M488">
        <v>28</v>
      </c>
      <c r="N488" s="10">
        <v>37.6</v>
      </c>
      <c r="O488" s="2">
        <f t="shared" si="17"/>
        <v>295.08550000000002</v>
      </c>
      <c r="P488" s="2">
        <f t="shared" si="16"/>
        <v>128.53125</v>
      </c>
      <c r="Q488">
        <v>64</v>
      </c>
    </row>
    <row r="489" spans="1:17" x14ac:dyDescent="0.25">
      <c r="A489" s="15"/>
      <c r="B489" s="15"/>
      <c r="C489">
        <v>30</v>
      </c>
      <c r="D489" s="3">
        <v>268</v>
      </c>
      <c r="E489">
        <v>115</v>
      </c>
      <c r="F489">
        <v>575</v>
      </c>
      <c r="G489">
        <v>1150</v>
      </c>
      <c r="H489" s="7">
        <v>0</v>
      </c>
      <c r="I489">
        <v>0</v>
      </c>
      <c r="J489">
        <v>0</v>
      </c>
      <c r="K489" s="8">
        <v>0</v>
      </c>
      <c r="L489">
        <v>203</v>
      </c>
      <c r="M489">
        <v>90</v>
      </c>
      <c r="N489" s="10">
        <v>38.700000000000003</v>
      </c>
      <c r="O489" s="2">
        <f t="shared" si="17"/>
        <v>295.08550000000002</v>
      </c>
      <c r="P489" s="2">
        <f t="shared" si="16"/>
        <v>128.53125</v>
      </c>
      <c r="Q489">
        <v>64</v>
      </c>
    </row>
    <row r="490" spans="1:17" x14ac:dyDescent="0.25">
      <c r="A490" s="15"/>
      <c r="B490" s="15"/>
      <c r="C490">
        <v>35</v>
      </c>
      <c r="D490" s="3">
        <v>249</v>
      </c>
      <c r="E490">
        <v>134</v>
      </c>
      <c r="F490">
        <v>575</v>
      </c>
      <c r="G490">
        <v>1150</v>
      </c>
      <c r="H490" s="7">
        <v>0</v>
      </c>
      <c r="I490">
        <v>0</v>
      </c>
      <c r="J490">
        <v>0</v>
      </c>
      <c r="K490" s="8">
        <v>0</v>
      </c>
      <c r="L490">
        <v>203</v>
      </c>
      <c r="M490">
        <v>7</v>
      </c>
      <c r="N490" s="10">
        <v>25.7</v>
      </c>
      <c r="O490" s="2">
        <f t="shared" si="17"/>
        <v>281.27629999999999</v>
      </c>
      <c r="P490" s="2">
        <f t="shared" si="16"/>
        <v>121.40625</v>
      </c>
      <c r="Q490">
        <v>41</v>
      </c>
    </row>
    <row r="491" spans="1:17" x14ac:dyDescent="0.25">
      <c r="A491" s="15"/>
      <c r="B491" s="15"/>
      <c r="C491">
        <v>35</v>
      </c>
      <c r="D491" s="3">
        <v>249</v>
      </c>
      <c r="E491">
        <v>134</v>
      </c>
      <c r="F491">
        <v>575</v>
      </c>
      <c r="G491">
        <v>1150</v>
      </c>
      <c r="H491" s="7">
        <v>0</v>
      </c>
      <c r="I491">
        <v>0</v>
      </c>
      <c r="J491">
        <v>0</v>
      </c>
      <c r="K491" s="8">
        <v>0</v>
      </c>
      <c r="L491">
        <v>203</v>
      </c>
      <c r="M491">
        <v>14</v>
      </c>
      <c r="N491" s="10">
        <v>31.1</v>
      </c>
      <c r="O491" s="2">
        <f t="shared" si="17"/>
        <v>281.27629999999999</v>
      </c>
      <c r="P491" s="2">
        <f t="shared" si="16"/>
        <v>121.40625</v>
      </c>
      <c r="Q491">
        <v>41</v>
      </c>
    </row>
    <row r="492" spans="1:17" x14ac:dyDescent="0.25">
      <c r="A492" s="15"/>
      <c r="B492" s="15"/>
      <c r="C492">
        <v>35</v>
      </c>
      <c r="D492" s="3">
        <v>249</v>
      </c>
      <c r="E492">
        <v>134</v>
      </c>
      <c r="F492">
        <v>575</v>
      </c>
      <c r="G492">
        <v>1150</v>
      </c>
      <c r="H492" s="7">
        <v>0</v>
      </c>
      <c r="I492">
        <v>0</v>
      </c>
      <c r="J492">
        <v>0</v>
      </c>
      <c r="K492" s="8">
        <v>0</v>
      </c>
      <c r="L492">
        <v>203</v>
      </c>
      <c r="M492">
        <v>28</v>
      </c>
      <c r="N492" s="10">
        <v>35.1</v>
      </c>
      <c r="O492" s="2">
        <f t="shared" si="17"/>
        <v>281.27629999999999</v>
      </c>
      <c r="P492" s="2">
        <f t="shared" si="16"/>
        <v>121.40625</v>
      </c>
      <c r="Q492">
        <v>41</v>
      </c>
    </row>
    <row r="493" spans="1:17" x14ac:dyDescent="0.25">
      <c r="A493" s="15"/>
      <c r="B493" s="15"/>
      <c r="C493">
        <v>35</v>
      </c>
      <c r="D493" s="3">
        <v>249</v>
      </c>
      <c r="E493">
        <v>134</v>
      </c>
      <c r="F493">
        <v>575</v>
      </c>
      <c r="G493">
        <v>1150</v>
      </c>
      <c r="H493" s="7">
        <v>0</v>
      </c>
      <c r="I493">
        <v>0</v>
      </c>
      <c r="J493">
        <v>0</v>
      </c>
      <c r="K493" s="8">
        <v>0</v>
      </c>
      <c r="L493">
        <v>203</v>
      </c>
      <c r="M493">
        <v>90</v>
      </c>
      <c r="N493" s="10">
        <v>37.200000000000003</v>
      </c>
      <c r="O493" s="2">
        <f t="shared" si="17"/>
        <v>281.27629999999999</v>
      </c>
      <c r="P493" s="2">
        <f t="shared" si="16"/>
        <v>121.40625</v>
      </c>
      <c r="Q493">
        <v>41</v>
      </c>
    </row>
    <row r="494" spans="1:17" x14ac:dyDescent="0.25">
      <c r="A494" s="15" t="s">
        <v>340</v>
      </c>
      <c r="B494" s="15" t="s">
        <v>339</v>
      </c>
      <c r="C494">
        <v>0</v>
      </c>
      <c r="D494" s="3">
        <v>550</v>
      </c>
      <c r="E494">
        <v>0</v>
      </c>
      <c r="F494">
        <v>550</v>
      </c>
      <c r="G494">
        <v>1283</v>
      </c>
      <c r="H494" s="7">
        <v>0</v>
      </c>
      <c r="I494">
        <v>0</v>
      </c>
      <c r="J494">
        <v>0</v>
      </c>
      <c r="K494" s="8">
        <v>5.6</v>
      </c>
      <c r="L494">
        <v>165</v>
      </c>
      <c r="M494">
        <v>1</v>
      </c>
      <c r="N494" s="10">
        <v>22</v>
      </c>
      <c r="O494" s="2">
        <f t="shared" si="17"/>
        <v>534.23469999999998</v>
      </c>
      <c r="P494" s="2">
        <f t="shared" si="16"/>
        <v>244.20749999999998</v>
      </c>
      <c r="Q494">
        <v>0</v>
      </c>
    </row>
    <row r="495" spans="1:17" x14ac:dyDescent="0.25">
      <c r="A495" s="15"/>
      <c r="B495" s="15"/>
      <c r="C495">
        <v>0</v>
      </c>
      <c r="D495" s="3">
        <v>550</v>
      </c>
      <c r="E495">
        <v>0</v>
      </c>
      <c r="F495">
        <v>550</v>
      </c>
      <c r="G495">
        <v>1283</v>
      </c>
      <c r="H495" s="7">
        <v>0</v>
      </c>
      <c r="I495">
        <v>0</v>
      </c>
      <c r="J495">
        <v>0</v>
      </c>
      <c r="K495" s="8">
        <v>5.6</v>
      </c>
      <c r="L495">
        <v>165</v>
      </c>
      <c r="M495">
        <v>3</v>
      </c>
      <c r="N495" s="10">
        <v>43.5</v>
      </c>
      <c r="O495" s="2">
        <f t="shared" si="17"/>
        <v>534.23469999999998</v>
      </c>
      <c r="P495" s="2">
        <f t="shared" si="16"/>
        <v>244.20749999999998</v>
      </c>
      <c r="Q495">
        <v>0</v>
      </c>
    </row>
    <row r="496" spans="1:17" x14ac:dyDescent="0.25">
      <c r="A496" s="15"/>
      <c r="B496" s="15"/>
      <c r="C496">
        <v>0</v>
      </c>
      <c r="D496" s="3">
        <v>550</v>
      </c>
      <c r="E496">
        <v>0</v>
      </c>
      <c r="F496">
        <v>550</v>
      </c>
      <c r="G496">
        <v>1283</v>
      </c>
      <c r="H496" s="7">
        <v>0</v>
      </c>
      <c r="I496">
        <v>0</v>
      </c>
      <c r="J496">
        <v>0</v>
      </c>
      <c r="K496" s="8">
        <v>5.6</v>
      </c>
      <c r="L496">
        <v>165</v>
      </c>
      <c r="M496">
        <v>7</v>
      </c>
      <c r="N496" s="10">
        <v>53.6</v>
      </c>
      <c r="O496" s="2">
        <f t="shared" si="17"/>
        <v>534.23469999999998</v>
      </c>
      <c r="P496" s="2">
        <f t="shared" si="16"/>
        <v>244.20749999999998</v>
      </c>
      <c r="Q496">
        <v>0</v>
      </c>
    </row>
    <row r="497" spans="1:17" x14ac:dyDescent="0.25">
      <c r="A497" s="15"/>
      <c r="B497" s="15"/>
      <c r="C497">
        <v>0</v>
      </c>
      <c r="D497" s="3">
        <v>550</v>
      </c>
      <c r="E497">
        <v>0</v>
      </c>
      <c r="F497">
        <v>550</v>
      </c>
      <c r="G497">
        <v>1283</v>
      </c>
      <c r="H497" s="7">
        <v>0</v>
      </c>
      <c r="I497">
        <v>0</v>
      </c>
      <c r="J497">
        <v>0</v>
      </c>
      <c r="K497" s="8">
        <v>5.6</v>
      </c>
      <c r="L497">
        <v>165</v>
      </c>
      <c r="M497">
        <v>28</v>
      </c>
      <c r="N497" s="10">
        <v>63.5</v>
      </c>
      <c r="O497" s="2">
        <f t="shared" si="17"/>
        <v>534.23469999999998</v>
      </c>
      <c r="P497" s="2">
        <f t="shared" si="16"/>
        <v>244.20749999999998</v>
      </c>
      <c r="Q497">
        <v>0</v>
      </c>
    </row>
    <row r="498" spans="1:17" x14ac:dyDescent="0.25">
      <c r="A498" s="15"/>
      <c r="B498" s="15"/>
      <c r="C498">
        <v>0</v>
      </c>
      <c r="D498" s="3">
        <v>550</v>
      </c>
      <c r="E498">
        <v>0</v>
      </c>
      <c r="F498">
        <v>550</v>
      </c>
      <c r="G498">
        <v>1283</v>
      </c>
      <c r="H498" s="7">
        <v>0</v>
      </c>
      <c r="I498">
        <v>0</v>
      </c>
      <c r="J498">
        <v>0</v>
      </c>
      <c r="K498" s="8">
        <v>5.6</v>
      </c>
      <c r="L498">
        <v>165</v>
      </c>
      <c r="M498">
        <v>90</v>
      </c>
      <c r="N498" s="10">
        <v>71.7</v>
      </c>
      <c r="O498" s="2">
        <f t="shared" si="17"/>
        <v>534.23469999999998</v>
      </c>
      <c r="P498" s="2">
        <f t="shared" si="16"/>
        <v>244.20749999999998</v>
      </c>
      <c r="Q498">
        <v>0</v>
      </c>
    </row>
    <row r="499" spans="1:17" x14ac:dyDescent="0.25">
      <c r="A499" s="15"/>
      <c r="B499" s="15"/>
      <c r="C499">
        <v>10</v>
      </c>
      <c r="D499" s="3">
        <v>495</v>
      </c>
      <c r="E499">
        <v>55</v>
      </c>
      <c r="F499">
        <v>546</v>
      </c>
      <c r="G499">
        <v>1273</v>
      </c>
      <c r="H499" s="7">
        <v>0</v>
      </c>
      <c r="I499">
        <v>0</v>
      </c>
      <c r="J499">
        <v>0</v>
      </c>
      <c r="K499" s="8">
        <v>5.8</v>
      </c>
      <c r="L499">
        <v>165</v>
      </c>
      <c r="M499">
        <v>1</v>
      </c>
      <c r="N499" s="10">
        <v>22.7</v>
      </c>
      <c r="O499" s="2">
        <f t="shared" si="17"/>
        <v>494.14609999999999</v>
      </c>
      <c r="P499" s="2">
        <f t="shared" si="16"/>
        <v>223.6575</v>
      </c>
      <c r="Q499">
        <v>0</v>
      </c>
    </row>
    <row r="500" spans="1:17" x14ac:dyDescent="0.25">
      <c r="A500" s="15"/>
      <c r="B500" s="15"/>
      <c r="C500">
        <v>10</v>
      </c>
      <c r="D500" s="3">
        <v>495</v>
      </c>
      <c r="E500">
        <v>55</v>
      </c>
      <c r="F500">
        <v>546</v>
      </c>
      <c r="G500">
        <v>1273</v>
      </c>
      <c r="H500" s="7">
        <v>0</v>
      </c>
      <c r="I500">
        <v>0</v>
      </c>
      <c r="J500">
        <v>0</v>
      </c>
      <c r="K500" s="8">
        <v>5.8</v>
      </c>
      <c r="L500">
        <v>165</v>
      </c>
      <c r="M500">
        <v>3</v>
      </c>
      <c r="N500" s="10">
        <v>47.9</v>
      </c>
      <c r="O500" s="2">
        <f t="shared" si="17"/>
        <v>494.14609999999999</v>
      </c>
      <c r="P500" s="2">
        <f t="shared" si="16"/>
        <v>223.6575</v>
      </c>
      <c r="Q500">
        <v>0</v>
      </c>
    </row>
    <row r="501" spans="1:17" x14ac:dyDescent="0.25">
      <c r="A501" s="15"/>
      <c r="B501" s="15"/>
      <c r="C501">
        <v>10</v>
      </c>
      <c r="D501" s="3">
        <v>495</v>
      </c>
      <c r="E501">
        <v>55</v>
      </c>
      <c r="F501">
        <v>546</v>
      </c>
      <c r="G501">
        <v>1273</v>
      </c>
      <c r="H501" s="7">
        <v>0</v>
      </c>
      <c r="I501">
        <v>0</v>
      </c>
      <c r="J501">
        <v>0</v>
      </c>
      <c r="K501" s="8">
        <v>5.8</v>
      </c>
      <c r="L501">
        <v>165</v>
      </c>
      <c r="M501">
        <v>7</v>
      </c>
      <c r="N501" s="10">
        <v>60.6</v>
      </c>
      <c r="O501" s="2">
        <f t="shared" si="17"/>
        <v>494.14609999999999</v>
      </c>
      <c r="P501" s="2">
        <f t="shared" si="16"/>
        <v>223.6575</v>
      </c>
      <c r="Q501">
        <v>0</v>
      </c>
    </row>
    <row r="502" spans="1:17" x14ac:dyDescent="0.25">
      <c r="A502" s="15"/>
      <c r="B502" s="15"/>
      <c r="C502">
        <v>10</v>
      </c>
      <c r="D502" s="3">
        <v>495</v>
      </c>
      <c r="E502">
        <v>55</v>
      </c>
      <c r="F502">
        <v>546</v>
      </c>
      <c r="G502">
        <v>1273</v>
      </c>
      <c r="H502" s="7">
        <v>0</v>
      </c>
      <c r="I502">
        <v>0</v>
      </c>
      <c r="J502">
        <v>0</v>
      </c>
      <c r="K502" s="8">
        <v>5.8</v>
      </c>
      <c r="L502">
        <v>165</v>
      </c>
      <c r="M502">
        <v>28</v>
      </c>
      <c r="N502" s="10">
        <v>72.8</v>
      </c>
      <c r="O502" s="2">
        <f t="shared" si="17"/>
        <v>494.14609999999999</v>
      </c>
      <c r="P502" s="2">
        <f t="shared" si="16"/>
        <v>223.6575</v>
      </c>
      <c r="Q502">
        <v>0</v>
      </c>
    </row>
    <row r="503" spans="1:17" x14ac:dyDescent="0.25">
      <c r="A503" s="15"/>
      <c r="B503" s="15"/>
      <c r="C503">
        <v>10</v>
      </c>
      <c r="D503" s="3">
        <v>495</v>
      </c>
      <c r="E503">
        <v>55</v>
      </c>
      <c r="F503">
        <v>546</v>
      </c>
      <c r="G503">
        <v>1273</v>
      </c>
      <c r="H503" s="7">
        <v>0</v>
      </c>
      <c r="I503">
        <v>0</v>
      </c>
      <c r="J503">
        <v>0</v>
      </c>
      <c r="K503" s="8">
        <v>5.8</v>
      </c>
      <c r="L503">
        <v>165</v>
      </c>
      <c r="M503">
        <v>90</v>
      </c>
      <c r="N503" s="10">
        <v>83.2</v>
      </c>
      <c r="O503" s="2">
        <f t="shared" si="17"/>
        <v>494.14609999999999</v>
      </c>
      <c r="P503" s="2">
        <f t="shared" si="16"/>
        <v>223.6575</v>
      </c>
      <c r="Q503">
        <v>0</v>
      </c>
    </row>
    <row r="504" spans="1:17" x14ac:dyDescent="0.25">
      <c r="A504" s="15"/>
      <c r="B504" s="15"/>
      <c r="C504">
        <v>15</v>
      </c>
      <c r="D504" s="3">
        <v>468</v>
      </c>
      <c r="E504">
        <v>82</v>
      </c>
      <c r="F504">
        <v>543</v>
      </c>
      <c r="G504">
        <v>1267</v>
      </c>
      <c r="H504" s="7">
        <v>0</v>
      </c>
      <c r="I504">
        <v>0</v>
      </c>
      <c r="J504">
        <v>0</v>
      </c>
      <c r="K504" s="8">
        <v>6.1</v>
      </c>
      <c r="L504">
        <v>165</v>
      </c>
      <c r="M504">
        <v>1</v>
      </c>
      <c r="N504" s="10">
        <v>22.9</v>
      </c>
      <c r="O504" s="2">
        <f t="shared" si="17"/>
        <v>474.80540000000002</v>
      </c>
      <c r="P504" s="2">
        <f t="shared" si="16"/>
        <v>213.83625000000001</v>
      </c>
      <c r="Q504">
        <v>0</v>
      </c>
    </row>
    <row r="505" spans="1:17" x14ac:dyDescent="0.25">
      <c r="A505" s="15"/>
      <c r="B505" s="15"/>
      <c r="C505">
        <v>15</v>
      </c>
      <c r="D505" s="3">
        <v>468</v>
      </c>
      <c r="E505">
        <v>82</v>
      </c>
      <c r="F505">
        <v>543</v>
      </c>
      <c r="G505">
        <v>1267</v>
      </c>
      <c r="H505" s="7">
        <v>0</v>
      </c>
      <c r="I505">
        <v>0</v>
      </c>
      <c r="J505">
        <v>0</v>
      </c>
      <c r="K505" s="8">
        <v>6.1</v>
      </c>
      <c r="L505">
        <v>165</v>
      </c>
      <c r="M505">
        <v>3</v>
      </c>
      <c r="N505" s="10">
        <v>49</v>
      </c>
      <c r="O505" s="2">
        <f t="shared" si="17"/>
        <v>474.80540000000002</v>
      </c>
      <c r="P505" s="2">
        <f t="shared" si="16"/>
        <v>213.83625000000001</v>
      </c>
      <c r="Q505">
        <v>0</v>
      </c>
    </row>
    <row r="506" spans="1:17" x14ac:dyDescent="0.25">
      <c r="A506" s="15"/>
      <c r="B506" s="15"/>
      <c r="C506">
        <v>15</v>
      </c>
      <c r="D506" s="3">
        <v>468</v>
      </c>
      <c r="E506">
        <v>82</v>
      </c>
      <c r="F506">
        <v>543</v>
      </c>
      <c r="G506">
        <v>1267</v>
      </c>
      <c r="H506" s="7">
        <v>0</v>
      </c>
      <c r="I506">
        <v>0</v>
      </c>
      <c r="J506">
        <v>0</v>
      </c>
      <c r="K506" s="8">
        <v>6.1</v>
      </c>
      <c r="L506">
        <v>165</v>
      </c>
      <c r="M506">
        <v>7</v>
      </c>
      <c r="N506" s="10">
        <v>62.5</v>
      </c>
      <c r="O506" s="2">
        <f t="shared" si="17"/>
        <v>474.80540000000002</v>
      </c>
      <c r="P506" s="2">
        <f t="shared" si="16"/>
        <v>213.83625000000001</v>
      </c>
      <c r="Q506">
        <v>0</v>
      </c>
    </row>
    <row r="507" spans="1:17" x14ac:dyDescent="0.25">
      <c r="A507" s="15"/>
      <c r="B507" s="15"/>
      <c r="C507">
        <v>15</v>
      </c>
      <c r="D507" s="3">
        <v>468</v>
      </c>
      <c r="E507">
        <v>82</v>
      </c>
      <c r="F507">
        <v>543</v>
      </c>
      <c r="G507">
        <v>1267</v>
      </c>
      <c r="H507" s="7">
        <v>0</v>
      </c>
      <c r="I507">
        <v>0</v>
      </c>
      <c r="J507">
        <v>0</v>
      </c>
      <c r="K507" s="8">
        <v>6.1</v>
      </c>
      <c r="L507">
        <v>165</v>
      </c>
      <c r="M507">
        <v>28</v>
      </c>
      <c r="N507" s="10">
        <v>75.099999999999994</v>
      </c>
      <c r="O507" s="2">
        <f t="shared" si="17"/>
        <v>474.80540000000002</v>
      </c>
      <c r="P507" s="2">
        <f t="shared" si="16"/>
        <v>213.83625000000001</v>
      </c>
      <c r="Q507">
        <v>0</v>
      </c>
    </row>
    <row r="508" spans="1:17" x14ac:dyDescent="0.25">
      <c r="A508" s="15"/>
      <c r="B508" s="15"/>
      <c r="C508">
        <v>15</v>
      </c>
      <c r="D508" s="3">
        <v>468</v>
      </c>
      <c r="E508">
        <v>82</v>
      </c>
      <c r="F508">
        <v>543</v>
      </c>
      <c r="G508">
        <v>1267</v>
      </c>
      <c r="H508" s="7">
        <v>0</v>
      </c>
      <c r="I508">
        <v>0</v>
      </c>
      <c r="J508">
        <v>0</v>
      </c>
      <c r="K508" s="8">
        <v>6.1</v>
      </c>
      <c r="L508">
        <v>165</v>
      </c>
      <c r="M508">
        <v>90</v>
      </c>
      <c r="N508" s="10">
        <v>84.9</v>
      </c>
      <c r="O508" s="2">
        <f t="shared" si="17"/>
        <v>474.80540000000002</v>
      </c>
      <c r="P508" s="2">
        <f t="shared" si="16"/>
        <v>213.83625000000001</v>
      </c>
      <c r="Q508">
        <v>0</v>
      </c>
    </row>
    <row r="509" spans="1:17" x14ac:dyDescent="0.25">
      <c r="A509" s="15"/>
      <c r="B509" s="15"/>
      <c r="C509">
        <v>20</v>
      </c>
      <c r="D509" s="3">
        <v>440</v>
      </c>
      <c r="E509">
        <v>110</v>
      </c>
      <c r="F509">
        <v>540</v>
      </c>
      <c r="G509">
        <v>1261</v>
      </c>
      <c r="H509" s="7">
        <v>0</v>
      </c>
      <c r="I509">
        <v>0</v>
      </c>
      <c r="J509">
        <v>0</v>
      </c>
      <c r="K509" s="8">
        <v>6.3</v>
      </c>
      <c r="L509">
        <v>165</v>
      </c>
      <c r="M509">
        <v>1</v>
      </c>
      <c r="N509" s="10">
        <v>23.1</v>
      </c>
      <c r="O509" s="2">
        <f t="shared" si="17"/>
        <v>454.53789999999998</v>
      </c>
      <c r="P509" s="2">
        <f t="shared" si="16"/>
        <v>203.48999999999998</v>
      </c>
      <c r="Q509">
        <v>0</v>
      </c>
    </row>
    <row r="510" spans="1:17" x14ac:dyDescent="0.25">
      <c r="A510" s="15"/>
      <c r="B510" s="15"/>
      <c r="C510">
        <v>20</v>
      </c>
      <c r="D510" s="3">
        <v>440</v>
      </c>
      <c r="E510">
        <v>110</v>
      </c>
      <c r="F510">
        <v>540</v>
      </c>
      <c r="G510">
        <v>1261</v>
      </c>
      <c r="H510" s="7">
        <v>0</v>
      </c>
      <c r="I510">
        <v>0</v>
      </c>
      <c r="J510">
        <v>0</v>
      </c>
      <c r="K510" s="8">
        <v>6.3</v>
      </c>
      <c r="L510">
        <v>165</v>
      </c>
      <c r="M510">
        <v>3</v>
      </c>
      <c r="N510" s="10">
        <v>51.5</v>
      </c>
      <c r="O510" s="2">
        <f t="shared" si="17"/>
        <v>454.53789999999998</v>
      </c>
      <c r="P510" s="2">
        <f t="shared" si="16"/>
        <v>203.48999999999998</v>
      </c>
      <c r="Q510">
        <v>0</v>
      </c>
    </row>
    <row r="511" spans="1:17" x14ac:dyDescent="0.25">
      <c r="A511" s="15"/>
      <c r="B511" s="15"/>
      <c r="C511">
        <v>20</v>
      </c>
      <c r="D511" s="3">
        <v>440</v>
      </c>
      <c r="E511">
        <v>110</v>
      </c>
      <c r="F511">
        <v>540</v>
      </c>
      <c r="G511">
        <v>1261</v>
      </c>
      <c r="H511" s="7">
        <v>0</v>
      </c>
      <c r="I511">
        <v>0</v>
      </c>
      <c r="J511">
        <v>0</v>
      </c>
      <c r="K511" s="8">
        <v>6.3</v>
      </c>
      <c r="L511">
        <v>165</v>
      </c>
      <c r="M511">
        <v>7</v>
      </c>
      <c r="N511" s="10">
        <v>64.3</v>
      </c>
      <c r="O511" s="2">
        <f t="shared" si="17"/>
        <v>454.53789999999998</v>
      </c>
      <c r="P511" s="2">
        <f t="shared" si="16"/>
        <v>203.48999999999998</v>
      </c>
      <c r="Q511">
        <v>0</v>
      </c>
    </row>
    <row r="512" spans="1:17" x14ac:dyDescent="0.25">
      <c r="A512" s="15"/>
      <c r="B512" s="15"/>
      <c r="C512">
        <v>20</v>
      </c>
      <c r="D512" s="3">
        <v>440</v>
      </c>
      <c r="E512">
        <v>110</v>
      </c>
      <c r="F512">
        <v>540</v>
      </c>
      <c r="G512">
        <v>1261</v>
      </c>
      <c r="H512" s="7">
        <v>0</v>
      </c>
      <c r="I512">
        <v>0</v>
      </c>
      <c r="J512">
        <v>0</v>
      </c>
      <c r="K512" s="8">
        <v>6.3</v>
      </c>
      <c r="L512">
        <v>165</v>
      </c>
      <c r="M512">
        <v>28</v>
      </c>
      <c r="N512" s="10">
        <v>78.2</v>
      </c>
      <c r="O512" s="2">
        <f t="shared" si="17"/>
        <v>454.53789999999998</v>
      </c>
      <c r="P512" s="2">
        <f t="shared" si="16"/>
        <v>203.48999999999998</v>
      </c>
      <c r="Q512">
        <v>0</v>
      </c>
    </row>
    <row r="513" spans="1:17" x14ac:dyDescent="0.25">
      <c r="A513" s="15"/>
      <c r="B513" s="15"/>
      <c r="C513">
        <v>20</v>
      </c>
      <c r="D513" s="3">
        <v>440</v>
      </c>
      <c r="E513">
        <v>110</v>
      </c>
      <c r="F513">
        <v>540</v>
      </c>
      <c r="G513">
        <v>1261</v>
      </c>
      <c r="H513" s="7">
        <v>0</v>
      </c>
      <c r="I513">
        <v>0</v>
      </c>
      <c r="J513">
        <v>0</v>
      </c>
      <c r="K513" s="8">
        <v>6.3</v>
      </c>
      <c r="L513">
        <v>165</v>
      </c>
      <c r="M513">
        <v>90</v>
      </c>
      <c r="N513" s="10">
        <v>86.8</v>
      </c>
      <c r="O513" s="2">
        <f t="shared" si="17"/>
        <v>454.53789999999998</v>
      </c>
      <c r="P513" s="2">
        <f t="shared" si="16"/>
        <v>203.48999999999998</v>
      </c>
      <c r="Q513">
        <v>0</v>
      </c>
    </row>
    <row r="514" spans="1:17" x14ac:dyDescent="0.25">
      <c r="A514" s="15"/>
      <c r="B514" s="15"/>
      <c r="C514">
        <v>0</v>
      </c>
      <c r="D514" s="3">
        <v>500</v>
      </c>
      <c r="E514">
        <v>0</v>
      </c>
      <c r="F514">
        <v>567</v>
      </c>
      <c r="G514">
        <v>1324</v>
      </c>
      <c r="H514" s="7">
        <v>0</v>
      </c>
      <c r="I514">
        <v>0</v>
      </c>
      <c r="J514">
        <v>0</v>
      </c>
      <c r="K514" s="8">
        <v>5.5</v>
      </c>
      <c r="L514">
        <v>160</v>
      </c>
      <c r="M514">
        <v>1</v>
      </c>
      <c r="N514" s="10">
        <v>20.9</v>
      </c>
      <c r="O514" s="2">
        <f t="shared" si="17"/>
        <v>494.65290000000005</v>
      </c>
      <c r="P514" s="2">
        <f t="shared" si="16"/>
        <v>226.24125000000001</v>
      </c>
      <c r="Q514">
        <v>0</v>
      </c>
    </row>
    <row r="515" spans="1:17" x14ac:dyDescent="0.25">
      <c r="A515" s="15"/>
      <c r="B515" s="15"/>
      <c r="C515">
        <v>0</v>
      </c>
      <c r="D515" s="3">
        <v>500</v>
      </c>
      <c r="E515">
        <v>0</v>
      </c>
      <c r="F515">
        <v>567</v>
      </c>
      <c r="G515">
        <v>1324</v>
      </c>
      <c r="H515" s="7">
        <v>0</v>
      </c>
      <c r="I515">
        <v>0</v>
      </c>
      <c r="J515">
        <v>0</v>
      </c>
      <c r="K515" s="8">
        <v>5.5</v>
      </c>
      <c r="L515">
        <v>160</v>
      </c>
      <c r="M515">
        <v>3</v>
      </c>
      <c r="N515" s="10">
        <v>41.3</v>
      </c>
      <c r="O515" s="2">
        <f t="shared" si="17"/>
        <v>494.65290000000005</v>
      </c>
      <c r="P515" s="2">
        <f t="shared" ref="P515:P578" si="18">SUM((D515*5)+((F515*0.25)+(G515*0.2)+(K515*20)))*0.075</f>
        <v>226.24125000000001</v>
      </c>
      <c r="Q515">
        <v>0</v>
      </c>
    </row>
    <row r="516" spans="1:17" x14ac:dyDescent="0.25">
      <c r="A516" s="15"/>
      <c r="B516" s="15"/>
      <c r="C516">
        <v>0</v>
      </c>
      <c r="D516" s="3">
        <v>500</v>
      </c>
      <c r="E516">
        <v>0</v>
      </c>
      <c r="F516">
        <v>567</v>
      </c>
      <c r="G516">
        <v>1324</v>
      </c>
      <c r="H516" s="7">
        <v>0</v>
      </c>
      <c r="I516">
        <v>0</v>
      </c>
      <c r="J516">
        <v>0</v>
      </c>
      <c r="K516" s="8">
        <v>5.5</v>
      </c>
      <c r="L516">
        <v>160</v>
      </c>
      <c r="M516">
        <v>7</v>
      </c>
      <c r="N516" s="10">
        <v>51</v>
      </c>
      <c r="O516" s="2">
        <f t="shared" si="17"/>
        <v>494.65290000000005</v>
      </c>
      <c r="P516" s="2">
        <f t="shared" si="18"/>
        <v>226.24125000000001</v>
      </c>
      <c r="Q516">
        <v>0</v>
      </c>
    </row>
    <row r="517" spans="1:17" x14ac:dyDescent="0.25">
      <c r="A517" s="15"/>
      <c r="B517" s="15"/>
      <c r="C517">
        <v>0</v>
      </c>
      <c r="D517" s="3">
        <v>500</v>
      </c>
      <c r="E517">
        <v>0</v>
      </c>
      <c r="F517">
        <v>567</v>
      </c>
      <c r="G517">
        <v>1324</v>
      </c>
      <c r="H517" s="7">
        <v>0</v>
      </c>
      <c r="I517">
        <v>0</v>
      </c>
      <c r="J517">
        <v>0</v>
      </c>
      <c r="K517" s="8">
        <v>5.5</v>
      </c>
      <c r="L517">
        <v>160</v>
      </c>
      <c r="M517">
        <v>28</v>
      </c>
      <c r="N517" s="10">
        <v>59.6</v>
      </c>
      <c r="O517" s="2">
        <f t="shared" si="17"/>
        <v>494.65290000000005</v>
      </c>
      <c r="P517" s="2">
        <f t="shared" si="18"/>
        <v>226.24125000000001</v>
      </c>
      <c r="Q517">
        <v>0</v>
      </c>
    </row>
    <row r="518" spans="1:17" x14ac:dyDescent="0.25">
      <c r="A518" s="15"/>
      <c r="B518" s="15"/>
      <c r="C518">
        <v>0</v>
      </c>
      <c r="D518" s="3">
        <v>500</v>
      </c>
      <c r="E518">
        <v>0</v>
      </c>
      <c r="F518">
        <v>567</v>
      </c>
      <c r="G518">
        <v>1324</v>
      </c>
      <c r="H518" s="7">
        <v>0</v>
      </c>
      <c r="I518">
        <v>0</v>
      </c>
      <c r="J518">
        <v>0</v>
      </c>
      <c r="K518" s="8">
        <v>5.5</v>
      </c>
      <c r="L518">
        <v>160</v>
      </c>
      <c r="M518">
        <v>90</v>
      </c>
      <c r="N518" s="10">
        <v>66.8</v>
      </c>
      <c r="O518" s="2">
        <f t="shared" si="17"/>
        <v>494.65290000000005</v>
      </c>
      <c r="P518" s="2">
        <f t="shared" si="18"/>
        <v>226.24125000000001</v>
      </c>
      <c r="Q518">
        <v>0</v>
      </c>
    </row>
    <row r="519" spans="1:17" x14ac:dyDescent="0.25">
      <c r="A519" s="15"/>
      <c r="B519" s="15"/>
      <c r="C519">
        <v>10</v>
      </c>
      <c r="D519" s="3">
        <v>450</v>
      </c>
      <c r="E519">
        <v>50</v>
      </c>
      <c r="F519">
        <v>562</v>
      </c>
      <c r="G519">
        <v>1313</v>
      </c>
      <c r="H519" s="7">
        <v>0</v>
      </c>
      <c r="I519">
        <v>0</v>
      </c>
      <c r="J519">
        <v>0</v>
      </c>
      <c r="K519" s="8">
        <v>5.72</v>
      </c>
      <c r="L519">
        <v>160</v>
      </c>
      <c r="M519">
        <v>1</v>
      </c>
      <c r="N519" s="10">
        <v>21.7</v>
      </c>
      <c r="O519" s="2">
        <f t="shared" si="17"/>
        <v>458.17850000000004</v>
      </c>
      <c r="P519" s="2">
        <f t="shared" si="18"/>
        <v>207.5625</v>
      </c>
      <c r="Q519">
        <v>0</v>
      </c>
    </row>
    <row r="520" spans="1:17" x14ac:dyDescent="0.25">
      <c r="A520" s="15"/>
      <c r="B520" s="15"/>
      <c r="C520">
        <v>10</v>
      </c>
      <c r="D520" s="3">
        <v>450</v>
      </c>
      <c r="E520">
        <v>50</v>
      </c>
      <c r="F520">
        <v>562</v>
      </c>
      <c r="G520">
        <v>1313</v>
      </c>
      <c r="H520" s="7">
        <v>0</v>
      </c>
      <c r="I520">
        <v>0</v>
      </c>
      <c r="J520">
        <v>0</v>
      </c>
      <c r="K520" s="8">
        <v>5.72</v>
      </c>
      <c r="L520">
        <v>160</v>
      </c>
      <c r="M520">
        <v>3</v>
      </c>
      <c r="N520" s="10">
        <v>45.8</v>
      </c>
      <c r="O520" s="2">
        <f t="shared" si="17"/>
        <v>458.17850000000004</v>
      </c>
      <c r="P520" s="2">
        <f t="shared" si="18"/>
        <v>207.5625</v>
      </c>
      <c r="Q520">
        <v>0</v>
      </c>
    </row>
    <row r="521" spans="1:17" x14ac:dyDescent="0.25">
      <c r="A521" s="15"/>
      <c r="B521" s="15"/>
      <c r="C521">
        <v>10</v>
      </c>
      <c r="D521" s="3">
        <v>450</v>
      </c>
      <c r="E521">
        <v>50</v>
      </c>
      <c r="F521">
        <v>562</v>
      </c>
      <c r="G521">
        <v>1313</v>
      </c>
      <c r="H521" s="7">
        <v>0</v>
      </c>
      <c r="I521">
        <v>0</v>
      </c>
      <c r="J521">
        <v>0</v>
      </c>
      <c r="K521" s="8">
        <v>5.72</v>
      </c>
      <c r="L521">
        <v>160</v>
      </c>
      <c r="M521">
        <v>7</v>
      </c>
      <c r="N521" s="10">
        <v>58</v>
      </c>
      <c r="O521" s="2">
        <f t="shared" si="17"/>
        <v>458.17850000000004</v>
      </c>
      <c r="P521" s="2">
        <f t="shared" si="18"/>
        <v>207.5625</v>
      </c>
      <c r="Q521">
        <v>0</v>
      </c>
    </row>
    <row r="522" spans="1:17" x14ac:dyDescent="0.25">
      <c r="A522" s="15"/>
      <c r="B522" s="15"/>
      <c r="C522">
        <v>10</v>
      </c>
      <c r="D522" s="3">
        <v>450</v>
      </c>
      <c r="E522">
        <v>50</v>
      </c>
      <c r="F522">
        <v>562</v>
      </c>
      <c r="G522">
        <v>1313</v>
      </c>
      <c r="H522" s="7">
        <v>0</v>
      </c>
      <c r="I522">
        <v>0</v>
      </c>
      <c r="J522">
        <v>0</v>
      </c>
      <c r="K522" s="8">
        <v>5.72</v>
      </c>
      <c r="L522">
        <v>160</v>
      </c>
      <c r="M522">
        <v>28</v>
      </c>
      <c r="N522" s="10">
        <v>68.8</v>
      </c>
      <c r="O522" s="2">
        <f t="shared" si="17"/>
        <v>458.17850000000004</v>
      </c>
      <c r="P522" s="2">
        <f t="shared" si="18"/>
        <v>207.5625</v>
      </c>
      <c r="Q522">
        <v>0</v>
      </c>
    </row>
    <row r="523" spans="1:17" x14ac:dyDescent="0.25">
      <c r="A523" s="15"/>
      <c r="B523" s="15"/>
      <c r="C523">
        <v>10</v>
      </c>
      <c r="D523" s="3">
        <v>450</v>
      </c>
      <c r="E523">
        <v>50</v>
      </c>
      <c r="F523">
        <v>562</v>
      </c>
      <c r="G523">
        <v>1313</v>
      </c>
      <c r="H523" s="7">
        <v>0</v>
      </c>
      <c r="I523">
        <v>0</v>
      </c>
      <c r="J523">
        <v>0</v>
      </c>
      <c r="K523" s="8">
        <v>5.72</v>
      </c>
      <c r="L523">
        <v>160</v>
      </c>
      <c r="M523">
        <v>90</v>
      </c>
      <c r="N523" s="10">
        <v>78.2</v>
      </c>
      <c r="O523" s="2">
        <f t="shared" si="17"/>
        <v>458.17850000000004</v>
      </c>
      <c r="P523" s="2">
        <f t="shared" si="18"/>
        <v>207.5625</v>
      </c>
      <c r="Q523">
        <v>0</v>
      </c>
    </row>
    <row r="524" spans="1:17" x14ac:dyDescent="0.25">
      <c r="A524" s="15"/>
      <c r="B524" s="15"/>
      <c r="C524">
        <v>15</v>
      </c>
      <c r="D524" s="3">
        <v>425</v>
      </c>
      <c r="E524">
        <v>75</v>
      </c>
      <c r="F524">
        <v>560</v>
      </c>
      <c r="G524">
        <v>1307</v>
      </c>
      <c r="H524" s="7">
        <v>0</v>
      </c>
      <c r="I524">
        <v>0</v>
      </c>
      <c r="J524">
        <v>0</v>
      </c>
      <c r="K524" s="8">
        <v>6</v>
      </c>
      <c r="L524">
        <v>160</v>
      </c>
      <c r="M524">
        <v>1</v>
      </c>
      <c r="N524" s="10">
        <v>21.8</v>
      </c>
      <c r="O524" s="2">
        <f t="shared" si="17"/>
        <v>440.26530000000002</v>
      </c>
      <c r="P524" s="2">
        <f t="shared" si="18"/>
        <v>198.48</v>
      </c>
      <c r="Q524">
        <v>0</v>
      </c>
    </row>
    <row r="525" spans="1:17" x14ac:dyDescent="0.25">
      <c r="A525" s="15"/>
      <c r="B525" s="15"/>
      <c r="C525">
        <v>15</v>
      </c>
      <c r="D525" s="3">
        <v>425</v>
      </c>
      <c r="E525">
        <v>75</v>
      </c>
      <c r="F525">
        <v>560</v>
      </c>
      <c r="G525">
        <v>1307</v>
      </c>
      <c r="H525" s="7">
        <v>0</v>
      </c>
      <c r="I525">
        <v>0</v>
      </c>
      <c r="J525">
        <v>0</v>
      </c>
      <c r="K525" s="8">
        <v>6</v>
      </c>
      <c r="L525">
        <v>160</v>
      </c>
      <c r="M525">
        <v>3</v>
      </c>
      <c r="N525" s="10">
        <v>46.5</v>
      </c>
      <c r="O525" s="2">
        <f t="shared" ref="O525:O588" si="19">SUM((D525*0.83)+(E525*0.1032)+(F525*0.0139)+(G525*0.0459)+(K525*2))</f>
        <v>440.26530000000002</v>
      </c>
      <c r="P525" s="2">
        <f t="shared" si="18"/>
        <v>198.48</v>
      </c>
      <c r="Q525">
        <v>0</v>
      </c>
    </row>
    <row r="526" spans="1:17" x14ac:dyDescent="0.25">
      <c r="A526" s="15"/>
      <c r="B526" s="15"/>
      <c r="C526">
        <v>15</v>
      </c>
      <c r="D526" s="3">
        <v>425</v>
      </c>
      <c r="E526">
        <v>75</v>
      </c>
      <c r="F526">
        <v>560</v>
      </c>
      <c r="G526">
        <v>1307</v>
      </c>
      <c r="H526" s="7">
        <v>0</v>
      </c>
      <c r="I526">
        <v>0</v>
      </c>
      <c r="J526">
        <v>0</v>
      </c>
      <c r="K526" s="8">
        <v>6</v>
      </c>
      <c r="L526">
        <v>160</v>
      </c>
      <c r="M526">
        <v>7</v>
      </c>
      <c r="N526" s="10">
        <v>61.2</v>
      </c>
      <c r="O526" s="2">
        <f t="shared" si="19"/>
        <v>440.26530000000002</v>
      </c>
      <c r="P526" s="2">
        <f t="shared" si="18"/>
        <v>198.48</v>
      </c>
      <c r="Q526">
        <v>0</v>
      </c>
    </row>
    <row r="527" spans="1:17" x14ac:dyDescent="0.25">
      <c r="A527" s="15"/>
      <c r="B527" s="15"/>
      <c r="C527">
        <v>15</v>
      </c>
      <c r="D527" s="3">
        <v>425</v>
      </c>
      <c r="E527">
        <v>75</v>
      </c>
      <c r="F527">
        <v>560</v>
      </c>
      <c r="G527">
        <v>1307</v>
      </c>
      <c r="H527" s="7">
        <v>0</v>
      </c>
      <c r="I527">
        <v>0</v>
      </c>
      <c r="J527">
        <v>0</v>
      </c>
      <c r="K527" s="8">
        <v>6</v>
      </c>
      <c r="L527">
        <v>160</v>
      </c>
      <c r="M527">
        <v>28</v>
      </c>
      <c r="N527" s="10">
        <v>72.2</v>
      </c>
      <c r="O527" s="2">
        <f t="shared" si="19"/>
        <v>440.26530000000002</v>
      </c>
      <c r="P527" s="2">
        <f t="shared" si="18"/>
        <v>198.48</v>
      </c>
      <c r="Q527">
        <v>0</v>
      </c>
    </row>
    <row r="528" spans="1:17" x14ac:dyDescent="0.25">
      <c r="A528" s="15"/>
      <c r="B528" s="15"/>
      <c r="C528">
        <v>15</v>
      </c>
      <c r="D528" s="3">
        <v>425</v>
      </c>
      <c r="E528">
        <v>75</v>
      </c>
      <c r="F528">
        <v>560</v>
      </c>
      <c r="G528">
        <v>1307</v>
      </c>
      <c r="H528" s="7">
        <v>0</v>
      </c>
      <c r="I528">
        <v>0</v>
      </c>
      <c r="J528">
        <v>0</v>
      </c>
      <c r="K528" s="8">
        <v>6</v>
      </c>
      <c r="L528">
        <v>160</v>
      </c>
      <c r="M528">
        <v>90</v>
      </c>
      <c r="N528" s="10">
        <v>81.5</v>
      </c>
      <c r="O528" s="2">
        <f t="shared" si="19"/>
        <v>440.26530000000002</v>
      </c>
      <c r="P528" s="2">
        <f t="shared" si="18"/>
        <v>198.48</v>
      </c>
      <c r="Q528">
        <v>0</v>
      </c>
    </row>
    <row r="529" spans="1:17" x14ac:dyDescent="0.25">
      <c r="A529" s="15"/>
      <c r="B529" s="15"/>
      <c r="C529">
        <v>20</v>
      </c>
      <c r="D529" s="3">
        <v>400</v>
      </c>
      <c r="E529">
        <v>100</v>
      </c>
      <c r="F529">
        <v>558</v>
      </c>
      <c r="G529">
        <v>1301</v>
      </c>
      <c r="H529" s="7">
        <v>0</v>
      </c>
      <c r="I529">
        <v>0</v>
      </c>
      <c r="J529">
        <v>0</v>
      </c>
      <c r="K529" s="8">
        <v>6.22</v>
      </c>
      <c r="L529">
        <v>160</v>
      </c>
      <c r="M529">
        <v>1</v>
      </c>
      <c r="N529" s="10">
        <v>22</v>
      </c>
      <c r="O529" s="2">
        <f t="shared" si="19"/>
        <v>422.2321</v>
      </c>
      <c r="P529" s="2">
        <f t="shared" si="18"/>
        <v>189.30749999999998</v>
      </c>
      <c r="Q529">
        <v>0</v>
      </c>
    </row>
    <row r="530" spans="1:17" x14ac:dyDescent="0.25">
      <c r="A530" s="15"/>
      <c r="B530" s="15"/>
      <c r="C530">
        <v>20</v>
      </c>
      <c r="D530" s="3">
        <v>400</v>
      </c>
      <c r="E530">
        <v>100</v>
      </c>
      <c r="F530">
        <v>558</v>
      </c>
      <c r="G530">
        <v>1301</v>
      </c>
      <c r="H530" s="7">
        <v>0</v>
      </c>
      <c r="I530">
        <v>0</v>
      </c>
      <c r="J530">
        <v>0</v>
      </c>
      <c r="K530" s="8">
        <v>6.22</v>
      </c>
      <c r="L530">
        <v>160</v>
      </c>
      <c r="M530">
        <v>3</v>
      </c>
      <c r="N530" s="10">
        <v>48.7</v>
      </c>
      <c r="O530" s="2">
        <f t="shared" si="19"/>
        <v>422.2321</v>
      </c>
      <c r="P530" s="2">
        <f t="shared" si="18"/>
        <v>189.30749999999998</v>
      </c>
      <c r="Q530">
        <v>0</v>
      </c>
    </row>
    <row r="531" spans="1:17" x14ac:dyDescent="0.25">
      <c r="A531" s="15"/>
      <c r="B531" s="15"/>
      <c r="C531">
        <v>20</v>
      </c>
      <c r="D531" s="3">
        <v>400</v>
      </c>
      <c r="E531">
        <v>100</v>
      </c>
      <c r="F531">
        <v>558</v>
      </c>
      <c r="G531">
        <v>1301</v>
      </c>
      <c r="H531" s="7">
        <v>0</v>
      </c>
      <c r="I531">
        <v>0</v>
      </c>
      <c r="J531">
        <v>0</v>
      </c>
      <c r="K531" s="8">
        <v>6.22</v>
      </c>
      <c r="L531">
        <v>160</v>
      </c>
      <c r="M531">
        <v>7</v>
      </c>
      <c r="N531" s="10">
        <v>61.8</v>
      </c>
      <c r="O531" s="2">
        <f t="shared" si="19"/>
        <v>422.2321</v>
      </c>
      <c r="P531" s="2">
        <f t="shared" si="18"/>
        <v>189.30749999999998</v>
      </c>
      <c r="Q531">
        <v>0</v>
      </c>
    </row>
    <row r="532" spans="1:17" x14ac:dyDescent="0.25">
      <c r="A532" s="15"/>
      <c r="B532" s="15"/>
      <c r="C532">
        <v>20</v>
      </c>
      <c r="D532" s="3">
        <v>400</v>
      </c>
      <c r="E532">
        <v>100</v>
      </c>
      <c r="F532">
        <v>558</v>
      </c>
      <c r="G532">
        <v>1301</v>
      </c>
      <c r="H532" s="7">
        <v>0</v>
      </c>
      <c r="I532">
        <v>0</v>
      </c>
      <c r="J532">
        <v>0</v>
      </c>
      <c r="K532" s="8">
        <v>6.22</v>
      </c>
      <c r="L532">
        <v>160</v>
      </c>
      <c r="M532">
        <v>28</v>
      </c>
      <c r="N532" s="10">
        <v>72.7</v>
      </c>
      <c r="O532" s="2">
        <f t="shared" si="19"/>
        <v>422.2321</v>
      </c>
      <c r="P532" s="2">
        <f t="shared" si="18"/>
        <v>189.30749999999998</v>
      </c>
      <c r="Q532">
        <v>0</v>
      </c>
    </row>
    <row r="533" spans="1:17" x14ac:dyDescent="0.25">
      <c r="A533" s="15"/>
      <c r="B533" s="15"/>
      <c r="C533">
        <v>20</v>
      </c>
      <c r="D533" s="3">
        <v>400</v>
      </c>
      <c r="E533">
        <v>100</v>
      </c>
      <c r="F533">
        <v>558</v>
      </c>
      <c r="G533">
        <v>1301</v>
      </c>
      <c r="H533" s="7">
        <v>0</v>
      </c>
      <c r="I533">
        <v>0</v>
      </c>
      <c r="J533">
        <v>0</v>
      </c>
      <c r="K533" s="8">
        <v>6.22</v>
      </c>
      <c r="L533">
        <v>160</v>
      </c>
      <c r="M533">
        <v>90</v>
      </c>
      <c r="N533" s="10">
        <v>82.2</v>
      </c>
      <c r="O533" s="2">
        <f t="shared" si="19"/>
        <v>422.2321</v>
      </c>
      <c r="P533" s="2">
        <f t="shared" si="18"/>
        <v>189.30749999999998</v>
      </c>
      <c r="Q533">
        <v>0</v>
      </c>
    </row>
    <row r="534" spans="1:17" x14ac:dyDescent="0.25">
      <c r="A534" s="15"/>
      <c r="B534" s="15"/>
      <c r="C534">
        <v>0</v>
      </c>
      <c r="D534" s="3">
        <v>500</v>
      </c>
      <c r="E534">
        <v>0</v>
      </c>
      <c r="F534">
        <v>560</v>
      </c>
      <c r="G534">
        <v>1305</v>
      </c>
      <c r="H534" s="7">
        <v>0</v>
      </c>
      <c r="I534">
        <v>0</v>
      </c>
      <c r="J534">
        <v>0</v>
      </c>
      <c r="K534" s="8">
        <v>5</v>
      </c>
      <c r="L534">
        <v>170</v>
      </c>
      <c r="M534">
        <v>1</v>
      </c>
      <c r="N534" s="10">
        <v>18.899999999999999</v>
      </c>
      <c r="O534" s="2">
        <f t="shared" si="19"/>
        <v>492.68349999999998</v>
      </c>
      <c r="P534" s="2">
        <f t="shared" si="18"/>
        <v>225.07499999999999</v>
      </c>
      <c r="Q534">
        <v>0</v>
      </c>
    </row>
    <row r="535" spans="1:17" x14ac:dyDescent="0.25">
      <c r="A535" s="15"/>
      <c r="B535" s="15"/>
      <c r="C535">
        <v>0</v>
      </c>
      <c r="D535" s="3">
        <v>500</v>
      </c>
      <c r="E535">
        <v>0</v>
      </c>
      <c r="F535">
        <v>560</v>
      </c>
      <c r="G535">
        <v>1305</v>
      </c>
      <c r="H535" s="7">
        <v>0</v>
      </c>
      <c r="I535">
        <v>0</v>
      </c>
      <c r="J535">
        <v>0</v>
      </c>
      <c r="K535" s="8">
        <v>5</v>
      </c>
      <c r="L535">
        <v>170</v>
      </c>
      <c r="M535">
        <v>3</v>
      </c>
      <c r="N535" s="10">
        <v>39.9</v>
      </c>
      <c r="O535" s="2">
        <f t="shared" si="19"/>
        <v>492.68349999999998</v>
      </c>
      <c r="P535" s="2">
        <f t="shared" si="18"/>
        <v>225.07499999999999</v>
      </c>
      <c r="Q535">
        <v>0</v>
      </c>
    </row>
    <row r="536" spans="1:17" x14ac:dyDescent="0.25">
      <c r="A536" s="15"/>
      <c r="B536" s="15"/>
      <c r="C536">
        <v>0</v>
      </c>
      <c r="D536" s="3">
        <v>500</v>
      </c>
      <c r="E536">
        <v>0</v>
      </c>
      <c r="F536">
        <v>560</v>
      </c>
      <c r="G536">
        <v>1305</v>
      </c>
      <c r="H536" s="7">
        <v>0</v>
      </c>
      <c r="I536">
        <v>0</v>
      </c>
      <c r="J536">
        <v>0</v>
      </c>
      <c r="K536" s="8">
        <v>5</v>
      </c>
      <c r="L536">
        <v>170</v>
      </c>
      <c r="M536">
        <v>7</v>
      </c>
      <c r="N536" s="10">
        <v>49.8</v>
      </c>
      <c r="O536" s="2">
        <f t="shared" si="19"/>
        <v>492.68349999999998</v>
      </c>
      <c r="P536" s="2">
        <f t="shared" si="18"/>
        <v>225.07499999999999</v>
      </c>
      <c r="Q536">
        <v>0</v>
      </c>
    </row>
    <row r="537" spans="1:17" x14ac:dyDescent="0.25">
      <c r="A537" s="15"/>
      <c r="B537" s="15"/>
      <c r="C537">
        <v>0</v>
      </c>
      <c r="D537" s="3">
        <v>500</v>
      </c>
      <c r="E537">
        <v>0</v>
      </c>
      <c r="F537">
        <v>560</v>
      </c>
      <c r="G537">
        <v>1305</v>
      </c>
      <c r="H537" s="7">
        <v>0</v>
      </c>
      <c r="I537">
        <v>0</v>
      </c>
      <c r="J537">
        <v>0</v>
      </c>
      <c r="K537" s="8">
        <v>5</v>
      </c>
      <c r="L537">
        <v>170</v>
      </c>
      <c r="M537">
        <v>28</v>
      </c>
      <c r="N537" s="10">
        <v>57.9</v>
      </c>
      <c r="O537" s="2">
        <f t="shared" si="19"/>
        <v>492.68349999999998</v>
      </c>
      <c r="P537" s="2">
        <f t="shared" si="18"/>
        <v>225.07499999999999</v>
      </c>
      <c r="Q537">
        <v>0</v>
      </c>
    </row>
    <row r="538" spans="1:17" x14ac:dyDescent="0.25">
      <c r="A538" s="15"/>
      <c r="B538" s="15"/>
      <c r="C538">
        <v>0</v>
      </c>
      <c r="D538" s="3">
        <v>500</v>
      </c>
      <c r="E538">
        <v>0</v>
      </c>
      <c r="F538">
        <v>560</v>
      </c>
      <c r="G538">
        <v>1305</v>
      </c>
      <c r="H538" s="7">
        <v>0</v>
      </c>
      <c r="I538">
        <v>0</v>
      </c>
      <c r="J538">
        <v>0</v>
      </c>
      <c r="K538" s="8">
        <v>5</v>
      </c>
      <c r="L538">
        <v>170</v>
      </c>
      <c r="M538">
        <v>90</v>
      </c>
      <c r="N538" s="10">
        <v>64.900000000000006</v>
      </c>
      <c r="O538" s="2">
        <f t="shared" si="19"/>
        <v>492.68349999999998</v>
      </c>
      <c r="P538" s="2">
        <f t="shared" si="18"/>
        <v>225.07499999999999</v>
      </c>
      <c r="Q538">
        <v>0</v>
      </c>
    </row>
    <row r="539" spans="1:17" x14ac:dyDescent="0.25">
      <c r="A539" s="15"/>
      <c r="B539" s="15"/>
      <c r="C539">
        <v>10</v>
      </c>
      <c r="D539" s="3">
        <v>450</v>
      </c>
      <c r="E539">
        <v>50</v>
      </c>
      <c r="F539">
        <v>555</v>
      </c>
      <c r="G539">
        <v>1294</v>
      </c>
      <c r="H539" s="7">
        <v>0</v>
      </c>
      <c r="I539">
        <v>0</v>
      </c>
      <c r="J539">
        <v>0</v>
      </c>
      <c r="K539" s="8">
        <v>5</v>
      </c>
      <c r="L539">
        <v>170</v>
      </c>
      <c r="M539">
        <v>1</v>
      </c>
      <c r="N539" s="10">
        <v>19.5</v>
      </c>
      <c r="O539" s="2">
        <f t="shared" si="19"/>
        <v>455.76910000000004</v>
      </c>
      <c r="P539" s="2">
        <f t="shared" si="18"/>
        <v>206.06625</v>
      </c>
      <c r="Q539">
        <v>0</v>
      </c>
    </row>
    <row r="540" spans="1:17" x14ac:dyDescent="0.25">
      <c r="A540" s="15"/>
      <c r="B540" s="15"/>
      <c r="C540">
        <v>10</v>
      </c>
      <c r="D540" s="3">
        <v>450</v>
      </c>
      <c r="E540">
        <v>50</v>
      </c>
      <c r="F540">
        <v>555</v>
      </c>
      <c r="G540">
        <v>1294</v>
      </c>
      <c r="H540" s="7">
        <v>0</v>
      </c>
      <c r="I540">
        <v>0</v>
      </c>
      <c r="J540">
        <v>0</v>
      </c>
      <c r="K540" s="8">
        <v>5</v>
      </c>
      <c r="L540">
        <v>170</v>
      </c>
      <c r="M540">
        <v>3</v>
      </c>
      <c r="N540" s="10">
        <v>44.3</v>
      </c>
      <c r="O540" s="2">
        <f t="shared" si="19"/>
        <v>455.76910000000004</v>
      </c>
      <c r="P540" s="2">
        <f t="shared" si="18"/>
        <v>206.06625</v>
      </c>
      <c r="Q540">
        <v>0</v>
      </c>
    </row>
    <row r="541" spans="1:17" x14ac:dyDescent="0.25">
      <c r="A541" s="15"/>
      <c r="B541" s="15"/>
      <c r="C541">
        <v>10</v>
      </c>
      <c r="D541" s="3">
        <v>450</v>
      </c>
      <c r="E541">
        <v>50</v>
      </c>
      <c r="F541">
        <v>555</v>
      </c>
      <c r="G541">
        <v>1294</v>
      </c>
      <c r="H541" s="7">
        <v>0</v>
      </c>
      <c r="I541">
        <v>0</v>
      </c>
      <c r="J541">
        <v>0</v>
      </c>
      <c r="K541" s="8">
        <v>5</v>
      </c>
      <c r="L541">
        <v>170</v>
      </c>
      <c r="M541">
        <v>7</v>
      </c>
      <c r="N541" s="10">
        <v>56.8</v>
      </c>
      <c r="O541" s="2">
        <f t="shared" si="19"/>
        <v>455.76910000000004</v>
      </c>
      <c r="P541" s="2">
        <f t="shared" si="18"/>
        <v>206.06625</v>
      </c>
      <c r="Q541">
        <v>0</v>
      </c>
    </row>
    <row r="542" spans="1:17" x14ac:dyDescent="0.25">
      <c r="A542" s="15"/>
      <c r="B542" s="15"/>
      <c r="C542">
        <v>10</v>
      </c>
      <c r="D542" s="3">
        <v>450</v>
      </c>
      <c r="E542">
        <v>50</v>
      </c>
      <c r="F542">
        <v>555</v>
      </c>
      <c r="G542">
        <v>1294</v>
      </c>
      <c r="H542" s="7">
        <v>0</v>
      </c>
      <c r="I542">
        <v>0</v>
      </c>
      <c r="J542">
        <v>0</v>
      </c>
      <c r="K542" s="8">
        <v>5</v>
      </c>
      <c r="L542">
        <v>170</v>
      </c>
      <c r="M542">
        <v>28</v>
      </c>
      <c r="N542" s="10">
        <v>66.599999999999994</v>
      </c>
      <c r="O542" s="2">
        <f t="shared" si="19"/>
        <v>455.76910000000004</v>
      </c>
      <c r="P542" s="2">
        <f t="shared" si="18"/>
        <v>206.06625</v>
      </c>
      <c r="Q542">
        <v>0</v>
      </c>
    </row>
    <row r="543" spans="1:17" x14ac:dyDescent="0.25">
      <c r="A543" s="15"/>
      <c r="B543" s="15"/>
      <c r="C543">
        <v>10</v>
      </c>
      <c r="D543" s="3">
        <v>450</v>
      </c>
      <c r="E543">
        <v>50</v>
      </c>
      <c r="F543">
        <v>555</v>
      </c>
      <c r="G543">
        <v>1294</v>
      </c>
      <c r="H543" s="7">
        <v>0</v>
      </c>
      <c r="I543">
        <v>0</v>
      </c>
      <c r="J543">
        <v>0</v>
      </c>
      <c r="K543" s="8">
        <v>5</v>
      </c>
      <c r="L543">
        <v>170</v>
      </c>
      <c r="M543">
        <v>90</v>
      </c>
      <c r="N543" s="10">
        <v>75.599999999999994</v>
      </c>
      <c r="O543" s="2">
        <f t="shared" si="19"/>
        <v>455.76910000000004</v>
      </c>
      <c r="P543" s="2">
        <f t="shared" si="18"/>
        <v>206.06625</v>
      </c>
      <c r="Q543">
        <v>0</v>
      </c>
    </row>
    <row r="544" spans="1:17" x14ac:dyDescent="0.25">
      <c r="A544" s="15"/>
      <c r="B544" s="15"/>
      <c r="C544">
        <v>15</v>
      </c>
      <c r="D544" s="3">
        <v>425</v>
      </c>
      <c r="E544">
        <v>75</v>
      </c>
      <c r="F544">
        <v>553</v>
      </c>
      <c r="G544">
        <v>1290</v>
      </c>
      <c r="H544" s="7">
        <v>0</v>
      </c>
      <c r="I544">
        <v>0</v>
      </c>
      <c r="J544">
        <v>0</v>
      </c>
      <c r="K544" s="8">
        <v>5</v>
      </c>
      <c r="L544">
        <v>170</v>
      </c>
      <c r="M544">
        <v>1</v>
      </c>
      <c r="N544" s="10">
        <v>19.7</v>
      </c>
      <c r="O544" s="2">
        <f t="shared" si="19"/>
        <v>437.3877</v>
      </c>
      <c r="P544" s="2">
        <f t="shared" si="18"/>
        <v>196.59375</v>
      </c>
      <c r="Q544">
        <v>0</v>
      </c>
    </row>
    <row r="545" spans="1:17" x14ac:dyDescent="0.25">
      <c r="A545" s="15"/>
      <c r="B545" s="15"/>
      <c r="C545">
        <v>15</v>
      </c>
      <c r="D545" s="3">
        <v>425</v>
      </c>
      <c r="E545">
        <v>75</v>
      </c>
      <c r="F545">
        <v>553</v>
      </c>
      <c r="G545">
        <v>1290</v>
      </c>
      <c r="H545" s="7">
        <v>0</v>
      </c>
      <c r="I545">
        <v>0</v>
      </c>
      <c r="J545">
        <v>0</v>
      </c>
      <c r="K545" s="8">
        <v>5</v>
      </c>
      <c r="L545">
        <v>170</v>
      </c>
      <c r="M545">
        <v>3</v>
      </c>
      <c r="N545" s="10">
        <v>45.2</v>
      </c>
      <c r="O545" s="2">
        <f t="shared" si="19"/>
        <v>437.3877</v>
      </c>
      <c r="P545" s="2">
        <f t="shared" si="18"/>
        <v>196.59375</v>
      </c>
      <c r="Q545">
        <v>0</v>
      </c>
    </row>
    <row r="546" spans="1:17" x14ac:dyDescent="0.25">
      <c r="A546" s="15"/>
      <c r="B546" s="15"/>
      <c r="C546">
        <v>15</v>
      </c>
      <c r="D546" s="3">
        <v>425</v>
      </c>
      <c r="E546">
        <v>75</v>
      </c>
      <c r="F546">
        <v>553</v>
      </c>
      <c r="G546">
        <v>1290</v>
      </c>
      <c r="H546" s="7">
        <v>0</v>
      </c>
      <c r="I546">
        <v>0</v>
      </c>
      <c r="J546">
        <v>0</v>
      </c>
      <c r="K546" s="8">
        <v>5</v>
      </c>
      <c r="L546">
        <v>170</v>
      </c>
      <c r="M546">
        <v>7</v>
      </c>
      <c r="N546" s="10">
        <v>57.6</v>
      </c>
      <c r="O546" s="2">
        <f t="shared" si="19"/>
        <v>437.3877</v>
      </c>
      <c r="P546" s="2">
        <f t="shared" si="18"/>
        <v>196.59375</v>
      </c>
      <c r="Q546">
        <v>0</v>
      </c>
    </row>
    <row r="547" spans="1:17" x14ac:dyDescent="0.25">
      <c r="A547" s="15"/>
      <c r="B547" s="15"/>
      <c r="C547">
        <v>15</v>
      </c>
      <c r="D547" s="3">
        <v>425</v>
      </c>
      <c r="E547">
        <v>75</v>
      </c>
      <c r="F547">
        <v>553</v>
      </c>
      <c r="G547">
        <v>1290</v>
      </c>
      <c r="H547" s="7">
        <v>0</v>
      </c>
      <c r="I547">
        <v>0</v>
      </c>
      <c r="J547">
        <v>0</v>
      </c>
      <c r="K547" s="8">
        <v>5</v>
      </c>
      <c r="L547">
        <v>170</v>
      </c>
      <c r="M547">
        <v>28</v>
      </c>
      <c r="N547" s="10">
        <v>67.2</v>
      </c>
      <c r="O547" s="2">
        <f t="shared" si="19"/>
        <v>437.3877</v>
      </c>
      <c r="P547" s="2">
        <f t="shared" si="18"/>
        <v>196.59375</v>
      </c>
      <c r="Q547">
        <v>0</v>
      </c>
    </row>
    <row r="548" spans="1:17" x14ac:dyDescent="0.25">
      <c r="A548" s="15"/>
      <c r="B548" s="15"/>
      <c r="C548">
        <v>15</v>
      </c>
      <c r="D548" s="3">
        <v>425</v>
      </c>
      <c r="E548">
        <v>75</v>
      </c>
      <c r="F548">
        <v>553</v>
      </c>
      <c r="G548">
        <v>1290</v>
      </c>
      <c r="H548" s="7">
        <v>0</v>
      </c>
      <c r="I548">
        <v>0</v>
      </c>
      <c r="J548">
        <v>0</v>
      </c>
      <c r="K548" s="8">
        <v>5</v>
      </c>
      <c r="L548">
        <v>170</v>
      </c>
      <c r="M548">
        <v>90</v>
      </c>
      <c r="N548" s="10">
        <v>75.8</v>
      </c>
      <c r="O548" s="2">
        <f t="shared" si="19"/>
        <v>437.3877</v>
      </c>
      <c r="P548" s="2">
        <f t="shared" si="18"/>
        <v>196.59375</v>
      </c>
      <c r="Q548">
        <v>0</v>
      </c>
    </row>
    <row r="549" spans="1:17" x14ac:dyDescent="0.25">
      <c r="A549" s="15"/>
      <c r="B549" s="15"/>
      <c r="C549">
        <v>20</v>
      </c>
      <c r="D549" s="3">
        <v>400</v>
      </c>
      <c r="E549">
        <v>100</v>
      </c>
      <c r="F549">
        <v>551</v>
      </c>
      <c r="G549">
        <v>1285</v>
      </c>
      <c r="H549" s="7">
        <v>0</v>
      </c>
      <c r="I549">
        <v>0</v>
      </c>
      <c r="J549">
        <v>0</v>
      </c>
      <c r="K549" s="8">
        <v>5</v>
      </c>
      <c r="L549">
        <v>170</v>
      </c>
      <c r="M549">
        <v>1</v>
      </c>
      <c r="N549" s="10">
        <v>20.100000000000001</v>
      </c>
      <c r="O549" s="2">
        <f t="shared" si="19"/>
        <v>418.96039999999999</v>
      </c>
      <c r="P549" s="2">
        <f t="shared" si="18"/>
        <v>187.10624999999999</v>
      </c>
      <c r="Q549">
        <v>0</v>
      </c>
    </row>
    <row r="550" spans="1:17" x14ac:dyDescent="0.25">
      <c r="A550" s="15"/>
      <c r="B550" s="15"/>
      <c r="C550">
        <v>20</v>
      </c>
      <c r="D550" s="3">
        <v>400</v>
      </c>
      <c r="E550">
        <v>100</v>
      </c>
      <c r="F550">
        <v>551</v>
      </c>
      <c r="G550">
        <v>1285</v>
      </c>
      <c r="H550" s="7">
        <v>0</v>
      </c>
      <c r="I550">
        <v>0</v>
      </c>
      <c r="J550">
        <v>0</v>
      </c>
      <c r="K550" s="8">
        <v>5</v>
      </c>
      <c r="L550">
        <v>170</v>
      </c>
      <c r="M550">
        <v>3</v>
      </c>
      <c r="N550" s="10">
        <v>46.9</v>
      </c>
      <c r="O550" s="2">
        <f t="shared" si="19"/>
        <v>418.96039999999999</v>
      </c>
      <c r="P550" s="2">
        <f t="shared" si="18"/>
        <v>187.10624999999999</v>
      </c>
      <c r="Q550">
        <v>0</v>
      </c>
    </row>
    <row r="551" spans="1:17" x14ac:dyDescent="0.25">
      <c r="A551" s="15"/>
      <c r="B551" s="15"/>
      <c r="C551">
        <v>20</v>
      </c>
      <c r="D551" s="3">
        <v>400</v>
      </c>
      <c r="E551">
        <v>100</v>
      </c>
      <c r="F551">
        <v>551</v>
      </c>
      <c r="G551">
        <v>1285</v>
      </c>
      <c r="H551" s="7">
        <v>0</v>
      </c>
      <c r="I551">
        <v>0</v>
      </c>
      <c r="J551">
        <v>0</v>
      </c>
      <c r="K551" s="8">
        <v>5</v>
      </c>
      <c r="L551">
        <v>170</v>
      </c>
      <c r="M551">
        <v>7</v>
      </c>
      <c r="N551" s="10">
        <v>59.1</v>
      </c>
      <c r="O551" s="2">
        <f t="shared" si="19"/>
        <v>418.96039999999999</v>
      </c>
      <c r="P551" s="2">
        <f t="shared" si="18"/>
        <v>187.10624999999999</v>
      </c>
      <c r="Q551">
        <v>0</v>
      </c>
    </row>
    <row r="552" spans="1:17" x14ac:dyDescent="0.25">
      <c r="A552" s="15"/>
      <c r="B552" s="15"/>
      <c r="C552">
        <v>20</v>
      </c>
      <c r="D552" s="3">
        <v>400</v>
      </c>
      <c r="E552">
        <v>100</v>
      </c>
      <c r="F552">
        <v>551</v>
      </c>
      <c r="G552">
        <v>1285</v>
      </c>
      <c r="H552" s="7">
        <v>0</v>
      </c>
      <c r="I552">
        <v>0</v>
      </c>
      <c r="J552">
        <v>0</v>
      </c>
      <c r="K552" s="8">
        <v>5</v>
      </c>
      <c r="L552">
        <v>170</v>
      </c>
      <c r="M552">
        <v>28</v>
      </c>
      <c r="N552" s="10">
        <v>69.3</v>
      </c>
      <c r="O552" s="2">
        <f t="shared" si="19"/>
        <v>418.96039999999999</v>
      </c>
      <c r="P552" s="2">
        <f t="shared" si="18"/>
        <v>187.10624999999999</v>
      </c>
      <c r="Q552">
        <v>0</v>
      </c>
    </row>
    <row r="553" spans="1:17" x14ac:dyDescent="0.25">
      <c r="A553" s="15"/>
      <c r="B553" s="15"/>
      <c r="C553">
        <v>20</v>
      </c>
      <c r="D553" s="3">
        <v>400</v>
      </c>
      <c r="E553">
        <v>100</v>
      </c>
      <c r="F553">
        <v>551</v>
      </c>
      <c r="G553">
        <v>1285</v>
      </c>
      <c r="H553" s="7">
        <v>0</v>
      </c>
      <c r="I553">
        <v>0</v>
      </c>
      <c r="J553">
        <v>0</v>
      </c>
      <c r="K553" s="8">
        <v>5</v>
      </c>
      <c r="L553">
        <v>170</v>
      </c>
      <c r="M553">
        <v>90</v>
      </c>
      <c r="N553" s="10">
        <v>77.2</v>
      </c>
      <c r="O553" s="2">
        <f t="shared" si="19"/>
        <v>418.96039999999999</v>
      </c>
      <c r="P553" s="2">
        <f t="shared" si="18"/>
        <v>187.10624999999999</v>
      </c>
      <c r="Q553">
        <v>0</v>
      </c>
    </row>
    <row r="554" spans="1:17" x14ac:dyDescent="0.25">
      <c r="A554" s="15" t="s">
        <v>384</v>
      </c>
      <c r="B554" s="21" t="s">
        <v>339</v>
      </c>
      <c r="C554">
        <v>0</v>
      </c>
      <c r="D554" s="3">
        <v>550</v>
      </c>
      <c r="E554">
        <v>0</v>
      </c>
      <c r="F554">
        <v>550</v>
      </c>
      <c r="G554">
        <v>1283</v>
      </c>
      <c r="H554" s="7">
        <v>0</v>
      </c>
      <c r="I554">
        <v>0</v>
      </c>
      <c r="J554">
        <v>0</v>
      </c>
      <c r="K554" s="8">
        <v>5.6</v>
      </c>
      <c r="L554">
        <v>165</v>
      </c>
      <c r="M554">
        <v>1</v>
      </c>
      <c r="N554" s="10">
        <v>39.700000000000003</v>
      </c>
      <c r="O554" s="2">
        <f t="shared" si="19"/>
        <v>534.23469999999998</v>
      </c>
      <c r="P554" s="2">
        <f t="shared" si="18"/>
        <v>244.20749999999998</v>
      </c>
      <c r="Q554">
        <v>0</v>
      </c>
    </row>
    <row r="555" spans="1:17" x14ac:dyDescent="0.25">
      <c r="A555" s="15"/>
      <c r="B555" s="21"/>
      <c r="C555">
        <v>0</v>
      </c>
      <c r="D555" s="3">
        <v>550</v>
      </c>
      <c r="E555">
        <v>0</v>
      </c>
      <c r="F555">
        <v>550</v>
      </c>
      <c r="G555">
        <v>1283</v>
      </c>
      <c r="H555" s="7">
        <v>0</v>
      </c>
      <c r="I555">
        <v>0</v>
      </c>
      <c r="J555">
        <v>0</v>
      </c>
      <c r="K555" s="8">
        <v>5.6</v>
      </c>
      <c r="L555">
        <v>165</v>
      </c>
      <c r="M555">
        <v>3</v>
      </c>
      <c r="N555" s="10">
        <v>67.2</v>
      </c>
      <c r="O555" s="2">
        <f t="shared" si="19"/>
        <v>534.23469999999998</v>
      </c>
      <c r="P555" s="2">
        <f t="shared" si="18"/>
        <v>244.20749999999998</v>
      </c>
      <c r="Q555">
        <v>0</v>
      </c>
    </row>
    <row r="556" spans="1:17" x14ac:dyDescent="0.25">
      <c r="A556" s="15"/>
      <c r="B556" s="21"/>
      <c r="C556">
        <v>0</v>
      </c>
      <c r="D556" s="3">
        <v>550</v>
      </c>
      <c r="E556">
        <v>0</v>
      </c>
      <c r="F556">
        <v>550</v>
      </c>
      <c r="G556">
        <v>1283</v>
      </c>
      <c r="H556" s="7">
        <v>0</v>
      </c>
      <c r="I556">
        <v>0</v>
      </c>
      <c r="J556">
        <v>0</v>
      </c>
      <c r="K556" s="8">
        <v>5.6</v>
      </c>
      <c r="L556">
        <v>165</v>
      </c>
      <c r="M556">
        <v>7</v>
      </c>
      <c r="N556" s="10">
        <v>78.900000000000006</v>
      </c>
      <c r="O556" s="2">
        <f t="shared" si="19"/>
        <v>534.23469999999998</v>
      </c>
      <c r="P556" s="2">
        <f t="shared" si="18"/>
        <v>244.20749999999998</v>
      </c>
      <c r="Q556">
        <v>0</v>
      </c>
    </row>
    <row r="557" spans="1:17" x14ac:dyDescent="0.25">
      <c r="A557" s="15"/>
      <c r="B557" s="21"/>
      <c r="C557">
        <v>0</v>
      </c>
      <c r="D557" s="3">
        <v>550</v>
      </c>
      <c r="E557">
        <v>0</v>
      </c>
      <c r="F557">
        <v>550</v>
      </c>
      <c r="G557">
        <v>1283</v>
      </c>
      <c r="H557" s="7">
        <v>0</v>
      </c>
      <c r="I557">
        <v>0</v>
      </c>
      <c r="J557">
        <v>0</v>
      </c>
      <c r="K557" s="8">
        <v>5.6</v>
      </c>
      <c r="L557">
        <v>165</v>
      </c>
      <c r="M557">
        <v>28</v>
      </c>
      <c r="N557" s="10">
        <v>88.5</v>
      </c>
      <c r="O557" s="2">
        <f t="shared" si="19"/>
        <v>534.23469999999998</v>
      </c>
      <c r="P557" s="2">
        <f t="shared" si="18"/>
        <v>244.20749999999998</v>
      </c>
      <c r="Q557">
        <v>0</v>
      </c>
    </row>
    <row r="558" spans="1:17" x14ac:dyDescent="0.25">
      <c r="A558" s="15"/>
      <c r="B558" s="21"/>
      <c r="C558">
        <v>0</v>
      </c>
      <c r="D558" s="3">
        <v>550</v>
      </c>
      <c r="E558">
        <v>0</v>
      </c>
      <c r="F558">
        <v>550</v>
      </c>
      <c r="G558">
        <v>1283</v>
      </c>
      <c r="H558" s="7">
        <v>0</v>
      </c>
      <c r="I558">
        <v>0</v>
      </c>
      <c r="J558">
        <v>0</v>
      </c>
      <c r="K558" s="8">
        <v>5.6</v>
      </c>
      <c r="L558">
        <v>165</v>
      </c>
      <c r="M558">
        <v>90</v>
      </c>
      <c r="N558" s="10">
        <v>97.1</v>
      </c>
      <c r="O558" s="2">
        <f t="shared" si="19"/>
        <v>534.23469999999998</v>
      </c>
      <c r="P558" s="2">
        <f t="shared" si="18"/>
        <v>244.20749999999998</v>
      </c>
      <c r="Q558">
        <v>0</v>
      </c>
    </row>
    <row r="559" spans="1:17" x14ac:dyDescent="0.25">
      <c r="A559" s="15"/>
      <c r="B559" s="21"/>
      <c r="C559">
        <v>10</v>
      </c>
      <c r="D559" s="3">
        <v>495</v>
      </c>
      <c r="E559">
        <v>55</v>
      </c>
      <c r="F559">
        <v>546</v>
      </c>
      <c r="G559">
        <v>1273</v>
      </c>
      <c r="H559" s="7">
        <v>0</v>
      </c>
      <c r="I559">
        <v>0</v>
      </c>
      <c r="J559">
        <v>0</v>
      </c>
      <c r="K559" s="8">
        <v>5.8</v>
      </c>
      <c r="L559">
        <v>165</v>
      </c>
      <c r="M559">
        <v>1</v>
      </c>
      <c r="N559" s="10">
        <v>34.700000000000003</v>
      </c>
      <c r="O559" s="2">
        <f t="shared" si="19"/>
        <v>494.14609999999999</v>
      </c>
      <c r="P559" s="2">
        <f t="shared" si="18"/>
        <v>223.6575</v>
      </c>
      <c r="Q559">
        <v>0</v>
      </c>
    </row>
    <row r="560" spans="1:17" x14ac:dyDescent="0.25">
      <c r="A560" s="15"/>
      <c r="B560" s="21"/>
      <c r="C560">
        <v>10</v>
      </c>
      <c r="D560" s="3">
        <v>495</v>
      </c>
      <c r="E560">
        <v>55</v>
      </c>
      <c r="F560">
        <v>546</v>
      </c>
      <c r="G560">
        <v>1273</v>
      </c>
      <c r="H560" s="7">
        <v>0</v>
      </c>
      <c r="I560">
        <v>0</v>
      </c>
      <c r="J560">
        <v>0</v>
      </c>
      <c r="K560" s="8">
        <v>5.8</v>
      </c>
      <c r="L560">
        <v>165</v>
      </c>
      <c r="M560">
        <v>3</v>
      </c>
      <c r="N560" s="10">
        <v>60.8</v>
      </c>
      <c r="O560" s="2">
        <f t="shared" si="19"/>
        <v>494.14609999999999</v>
      </c>
      <c r="P560" s="2">
        <f t="shared" si="18"/>
        <v>223.6575</v>
      </c>
      <c r="Q560">
        <v>0</v>
      </c>
    </row>
    <row r="561" spans="1:17" x14ac:dyDescent="0.25">
      <c r="A561" s="15"/>
      <c r="B561" s="21"/>
      <c r="C561">
        <v>10</v>
      </c>
      <c r="D561" s="3">
        <v>495</v>
      </c>
      <c r="E561">
        <v>55</v>
      </c>
      <c r="F561">
        <v>546</v>
      </c>
      <c r="G561">
        <v>1273</v>
      </c>
      <c r="H561" s="7">
        <v>0</v>
      </c>
      <c r="I561">
        <v>0</v>
      </c>
      <c r="J561">
        <v>0</v>
      </c>
      <c r="K561" s="8">
        <v>5.8</v>
      </c>
      <c r="L561">
        <v>165</v>
      </c>
      <c r="M561">
        <v>7</v>
      </c>
      <c r="N561" s="10">
        <v>83.6</v>
      </c>
      <c r="O561" s="2">
        <f t="shared" si="19"/>
        <v>494.14609999999999</v>
      </c>
      <c r="P561" s="2">
        <f t="shared" si="18"/>
        <v>223.6575</v>
      </c>
      <c r="Q561">
        <v>0</v>
      </c>
    </row>
    <row r="562" spans="1:17" x14ac:dyDescent="0.25">
      <c r="A562" s="15"/>
      <c r="B562" s="21"/>
      <c r="C562">
        <v>10</v>
      </c>
      <c r="D562" s="3">
        <v>495</v>
      </c>
      <c r="E562">
        <v>55</v>
      </c>
      <c r="F562">
        <v>546</v>
      </c>
      <c r="G562">
        <v>1273</v>
      </c>
      <c r="H562" s="7">
        <v>0</v>
      </c>
      <c r="I562">
        <v>0</v>
      </c>
      <c r="J562">
        <v>0</v>
      </c>
      <c r="K562" s="8">
        <v>5.8</v>
      </c>
      <c r="L562">
        <v>165</v>
      </c>
      <c r="M562">
        <v>28</v>
      </c>
      <c r="N562" s="10">
        <v>95.2</v>
      </c>
      <c r="O562" s="2">
        <f t="shared" si="19"/>
        <v>494.14609999999999</v>
      </c>
      <c r="P562" s="2">
        <f t="shared" si="18"/>
        <v>223.6575</v>
      </c>
      <c r="Q562">
        <v>0</v>
      </c>
    </row>
    <row r="563" spans="1:17" x14ac:dyDescent="0.25">
      <c r="A563" s="15"/>
      <c r="B563" s="21"/>
      <c r="C563">
        <v>10</v>
      </c>
      <c r="D563" s="3">
        <v>495</v>
      </c>
      <c r="E563">
        <v>55</v>
      </c>
      <c r="F563">
        <v>546</v>
      </c>
      <c r="G563">
        <v>1273</v>
      </c>
      <c r="H563" s="7">
        <v>0</v>
      </c>
      <c r="I563">
        <v>0</v>
      </c>
      <c r="J563">
        <v>0</v>
      </c>
      <c r="K563" s="8">
        <v>5.8</v>
      </c>
      <c r="L563">
        <v>165</v>
      </c>
      <c r="M563">
        <v>90</v>
      </c>
      <c r="N563" s="10">
        <v>104.1</v>
      </c>
      <c r="O563" s="2">
        <f t="shared" si="19"/>
        <v>494.14609999999999</v>
      </c>
      <c r="P563" s="2">
        <f t="shared" si="18"/>
        <v>223.6575</v>
      </c>
      <c r="Q563">
        <v>0</v>
      </c>
    </row>
    <row r="564" spans="1:17" x14ac:dyDescent="0.25">
      <c r="A564" s="15"/>
      <c r="B564" s="21"/>
      <c r="C564">
        <v>15</v>
      </c>
      <c r="D564" s="3">
        <v>468</v>
      </c>
      <c r="E564">
        <v>82</v>
      </c>
      <c r="F564">
        <v>543</v>
      </c>
      <c r="G564">
        <v>1267</v>
      </c>
      <c r="H564" s="7">
        <v>0</v>
      </c>
      <c r="I564">
        <v>0</v>
      </c>
      <c r="J564">
        <v>0</v>
      </c>
      <c r="K564" s="8">
        <v>6.1</v>
      </c>
      <c r="L564">
        <v>165</v>
      </c>
      <c r="M564">
        <v>1</v>
      </c>
      <c r="N564" s="10">
        <v>35.299999999999997</v>
      </c>
      <c r="O564" s="2">
        <f t="shared" si="19"/>
        <v>474.80540000000002</v>
      </c>
      <c r="P564" s="2">
        <f t="shared" si="18"/>
        <v>213.83625000000001</v>
      </c>
      <c r="Q564">
        <v>0</v>
      </c>
    </row>
    <row r="565" spans="1:17" x14ac:dyDescent="0.25">
      <c r="A565" s="15"/>
      <c r="B565" s="21"/>
      <c r="C565">
        <v>15</v>
      </c>
      <c r="D565" s="3">
        <v>468</v>
      </c>
      <c r="E565">
        <v>82</v>
      </c>
      <c r="F565">
        <v>543</v>
      </c>
      <c r="G565">
        <v>1267</v>
      </c>
      <c r="H565" s="7">
        <v>0</v>
      </c>
      <c r="I565">
        <v>0</v>
      </c>
      <c r="J565">
        <v>0</v>
      </c>
      <c r="K565" s="8">
        <v>6.1</v>
      </c>
      <c r="L565">
        <v>165</v>
      </c>
      <c r="M565">
        <v>3</v>
      </c>
      <c r="N565" s="10">
        <v>63.2</v>
      </c>
      <c r="O565" s="2">
        <f t="shared" si="19"/>
        <v>474.80540000000002</v>
      </c>
      <c r="P565" s="2">
        <f t="shared" si="18"/>
        <v>213.83625000000001</v>
      </c>
      <c r="Q565">
        <v>0</v>
      </c>
    </row>
    <row r="566" spans="1:17" x14ac:dyDescent="0.25">
      <c r="A566" s="15"/>
      <c r="B566" s="21"/>
      <c r="C566">
        <v>15</v>
      </c>
      <c r="D566" s="3">
        <v>468</v>
      </c>
      <c r="E566">
        <v>82</v>
      </c>
      <c r="F566">
        <v>543</v>
      </c>
      <c r="G566">
        <v>1267</v>
      </c>
      <c r="H566" s="7">
        <v>0</v>
      </c>
      <c r="I566">
        <v>0</v>
      </c>
      <c r="J566">
        <v>0</v>
      </c>
      <c r="K566" s="8">
        <v>6.1</v>
      </c>
      <c r="L566">
        <v>165</v>
      </c>
      <c r="M566">
        <v>7</v>
      </c>
      <c r="N566" s="10">
        <v>85.4</v>
      </c>
      <c r="O566" s="2">
        <f t="shared" si="19"/>
        <v>474.80540000000002</v>
      </c>
      <c r="P566" s="2">
        <f t="shared" si="18"/>
        <v>213.83625000000001</v>
      </c>
      <c r="Q566">
        <v>0</v>
      </c>
    </row>
    <row r="567" spans="1:17" x14ac:dyDescent="0.25">
      <c r="A567" s="15"/>
      <c r="B567" s="21"/>
      <c r="C567">
        <v>15</v>
      </c>
      <c r="D567" s="3">
        <v>468</v>
      </c>
      <c r="E567">
        <v>82</v>
      </c>
      <c r="F567">
        <v>543</v>
      </c>
      <c r="G567">
        <v>1267</v>
      </c>
      <c r="H567" s="7">
        <v>0</v>
      </c>
      <c r="I567">
        <v>0</v>
      </c>
      <c r="J567">
        <v>0</v>
      </c>
      <c r="K567" s="8">
        <v>6.1</v>
      </c>
      <c r="L567">
        <v>165</v>
      </c>
      <c r="M567">
        <v>28</v>
      </c>
      <c r="N567" s="10">
        <v>96</v>
      </c>
      <c r="O567" s="2">
        <f t="shared" si="19"/>
        <v>474.80540000000002</v>
      </c>
      <c r="P567" s="2">
        <f t="shared" si="18"/>
        <v>213.83625000000001</v>
      </c>
      <c r="Q567">
        <v>0</v>
      </c>
    </row>
    <row r="568" spans="1:17" x14ac:dyDescent="0.25">
      <c r="A568" s="15"/>
      <c r="B568" s="21"/>
      <c r="C568">
        <v>15</v>
      </c>
      <c r="D568" s="3">
        <v>468</v>
      </c>
      <c r="E568">
        <v>82</v>
      </c>
      <c r="F568">
        <v>543</v>
      </c>
      <c r="G568">
        <v>1267</v>
      </c>
      <c r="H568" s="7">
        <v>0</v>
      </c>
      <c r="I568">
        <v>0</v>
      </c>
      <c r="J568">
        <v>0</v>
      </c>
      <c r="K568" s="8">
        <v>6.1</v>
      </c>
      <c r="L568">
        <v>165</v>
      </c>
      <c r="M568">
        <v>90</v>
      </c>
      <c r="N568" s="10">
        <v>104.4</v>
      </c>
      <c r="O568" s="2">
        <f t="shared" si="19"/>
        <v>474.80540000000002</v>
      </c>
      <c r="P568" s="2">
        <f t="shared" si="18"/>
        <v>213.83625000000001</v>
      </c>
      <c r="Q568">
        <v>0</v>
      </c>
    </row>
    <row r="569" spans="1:17" x14ac:dyDescent="0.25">
      <c r="A569" s="15"/>
      <c r="B569" s="21"/>
      <c r="C569">
        <v>20</v>
      </c>
      <c r="D569" s="3">
        <v>440</v>
      </c>
      <c r="E569">
        <v>110</v>
      </c>
      <c r="F569">
        <v>540</v>
      </c>
      <c r="G569">
        <v>1261</v>
      </c>
      <c r="H569" s="7">
        <v>0</v>
      </c>
      <c r="I569">
        <v>0</v>
      </c>
      <c r="J569">
        <v>0</v>
      </c>
      <c r="K569" s="8">
        <v>6.3</v>
      </c>
      <c r="L569">
        <v>165</v>
      </c>
      <c r="M569">
        <v>1</v>
      </c>
      <c r="N569" s="10">
        <v>37.5</v>
      </c>
      <c r="O569" s="2">
        <f t="shared" si="19"/>
        <v>454.53789999999998</v>
      </c>
      <c r="P569" s="2">
        <f t="shared" si="18"/>
        <v>203.48999999999998</v>
      </c>
      <c r="Q569">
        <v>0</v>
      </c>
    </row>
    <row r="570" spans="1:17" x14ac:dyDescent="0.25">
      <c r="A570" s="15"/>
      <c r="B570" s="21"/>
      <c r="C570">
        <v>20</v>
      </c>
      <c r="D570" s="3">
        <v>440</v>
      </c>
      <c r="E570">
        <v>110</v>
      </c>
      <c r="F570">
        <v>540</v>
      </c>
      <c r="G570">
        <v>1261</v>
      </c>
      <c r="H570" s="7">
        <v>0</v>
      </c>
      <c r="I570">
        <v>0</v>
      </c>
      <c r="J570">
        <v>0</v>
      </c>
      <c r="K570" s="8">
        <v>6.3</v>
      </c>
      <c r="L570">
        <v>165</v>
      </c>
      <c r="M570">
        <v>3</v>
      </c>
      <c r="N570" s="10">
        <v>66.5</v>
      </c>
      <c r="O570" s="2">
        <f t="shared" si="19"/>
        <v>454.53789999999998</v>
      </c>
      <c r="P570" s="2">
        <f t="shared" si="18"/>
        <v>203.48999999999998</v>
      </c>
      <c r="Q570">
        <v>0</v>
      </c>
    </row>
    <row r="571" spans="1:17" x14ac:dyDescent="0.25">
      <c r="A571" s="15"/>
      <c r="B571" s="21"/>
      <c r="C571">
        <v>20</v>
      </c>
      <c r="D571" s="3">
        <v>440</v>
      </c>
      <c r="E571">
        <v>110</v>
      </c>
      <c r="F571">
        <v>540</v>
      </c>
      <c r="G571">
        <v>1261</v>
      </c>
      <c r="H571" s="7">
        <v>0</v>
      </c>
      <c r="I571">
        <v>0</v>
      </c>
      <c r="J571">
        <v>0</v>
      </c>
      <c r="K571" s="8">
        <v>6.3</v>
      </c>
      <c r="L571">
        <v>165</v>
      </c>
      <c r="M571">
        <v>7</v>
      </c>
      <c r="N571" s="10">
        <v>86</v>
      </c>
      <c r="O571" s="2">
        <f t="shared" si="19"/>
        <v>454.53789999999998</v>
      </c>
      <c r="P571" s="2">
        <f t="shared" si="18"/>
        <v>203.48999999999998</v>
      </c>
      <c r="Q571">
        <v>0</v>
      </c>
    </row>
    <row r="572" spans="1:17" x14ac:dyDescent="0.25">
      <c r="A572" s="15"/>
      <c r="B572" s="21"/>
      <c r="C572">
        <v>20</v>
      </c>
      <c r="D572" s="3">
        <v>440</v>
      </c>
      <c r="E572">
        <v>110</v>
      </c>
      <c r="F572">
        <v>540</v>
      </c>
      <c r="G572">
        <v>1261</v>
      </c>
      <c r="H572" s="7">
        <v>0</v>
      </c>
      <c r="I572">
        <v>0</v>
      </c>
      <c r="J572">
        <v>0</v>
      </c>
      <c r="K572" s="8">
        <v>6.3</v>
      </c>
      <c r="L572">
        <v>165</v>
      </c>
      <c r="M572">
        <v>28</v>
      </c>
      <c r="N572" s="10">
        <v>98.1</v>
      </c>
      <c r="O572" s="2">
        <f t="shared" si="19"/>
        <v>454.53789999999998</v>
      </c>
      <c r="P572" s="2">
        <f t="shared" si="18"/>
        <v>203.48999999999998</v>
      </c>
      <c r="Q572">
        <v>0</v>
      </c>
    </row>
    <row r="573" spans="1:17" x14ac:dyDescent="0.25">
      <c r="A573" s="15"/>
      <c r="B573" s="21"/>
      <c r="C573">
        <v>20</v>
      </c>
      <c r="D573" s="3">
        <v>440</v>
      </c>
      <c r="E573">
        <v>110</v>
      </c>
      <c r="F573">
        <v>540</v>
      </c>
      <c r="G573">
        <v>1261</v>
      </c>
      <c r="H573" s="7">
        <v>0</v>
      </c>
      <c r="I573">
        <v>0</v>
      </c>
      <c r="J573">
        <v>0</v>
      </c>
      <c r="K573" s="8">
        <v>6.3</v>
      </c>
      <c r="L573">
        <v>165</v>
      </c>
      <c r="M573">
        <v>90</v>
      </c>
      <c r="N573" s="10">
        <v>106.5</v>
      </c>
      <c r="O573" s="2">
        <f t="shared" si="19"/>
        <v>454.53789999999998</v>
      </c>
      <c r="P573" s="2">
        <f t="shared" si="18"/>
        <v>203.48999999999998</v>
      </c>
      <c r="Q573">
        <v>0</v>
      </c>
    </row>
    <row r="574" spans="1:17" x14ac:dyDescent="0.25">
      <c r="A574" s="15"/>
      <c r="B574" s="21"/>
      <c r="C574">
        <v>0</v>
      </c>
      <c r="D574" s="3">
        <v>500</v>
      </c>
      <c r="E574">
        <v>0</v>
      </c>
      <c r="F574">
        <v>567</v>
      </c>
      <c r="G574">
        <v>1324</v>
      </c>
      <c r="H574" s="7">
        <v>0</v>
      </c>
      <c r="I574">
        <v>0</v>
      </c>
      <c r="J574">
        <v>0</v>
      </c>
      <c r="K574" s="8">
        <v>5.5</v>
      </c>
      <c r="L574">
        <v>160</v>
      </c>
      <c r="M574">
        <v>1</v>
      </c>
      <c r="N574" s="10">
        <v>37.700000000000003</v>
      </c>
      <c r="O574" s="2">
        <f t="shared" si="19"/>
        <v>494.65290000000005</v>
      </c>
      <c r="P574" s="2">
        <f t="shared" si="18"/>
        <v>226.24125000000001</v>
      </c>
      <c r="Q574">
        <v>0</v>
      </c>
    </row>
    <row r="575" spans="1:17" x14ac:dyDescent="0.25">
      <c r="A575" s="15"/>
      <c r="B575" s="21"/>
      <c r="C575">
        <v>0</v>
      </c>
      <c r="D575" s="3">
        <v>500</v>
      </c>
      <c r="E575">
        <v>0</v>
      </c>
      <c r="F575">
        <v>567</v>
      </c>
      <c r="G575">
        <v>1324</v>
      </c>
      <c r="H575" s="7">
        <v>0</v>
      </c>
      <c r="I575">
        <v>0</v>
      </c>
      <c r="J575">
        <v>0</v>
      </c>
      <c r="K575" s="8">
        <v>5.5</v>
      </c>
      <c r="L575">
        <v>160</v>
      </c>
      <c r="M575">
        <v>3</v>
      </c>
      <c r="N575" s="10">
        <v>63.9</v>
      </c>
      <c r="O575" s="2">
        <f t="shared" si="19"/>
        <v>494.65290000000005</v>
      </c>
      <c r="P575" s="2">
        <f t="shared" si="18"/>
        <v>226.24125000000001</v>
      </c>
      <c r="Q575">
        <v>0</v>
      </c>
    </row>
    <row r="576" spans="1:17" x14ac:dyDescent="0.25">
      <c r="A576" s="15"/>
      <c r="B576" s="21"/>
      <c r="C576">
        <v>0</v>
      </c>
      <c r="D576" s="3">
        <v>500</v>
      </c>
      <c r="E576">
        <v>0</v>
      </c>
      <c r="F576">
        <v>567</v>
      </c>
      <c r="G576">
        <v>1324</v>
      </c>
      <c r="H576" s="7">
        <v>0</v>
      </c>
      <c r="I576">
        <v>0</v>
      </c>
      <c r="J576">
        <v>0</v>
      </c>
      <c r="K576" s="8">
        <v>5.5</v>
      </c>
      <c r="L576">
        <v>160</v>
      </c>
      <c r="M576">
        <v>7</v>
      </c>
      <c r="N576" s="10">
        <v>76.400000000000006</v>
      </c>
      <c r="O576" s="2">
        <f t="shared" si="19"/>
        <v>494.65290000000005</v>
      </c>
      <c r="P576" s="2">
        <f t="shared" si="18"/>
        <v>226.24125000000001</v>
      </c>
      <c r="Q576">
        <v>0</v>
      </c>
    </row>
    <row r="577" spans="1:17" x14ac:dyDescent="0.25">
      <c r="A577" s="15"/>
      <c r="B577" s="21"/>
      <c r="C577">
        <v>0</v>
      </c>
      <c r="D577" s="3">
        <v>500</v>
      </c>
      <c r="E577">
        <v>0</v>
      </c>
      <c r="F577">
        <v>567</v>
      </c>
      <c r="G577">
        <v>1324</v>
      </c>
      <c r="H577" s="7">
        <v>0</v>
      </c>
      <c r="I577">
        <v>0</v>
      </c>
      <c r="J577">
        <v>0</v>
      </c>
      <c r="K577" s="8">
        <v>5.5</v>
      </c>
      <c r="L577">
        <v>160</v>
      </c>
      <c r="M577">
        <v>28</v>
      </c>
      <c r="N577" s="10">
        <v>85.7</v>
      </c>
      <c r="O577" s="2">
        <f t="shared" si="19"/>
        <v>494.65290000000005</v>
      </c>
      <c r="P577" s="2">
        <f t="shared" si="18"/>
        <v>226.24125000000001</v>
      </c>
      <c r="Q577">
        <v>0</v>
      </c>
    </row>
    <row r="578" spans="1:17" x14ac:dyDescent="0.25">
      <c r="A578" s="15"/>
      <c r="B578" s="21"/>
      <c r="C578">
        <v>0</v>
      </c>
      <c r="D578" s="3">
        <v>500</v>
      </c>
      <c r="E578">
        <v>0</v>
      </c>
      <c r="F578">
        <v>567</v>
      </c>
      <c r="G578">
        <v>1324</v>
      </c>
      <c r="H578" s="7">
        <v>0</v>
      </c>
      <c r="I578">
        <v>0</v>
      </c>
      <c r="J578">
        <v>0</v>
      </c>
      <c r="K578" s="8">
        <v>5.5</v>
      </c>
      <c r="L578">
        <v>160</v>
      </c>
      <c r="M578">
        <v>90</v>
      </c>
      <c r="N578" s="10">
        <v>94</v>
      </c>
      <c r="O578" s="2">
        <f t="shared" si="19"/>
        <v>494.65290000000005</v>
      </c>
      <c r="P578" s="2">
        <f t="shared" si="18"/>
        <v>226.24125000000001</v>
      </c>
      <c r="Q578">
        <v>0</v>
      </c>
    </row>
    <row r="579" spans="1:17" x14ac:dyDescent="0.25">
      <c r="A579" s="15"/>
      <c r="B579" s="21"/>
      <c r="C579">
        <v>10</v>
      </c>
      <c r="D579" s="3">
        <v>450</v>
      </c>
      <c r="E579">
        <v>50</v>
      </c>
      <c r="F579">
        <v>562</v>
      </c>
      <c r="G579">
        <v>1313</v>
      </c>
      <c r="H579" s="7">
        <v>0</v>
      </c>
      <c r="I579">
        <v>0</v>
      </c>
      <c r="J579">
        <v>0</v>
      </c>
      <c r="K579" s="8">
        <v>5.72</v>
      </c>
      <c r="L579">
        <v>160</v>
      </c>
      <c r="M579">
        <v>1</v>
      </c>
      <c r="N579" s="10">
        <v>32.1</v>
      </c>
      <c r="O579" s="2">
        <f t="shared" si="19"/>
        <v>458.17850000000004</v>
      </c>
      <c r="P579" s="2">
        <f t="shared" ref="P579:P642" si="20">SUM((D579*5)+((F579*0.25)+(G579*0.2)+(K579*20)))*0.075</f>
        <v>207.5625</v>
      </c>
      <c r="Q579">
        <v>0</v>
      </c>
    </row>
    <row r="580" spans="1:17" x14ac:dyDescent="0.25">
      <c r="A580" s="15"/>
      <c r="B580" s="21"/>
      <c r="C580">
        <v>10</v>
      </c>
      <c r="D580" s="3">
        <v>450</v>
      </c>
      <c r="E580">
        <v>50</v>
      </c>
      <c r="F580">
        <v>562</v>
      </c>
      <c r="G580">
        <v>1313</v>
      </c>
      <c r="H580" s="7">
        <v>0</v>
      </c>
      <c r="I580">
        <v>0</v>
      </c>
      <c r="J580">
        <v>0</v>
      </c>
      <c r="K580" s="8">
        <v>5.72</v>
      </c>
      <c r="L580">
        <v>160</v>
      </c>
      <c r="M580">
        <v>3</v>
      </c>
      <c r="N580" s="10">
        <v>58.9</v>
      </c>
      <c r="O580" s="2">
        <f t="shared" si="19"/>
        <v>458.17850000000004</v>
      </c>
      <c r="P580" s="2">
        <f t="shared" si="20"/>
        <v>207.5625</v>
      </c>
      <c r="Q580">
        <v>0</v>
      </c>
    </row>
    <row r="581" spans="1:17" x14ac:dyDescent="0.25">
      <c r="A581" s="15"/>
      <c r="B581" s="21"/>
      <c r="C581">
        <v>10</v>
      </c>
      <c r="D581" s="3">
        <v>450</v>
      </c>
      <c r="E581">
        <v>50</v>
      </c>
      <c r="F581">
        <v>562</v>
      </c>
      <c r="G581">
        <v>1313</v>
      </c>
      <c r="H581" s="7">
        <v>0</v>
      </c>
      <c r="I581">
        <v>0</v>
      </c>
      <c r="J581">
        <v>0</v>
      </c>
      <c r="K581" s="8">
        <v>5.72</v>
      </c>
      <c r="L581">
        <v>160</v>
      </c>
      <c r="M581">
        <v>7</v>
      </c>
      <c r="N581" s="10">
        <v>80.599999999999994</v>
      </c>
      <c r="O581" s="2">
        <f t="shared" si="19"/>
        <v>458.17850000000004</v>
      </c>
      <c r="P581" s="2">
        <f t="shared" si="20"/>
        <v>207.5625</v>
      </c>
      <c r="Q581">
        <v>0</v>
      </c>
    </row>
    <row r="582" spans="1:17" x14ac:dyDescent="0.25">
      <c r="A582" s="15"/>
      <c r="B582" s="21"/>
      <c r="C582">
        <v>10</v>
      </c>
      <c r="D582" s="3">
        <v>450</v>
      </c>
      <c r="E582">
        <v>50</v>
      </c>
      <c r="F582">
        <v>562</v>
      </c>
      <c r="G582">
        <v>1313</v>
      </c>
      <c r="H582" s="7">
        <v>0</v>
      </c>
      <c r="I582">
        <v>0</v>
      </c>
      <c r="J582">
        <v>0</v>
      </c>
      <c r="K582" s="8">
        <v>5.72</v>
      </c>
      <c r="L582">
        <v>160</v>
      </c>
      <c r="M582">
        <v>28</v>
      </c>
      <c r="N582" s="10">
        <v>91.6</v>
      </c>
      <c r="O582" s="2">
        <f t="shared" si="19"/>
        <v>458.17850000000004</v>
      </c>
      <c r="P582" s="2">
        <f t="shared" si="20"/>
        <v>207.5625</v>
      </c>
      <c r="Q582">
        <v>0</v>
      </c>
    </row>
    <row r="583" spans="1:17" x14ac:dyDescent="0.25">
      <c r="A583" s="15"/>
      <c r="B583" s="21"/>
      <c r="C583">
        <v>10</v>
      </c>
      <c r="D583" s="3">
        <v>450</v>
      </c>
      <c r="E583">
        <v>50</v>
      </c>
      <c r="F583">
        <v>562</v>
      </c>
      <c r="G583">
        <v>1313</v>
      </c>
      <c r="H583" s="7">
        <v>0</v>
      </c>
      <c r="I583">
        <v>0</v>
      </c>
      <c r="J583">
        <v>0</v>
      </c>
      <c r="K583" s="8">
        <v>5.72</v>
      </c>
      <c r="L583">
        <v>160</v>
      </c>
      <c r="M583">
        <v>90</v>
      </c>
      <c r="N583" s="10">
        <v>100.3</v>
      </c>
      <c r="O583" s="2">
        <f t="shared" si="19"/>
        <v>458.17850000000004</v>
      </c>
      <c r="P583" s="2">
        <f t="shared" si="20"/>
        <v>207.5625</v>
      </c>
      <c r="Q583">
        <v>0</v>
      </c>
    </row>
    <row r="584" spans="1:17" x14ac:dyDescent="0.25">
      <c r="A584" s="15"/>
      <c r="B584" s="21"/>
      <c r="C584">
        <v>15</v>
      </c>
      <c r="D584" s="3">
        <v>425</v>
      </c>
      <c r="E584">
        <v>75</v>
      </c>
      <c r="F584">
        <v>560</v>
      </c>
      <c r="G584">
        <v>1307</v>
      </c>
      <c r="H584" s="7">
        <v>0</v>
      </c>
      <c r="I584">
        <v>0</v>
      </c>
      <c r="J584">
        <v>0</v>
      </c>
      <c r="K584" s="8">
        <v>6</v>
      </c>
      <c r="L584">
        <v>160</v>
      </c>
      <c r="M584">
        <v>1</v>
      </c>
      <c r="N584" s="10">
        <v>33.799999999999997</v>
      </c>
      <c r="O584" s="2">
        <f t="shared" si="19"/>
        <v>440.26530000000002</v>
      </c>
      <c r="P584" s="2">
        <f t="shared" si="20"/>
        <v>198.48</v>
      </c>
      <c r="Q584">
        <v>0</v>
      </c>
    </row>
    <row r="585" spans="1:17" x14ac:dyDescent="0.25">
      <c r="A585" s="15"/>
      <c r="B585" s="21"/>
      <c r="C585">
        <v>15</v>
      </c>
      <c r="D585" s="3">
        <v>425</v>
      </c>
      <c r="E585">
        <v>75</v>
      </c>
      <c r="F585">
        <v>560</v>
      </c>
      <c r="G585">
        <v>1307</v>
      </c>
      <c r="H585" s="7">
        <v>0</v>
      </c>
      <c r="I585">
        <v>0</v>
      </c>
      <c r="J585">
        <v>0</v>
      </c>
      <c r="K585" s="8">
        <v>6</v>
      </c>
      <c r="L585">
        <v>160</v>
      </c>
      <c r="M585">
        <v>3</v>
      </c>
      <c r="N585" s="10">
        <v>59.2</v>
      </c>
      <c r="O585" s="2">
        <f t="shared" si="19"/>
        <v>440.26530000000002</v>
      </c>
      <c r="P585" s="2">
        <f t="shared" si="20"/>
        <v>198.48</v>
      </c>
      <c r="Q585">
        <v>0</v>
      </c>
    </row>
    <row r="586" spans="1:17" x14ac:dyDescent="0.25">
      <c r="A586" s="15"/>
      <c r="B586" s="21"/>
      <c r="C586">
        <v>15</v>
      </c>
      <c r="D586" s="3">
        <v>425</v>
      </c>
      <c r="E586">
        <v>75</v>
      </c>
      <c r="F586">
        <v>560</v>
      </c>
      <c r="G586">
        <v>1307</v>
      </c>
      <c r="H586" s="7">
        <v>0</v>
      </c>
      <c r="I586">
        <v>0</v>
      </c>
      <c r="J586">
        <v>0</v>
      </c>
      <c r="K586" s="8">
        <v>6</v>
      </c>
      <c r="L586">
        <v>160</v>
      </c>
      <c r="M586">
        <v>7</v>
      </c>
      <c r="N586" s="10">
        <v>81.900000000000006</v>
      </c>
      <c r="O586" s="2">
        <f t="shared" si="19"/>
        <v>440.26530000000002</v>
      </c>
      <c r="P586" s="2">
        <f t="shared" si="20"/>
        <v>198.48</v>
      </c>
      <c r="Q586">
        <v>0</v>
      </c>
    </row>
    <row r="587" spans="1:17" x14ac:dyDescent="0.25">
      <c r="A587" s="15"/>
      <c r="B587" s="21"/>
      <c r="C587">
        <v>15</v>
      </c>
      <c r="D587" s="3">
        <v>425</v>
      </c>
      <c r="E587">
        <v>75</v>
      </c>
      <c r="F587">
        <v>560</v>
      </c>
      <c r="G587">
        <v>1307</v>
      </c>
      <c r="H587" s="7">
        <v>0</v>
      </c>
      <c r="I587">
        <v>0</v>
      </c>
      <c r="J587">
        <v>0</v>
      </c>
      <c r="K587" s="8">
        <v>6</v>
      </c>
      <c r="L587">
        <v>160</v>
      </c>
      <c r="M587">
        <v>28</v>
      </c>
      <c r="N587" s="10">
        <v>93.4</v>
      </c>
      <c r="O587" s="2">
        <f t="shared" si="19"/>
        <v>440.26530000000002</v>
      </c>
      <c r="P587" s="2">
        <f t="shared" si="20"/>
        <v>198.48</v>
      </c>
      <c r="Q587">
        <v>0</v>
      </c>
    </row>
    <row r="588" spans="1:17" x14ac:dyDescent="0.25">
      <c r="A588" s="15"/>
      <c r="B588" s="21"/>
      <c r="C588">
        <v>15</v>
      </c>
      <c r="D588" s="3">
        <v>425</v>
      </c>
      <c r="E588">
        <v>75</v>
      </c>
      <c r="F588">
        <v>560</v>
      </c>
      <c r="G588">
        <v>1307</v>
      </c>
      <c r="H588" s="7">
        <v>0</v>
      </c>
      <c r="I588">
        <v>0</v>
      </c>
      <c r="J588">
        <v>0</v>
      </c>
      <c r="K588" s="8">
        <v>6</v>
      </c>
      <c r="L588">
        <v>160</v>
      </c>
      <c r="M588">
        <v>90</v>
      </c>
      <c r="N588" s="10">
        <v>101.8</v>
      </c>
      <c r="O588" s="2">
        <f t="shared" si="19"/>
        <v>440.26530000000002</v>
      </c>
      <c r="P588" s="2">
        <f t="shared" si="20"/>
        <v>198.48</v>
      </c>
      <c r="Q588">
        <v>0</v>
      </c>
    </row>
    <row r="589" spans="1:17" x14ac:dyDescent="0.25">
      <c r="A589" s="15"/>
      <c r="B589" s="21"/>
      <c r="C589">
        <v>20</v>
      </c>
      <c r="D589" s="3">
        <v>400</v>
      </c>
      <c r="E589">
        <v>100</v>
      </c>
      <c r="F589">
        <v>558</v>
      </c>
      <c r="G589">
        <v>1301</v>
      </c>
      <c r="H589" s="7">
        <v>0</v>
      </c>
      <c r="I589">
        <v>0</v>
      </c>
      <c r="J589">
        <v>0</v>
      </c>
      <c r="K589" s="8">
        <v>6.22</v>
      </c>
      <c r="L589">
        <v>160</v>
      </c>
      <c r="M589">
        <v>1</v>
      </c>
      <c r="N589" s="10">
        <v>34.200000000000003</v>
      </c>
      <c r="O589" s="2">
        <f t="shared" ref="O589:O652" si="21">SUM((D589*0.83)+(E589*0.1032)+(F589*0.0139)+(G589*0.0459)+(K589*2))</f>
        <v>422.2321</v>
      </c>
      <c r="P589" s="2">
        <f t="shared" si="20"/>
        <v>189.30749999999998</v>
      </c>
      <c r="Q589">
        <v>0</v>
      </c>
    </row>
    <row r="590" spans="1:17" x14ac:dyDescent="0.25">
      <c r="A590" s="15"/>
      <c r="B590" s="21"/>
      <c r="C590">
        <v>20</v>
      </c>
      <c r="D590" s="3">
        <v>400</v>
      </c>
      <c r="E590">
        <v>100</v>
      </c>
      <c r="F590">
        <v>558</v>
      </c>
      <c r="G590">
        <v>1301</v>
      </c>
      <c r="H590" s="7">
        <v>0</v>
      </c>
      <c r="I590">
        <v>0</v>
      </c>
      <c r="J590">
        <v>0</v>
      </c>
      <c r="K590" s="8">
        <v>6.22</v>
      </c>
      <c r="L590">
        <v>160</v>
      </c>
      <c r="M590">
        <v>3</v>
      </c>
      <c r="N590" s="10">
        <v>60.7</v>
      </c>
      <c r="O590" s="2">
        <f t="shared" si="21"/>
        <v>422.2321</v>
      </c>
      <c r="P590" s="2">
        <f t="shared" si="20"/>
        <v>189.30749999999998</v>
      </c>
      <c r="Q590">
        <v>0</v>
      </c>
    </row>
    <row r="591" spans="1:17" x14ac:dyDescent="0.25">
      <c r="A591" s="15"/>
      <c r="B591" s="21"/>
      <c r="C591">
        <v>20</v>
      </c>
      <c r="D591" s="3">
        <v>400</v>
      </c>
      <c r="E591">
        <v>100</v>
      </c>
      <c r="F591">
        <v>558</v>
      </c>
      <c r="G591">
        <v>1301</v>
      </c>
      <c r="H591" s="7">
        <v>0</v>
      </c>
      <c r="I591">
        <v>0</v>
      </c>
      <c r="J591">
        <v>0</v>
      </c>
      <c r="K591" s="8">
        <v>6.22</v>
      </c>
      <c r="L591">
        <v>160</v>
      </c>
      <c r="M591">
        <v>7</v>
      </c>
      <c r="N591" s="10">
        <v>82.2</v>
      </c>
      <c r="O591" s="2">
        <f t="shared" si="21"/>
        <v>422.2321</v>
      </c>
      <c r="P591" s="2">
        <f t="shared" si="20"/>
        <v>189.30749999999998</v>
      </c>
      <c r="Q591">
        <v>0</v>
      </c>
    </row>
    <row r="592" spans="1:17" x14ac:dyDescent="0.25">
      <c r="A592" s="15"/>
      <c r="B592" s="21"/>
      <c r="C592">
        <v>20</v>
      </c>
      <c r="D592" s="3">
        <v>400</v>
      </c>
      <c r="E592">
        <v>100</v>
      </c>
      <c r="F592">
        <v>558</v>
      </c>
      <c r="G592">
        <v>1301</v>
      </c>
      <c r="H592" s="7">
        <v>0</v>
      </c>
      <c r="I592">
        <v>0</v>
      </c>
      <c r="J592">
        <v>0</v>
      </c>
      <c r="K592" s="8">
        <v>6.22</v>
      </c>
      <c r="L592">
        <v>160</v>
      </c>
      <c r="M592">
        <v>28</v>
      </c>
      <c r="N592" s="10">
        <v>94.3</v>
      </c>
      <c r="O592" s="2">
        <f t="shared" si="21"/>
        <v>422.2321</v>
      </c>
      <c r="P592" s="2">
        <f t="shared" si="20"/>
        <v>189.30749999999998</v>
      </c>
      <c r="Q592">
        <v>0</v>
      </c>
    </row>
    <row r="593" spans="1:17" x14ac:dyDescent="0.25">
      <c r="A593" s="15"/>
      <c r="B593" s="21"/>
      <c r="C593">
        <v>20</v>
      </c>
      <c r="D593" s="3">
        <v>400</v>
      </c>
      <c r="E593">
        <v>100</v>
      </c>
      <c r="F593">
        <v>558</v>
      </c>
      <c r="G593">
        <v>1301</v>
      </c>
      <c r="H593" s="7">
        <v>0</v>
      </c>
      <c r="I593">
        <v>0</v>
      </c>
      <c r="J593">
        <v>0</v>
      </c>
      <c r="K593" s="8">
        <v>6.22</v>
      </c>
      <c r="L593">
        <v>160</v>
      </c>
      <c r="M593">
        <v>90</v>
      </c>
      <c r="N593" s="10">
        <v>103.3</v>
      </c>
      <c r="O593" s="2">
        <f t="shared" si="21"/>
        <v>422.2321</v>
      </c>
      <c r="P593" s="2">
        <f t="shared" si="20"/>
        <v>189.30749999999998</v>
      </c>
      <c r="Q593">
        <v>0</v>
      </c>
    </row>
    <row r="594" spans="1:17" x14ac:dyDescent="0.25">
      <c r="A594" s="15"/>
      <c r="B594" s="21"/>
      <c r="C594">
        <v>0</v>
      </c>
      <c r="D594" s="3">
        <v>500</v>
      </c>
      <c r="E594">
        <v>0</v>
      </c>
      <c r="F594">
        <v>560</v>
      </c>
      <c r="G594">
        <v>1305</v>
      </c>
      <c r="H594" s="7">
        <v>0</v>
      </c>
      <c r="I594">
        <v>0</v>
      </c>
      <c r="J594">
        <v>0</v>
      </c>
      <c r="K594" s="8">
        <v>5</v>
      </c>
      <c r="L594">
        <v>170</v>
      </c>
      <c r="M594">
        <v>1</v>
      </c>
      <c r="N594" s="10">
        <v>35.5</v>
      </c>
      <c r="O594" s="2">
        <f t="shared" si="21"/>
        <v>492.68349999999998</v>
      </c>
      <c r="P594" s="2">
        <f t="shared" si="20"/>
        <v>225.07499999999999</v>
      </c>
      <c r="Q594">
        <v>0</v>
      </c>
    </row>
    <row r="595" spans="1:17" x14ac:dyDescent="0.25">
      <c r="A595" s="15"/>
      <c r="B595" s="21"/>
      <c r="C595">
        <v>0</v>
      </c>
      <c r="D595" s="3">
        <v>500</v>
      </c>
      <c r="E595">
        <v>0</v>
      </c>
      <c r="F595">
        <v>560</v>
      </c>
      <c r="G595">
        <v>1305</v>
      </c>
      <c r="H595" s="7">
        <v>0</v>
      </c>
      <c r="I595">
        <v>0</v>
      </c>
      <c r="J595">
        <v>0</v>
      </c>
      <c r="K595" s="8">
        <v>5</v>
      </c>
      <c r="L595">
        <v>170</v>
      </c>
      <c r="M595">
        <v>3</v>
      </c>
      <c r="N595" s="10">
        <v>61.7</v>
      </c>
      <c r="O595" s="2">
        <f t="shared" si="21"/>
        <v>492.68349999999998</v>
      </c>
      <c r="P595" s="2">
        <f t="shared" si="20"/>
        <v>225.07499999999999</v>
      </c>
      <c r="Q595">
        <v>0</v>
      </c>
    </row>
    <row r="596" spans="1:17" x14ac:dyDescent="0.25">
      <c r="A596" s="15"/>
      <c r="B596" s="21"/>
      <c r="C596">
        <v>0</v>
      </c>
      <c r="D596" s="3">
        <v>500</v>
      </c>
      <c r="E596">
        <v>0</v>
      </c>
      <c r="F596">
        <v>560</v>
      </c>
      <c r="G596">
        <v>1305</v>
      </c>
      <c r="H596" s="7">
        <v>0</v>
      </c>
      <c r="I596">
        <v>0</v>
      </c>
      <c r="J596">
        <v>0</v>
      </c>
      <c r="K596" s="8">
        <v>5</v>
      </c>
      <c r="L596">
        <v>170</v>
      </c>
      <c r="M596">
        <v>7</v>
      </c>
      <c r="N596" s="10">
        <v>73.8</v>
      </c>
      <c r="O596" s="2">
        <f t="shared" si="21"/>
        <v>492.68349999999998</v>
      </c>
      <c r="P596" s="2">
        <f t="shared" si="20"/>
        <v>225.07499999999999</v>
      </c>
      <c r="Q596">
        <v>0</v>
      </c>
    </row>
    <row r="597" spans="1:17" x14ac:dyDescent="0.25">
      <c r="A597" s="15"/>
      <c r="B597" s="21"/>
      <c r="C597">
        <v>0</v>
      </c>
      <c r="D597" s="3">
        <v>500</v>
      </c>
      <c r="E597">
        <v>0</v>
      </c>
      <c r="F597">
        <v>560</v>
      </c>
      <c r="G597">
        <v>1305</v>
      </c>
      <c r="H597" s="7">
        <v>0</v>
      </c>
      <c r="I597">
        <v>0</v>
      </c>
      <c r="J597">
        <v>0</v>
      </c>
      <c r="K597" s="8">
        <v>5</v>
      </c>
      <c r="L597">
        <v>170</v>
      </c>
      <c r="M597">
        <v>28</v>
      </c>
      <c r="N597" s="10">
        <v>82.8</v>
      </c>
      <c r="O597" s="2">
        <f t="shared" si="21"/>
        <v>492.68349999999998</v>
      </c>
      <c r="P597" s="2">
        <f t="shared" si="20"/>
        <v>225.07499999999999</v>
      </c>
      <c r="Q597">
        <v>0</v>
      </c>
    </row>
    <row r="598" spans="1:17" x14ac:dyDescent="0.25">
      <c r="A598" s="15"/>
      <c r="B598" s="21"/>
      <c r="C598">
        <v>0</v>
      </c>
      <c r="D598" s="3">
        <v>500</v>
      </c>
      <c r="E598">
        <v>0</v>
      </c>
      <c r="F598">
        <v>560</v>
      </c>
      <c r="G598">
        <v>1305</v>
      </c>
      <c r="H598" s="7">
        <v>0</v>
      </c>
      <c r="I598">
        <v>0</v>
      </c>
      <c r="J598">
        <v>0</v>
      </c>
      <c r="K598" s="8">
        <v>5</v>
      </c>
      <c r="L598">
        <v>170</v>
      </c>
      <c r="M598">
        <v>90</v>
      </c>
      <c r="N598" s="10">
        <v>90.5</v>
      </c>
      <c r="O598" s="2">
        <f t="shared" si="21"/>
        <v>492.68349999999998</v>
      </c>
      <c r="P598" s="2">
        <f t="shared" si="20"/>
        <v>225.07499999999999</v>
      </c>
      <c r="Q598">
        <v>0</v>
      </c>
    </row>
    <row r="599" spans="1:17" x14ac:dyDescent="0.25">
      <c r="A599" s="15"/>
      <c r="B599" s="21"/>
      <c r="C599">
        <v>10</v>
      </c>
      <c r="D599" s="3">
        <v>450</v>
      </c>
      <c r="E599">
        <v>50</v>
      </c>
      <c r="F599">
        <v>555</v>
      </c>
      <c r="G599">
        <v>1294</v>
      </c>
      <c r="H599" s="7">
        <v>0</v>
      </c>
      <c r="I599">
        <v>0</v>
      </c>
      <c r="J599">
        <v>0</v>
      </c>
      <c r="K599" s="8">
        <v>5</v>
      </c>
      <c r="L599">
        <v>170</v>
      </c>
      <c r="M599">
        <v>1</v>
      </c>
      <c r="N599" s="10">
        <v>29.9</v>
      </c>
      <c r="O599" s="2">
        <f t="shared" si="21"/>
        <v>455.76910000000004</v>
      </c>
      <c r="P599" s="2">
        <f t="shared" si="20"/>
        <v>206.06625</v>
      </c>
      <c r="Q599">
        <v>0</v>
      </c>
    </row>
    <row r="600" spans="1:17" x14ac:dyDescent="0.25">
      <c r="A600" s="15"/>
      <c r="B600" s="21"/>
      <c r="C600">
        <v>10</v>
      </c>
      <c r="D600" s="3">
        <v>450</v>
      </c>
      <c r="E600">
        <v>50</v>
      </c>
      <c r="F600">
        <v>555</v>
      </c>
      <c r="G600">
        <v>1294</v>
      </c>
      <c r="H600" s="7">
        <v>0</v>
      </c>
      <c r="I600">
        <v>0</v>
      </c>
      <c r="J600">
        <v>0</v>
      </c>
      <c r="K600" s="8">
        <v>5</v>
      </c>
      <c r="L600">
        <v>170</v>
      </c>
      <c r="M600">
        <v>3</v>
      </c>
      <c r="N600" s="10">
        <v>57.6</v>
      </c>
      <c r="O600" s="2">
        <f t="shared" si="21"/>
        <v>455.76910000000004</v>
      </c>
      <c r="P600" s="2">
        <f t="shared" si="20"/>
        <v>206.06625</v>
      </c>
      <c r="Q600">
        <v>0</v>
      </c>
    </row>
    <row r="601" spans="1:17" x14ac:dyDescent="0.25">
      <c r="A601" s="15"/>
      <c r="B601" s="21"/>
      <c r="C601">
        <v>10</v>
      </c>
      <c r="D601" s="3">
        <v>450</v>
      </c>
      <c r="E601">
        <v>50</v>
      </c>
      <c r="F601">
        <v>555</v>
      </c>
      <c r="G601">
        <v>1294</v>
      </c>
      <c r="H601" s="7">
        <v>0</v>
      </c>
      <c r="I601">
        <v>0</v>
      </c>
      <c r="J601">
        <v>0</v>
      </c>
      <c r="K601" s="8">
        <v>5</v>
      </c>
      <c r="L601">
        <v>170</v>
      </c>
      <c r="M601">
        <v>7</v>
      </c>
      <c r="N601" s="10">
        <v>78.900000000000006</v>
      </c>
      <c r="O601" s="2">
        <f t="shared" si="21"/>
        <v>455.76910000000004</v>
      </c>
      <c r="P601" s="2">
        <f t="shared" si="20"/>
        <v>206.06625</v>
      </c>
      <c r="Q601">
        <v>0</v>
      </c>
    </row>
    <row r="602" spans="1:17" x14ac:dyDescent="0.25">
      <c r="A602" s="15"/>
      <c r="B602" s="21"/>
      <c r="C602">
        <v>10</v>
      </c>
      <c r="D602" s="3">
        <v>450</v>
      </c>
      <c r="E602">
        <v>50</v>
      </c>
      <c r="F602">
        <v>555</v>
      </c>
      <c r="G602">
        <v>1294</v>
      </c>
      <c r="H602" s="7">
        <v>0</v>
      </c>
      <c r="I602">
        <v>0</v>
      </c>
      <c r="J602">
        <v>0</v>
      </c>
      <c r="K602" s="8">
        <v>5</v>
      </c>
      <c r="L602">
        <v>170</v>
      </c>
      <c r="M602">
        <v>28</v>
      </c>
      <c r="N602" s="10">
        <v>89.7</v>
      </c>
      <c r="O602" s="2">
        <f t="shared" si="21"/>
        <v>455.76910000000004</v>
      </c>
      <c r="P602" s="2">
        <f t="shared" si="20"/>
        <v>206.06625</v>
      </c>
      <c r="Q602">
        <v>0</v>
      </c>
    </row>
    <row r="603" spans="1:17" x14ac:dyDescent="0.25">
      <c r="A603" s="15"/>
      <c r="B603" s="21"/>
      <c r="C603">
        <v>10</v>
      </c>
      <c r="D603" s="3">
        <v>450</v>
      </c>
      <c r="E603">
        <v>50</v>
      </c>
      <c r="F603">
        <v>555</v>
      </c>
      <c r="G603">
        <v>1294</v>
      </c>
      <c r="H603" s="7">
        <v>0</v>
      </c>
      <c r="I603">
        <v>0</v>
      </c>
      <c r="J603">
        <v>0</v>
      </c>
      <c r="K603" s="8">
        <v>5</v>
      </c>
      <c r="L603">
        <v>170</v>
      </c>
      <c r="M603">
        <v>90</v>
      </c>
      <c r="N603" s="10">
        <v>98.5</v>
      </c>
      <c r="O603" s="2">
        <f t="shared" si="21"/>
        <v>455.76910000000004</v>
      </c>
      <c r="P603" s="2">
        <f t="shared" si="20"/>
        <v>206.06625</v>
      </c>
      <c r="Q603">
        <v>0</v>
      </c>
    </row>
    <row r="604" spans="1:17" x14ac:dyDescent="0.25">
      <c r="A604" s="15"/>
      <c r="B604" s="21"/>
      <c r="C604">
        <v>15</v>
      </c>
      <c r="D604" s="3">
        <v>425</v>
      </c>
      <c r="E604">
        <v>75</v>
      </c>
      <c r="F604">
        <v>553</v>
      </c>
      <c r="G604">
        <v>1290</v>
      </c>
      <c r="H604" s="7">
        <v>0</v>
      </c>
      <c r="I604">
        <v>0</v>
      </c>
      <c r="J604">
        <v>0</v>
      </c>
      <c r="K604" s="8">
        <v>5</v>
      </c>
      <c r="L604">
        <v>170</v>
      </c>
      <c r="M604">
        <v>1</v>
      </c>
      <c r="N604" s="10">
        <v>32.6</v>
      </c>
      <c r="O604" s="2">
        <f t="shared" si="21"/>
        <v>437.3877</v>
      </c>
      <c r="P604" s="2">
        <f t="shared" si="20"/>
        <v>196.59375</v>
      </c>
      <c r="Q604">
        <v>0</v>
      </c>
    </row>
    <row r="605" spans="1:17" x14ac:dyDescent="0.25">
      <c r="A605" s="15"/>
      <c r="B605" s="21"/>
      <c r="C605">
        <v>15</v>
      </c>
      <c r="D605" s="3">
        <v>425</v>
      </c>
      <c r="E605">
        <v>75</v>
      </c>
      <c r="F605">
        <v>553</v>
      </c>
      <c r="G605">
        <v>1290</v>
      </c>
      <c r="H605" s="7">
        <v>0</v>
      </c>
      <c r="I605">
        <v>0</v>
      </c>
      <c r="J605">
        <v>0</v>
      </c>
      <c r="K605" s="8">
        <v>5</v>
      </c>
      <c r="L605">
        <v>170</v>
      </c>
      <c r="M605">
        <v>3</v>
      </c>
      <c r="N605" s="10">
        <v>57.3</v>
      </c>
      <c r="O605" s="2">
        <f t="shared" si="21"/>
        <v>437.3877</v>
      </c>
      <c r="P605" s="2">
        <f t="shared" si="20"/>
        <v>196.59375</v>
      </c>
      <c r="Q605">
        <v>0</v>
      </c>
    </row>
    <row r="606" spans="1:17" x14ac:dyDescent="0.25">
      <c r="A606" s="15"/>
      <c r="B606" s="21"/>
      <c r="C606">
        <v>15</v>
      </c>
      <c r="D606" s="3">
        <v>425</v>
      </c>
      <c r="E606">
        <v>75</v>
      </c>
      <c r="F606">
        <v>553</v>
      </c>
      <c r="G606">
        <v>1290</v>
      </c>
      <c r="H606" s="7">
        <v>0</v>
      </c>
      <c r="I606">
        <v>0</v>
      </c>
      <c r="J606">
        <v>0</v>
      </c>
      <c r="K606" s="8">
        <v>5</v>
      </c>
      <c r="L606">
        <v>170</v>
      </c>
      <c r="M606">
        <v>7</v>
      </c>
      <c r="N606" s="10">
        <v>79.2</v>
      </c>
      <c r="O606" s="2">
        <f t="shared" si="21"/>
        <v>437.3877</v>
      </c>
      <c r="P606" s="2">
        <f t="shared" si="20"/>
        <v>196.59375</v>
      </c>
      <c r="Q606">
        <v>0</v>
      </c>
    </row>
    <row r="607" spans="1:17" x14ac:dyDescent="0.25">
      <c r="A607" s="15"/>
      <c r="B607" s="21"/>
      <c r="C607">
        <v>15</v>
      </c>
      <c r="D607" s="3">
        <v>425</v>
      </c>
      <c r="E607">
        <v>75</v>
      </c>
      <c r="F607">
        <v>553</v>
      </c>
      <c r="G607">
        <v>1290</v>
      </c>
      <c r="H607" s="7">
        <v>0</v>
      </c>
      <c r="I607">
        <v>0</v>
      </c>
      <c r="J607">
        <v>0</v>
      </c>
      <c r="K607" s="8">
        <v>5</v>
      </c>
      <c r="L607">
        <v>170</v>
      </c>
      <c r="M607">
        <v>28</v>
      </c>
      <c r="N607" s="10">
        <v>90.3</v>
      </c>
      <c r="O607" s="2">
        <f t="shared" si="21"/>
        <v>437.3877</v>
      </c>
      <c r="P607" s="2">
        <f t="shared" si="20"/>
        <v>196.59375</v>
      </c>
      <c r="Q607">
        <v>0</v>
      </c>
    </row>
    <row r="608" spans="1:17" x14ac:dyDescent="0.25">
      <c r="A608" s="15"/>
      <c r="B608" s="21"/>
      <c r="C608">
        <v>15</v>
      </c>
      <c r="D608" s="3">
        <v>425</v>
      </c>
      <c r="E608">
        <v>75</v>
      </c>
      <c r="F608">
        <v>553</v>
      </c>
      <c r="G608">
        <v>1290</v>
      </c>
      <c r="H608" s="7">
        <v>0</v>
      </c>
      <c r="I608">
        <v>0</v>
      </c>
      <c r="J608">
        <v>0</v>
      </c>
      <c r="K608" s="8">
        <v>5</v>
      </c>
      <c r="L608">
        <v>170</v>
      </c>
      <c r="M608">
        <v>90</v>
      </c>
      <c r="N608" s="10">
        <v>99.1</v>
      </c>
      <c r="O608" s="2">
        <f t="shared" si="21"/>
        <v>437.3877</v>
      </c>
      <c r="P608" s="2">
        <f t="shared" si="20"/>
        <v>196.59375</v>
      </c>
      <c r="Q608">
        <v>0</v>
      </c>
    </row>
    <row r="609" spans="1:17" x14ac:dyDescent="0.25">
      <c r="A609" s="15"/>
      <c r="B609" s="21"/>
      <c r="C609">
        <v>20</v>
      </c>
      <c r="D609" s="3">
        <v>400</v>
      </c>
      <c r="E609">
        <v>100</v>
      </c>
      <c r="F609">
        <v>551</v>
      </c>
      <c r="G609">
        <v>1285</v>
      </c>
      <c r="H609" s="7">
        <v>0</v>
      </c>
      <c r="I609">
        <v>0</v>
      </c>
      <c r="J609">
        <v>0</v>
      </c>
      <c r="K609" s="8">
        <v>5</v>
      </c>
      <c r="L609">
        <v>170</v>
      </c>
      <c r="M609">
        <v>1</v>
      </c>
      <c r="N609" s="10">
        <v>31.1</v>
      </c>
      <c r="O609" s="2">
        <f t="shared" si="21"/>
        <v>418.96039999999999</v>
      </c>
      <c r="P609" s="2">
        <f t="shared" si="20"/>
        <v>187.10624999999999</v>
      </c>
      <c r="Q609">
        <v>0</v>
      </c>
    </row>
    <row r="610" spans="1:17" x14ac:dyDescent="0.25">
      <c r="A610" s="15"/>
      <c r="B610" s="21"/>
      <c r="C610">
        <v>20</v>
      </c>
      <c r="D610" s="3">
        <v>400</v>
      </c>
      <c r="E610">
        <v>100</v>
      </c>
      <c r="F610">
        <v>551</v>
      </c>
      <c r="G610">
        <v>1285</v>
      </c>
      <c r="H610" s="7">
        <v>0</v>
      </c>
      <c r="I610">
        <v>0</v>
      </c>
      <c r="J610">
        <v>0</v>
      </c>
      <c r="K610" s="8">
        <v>5</v>
      </c>
      <c r="L610">
        <v>170</v>
      </c>
      <c r="M610">
        <v>3</v>
      </c>
      <c r="N610" s="10">
        <v>59.2</v>
      </c>
      <c r="O610" s="2">
        <f t="shared" si="21"/>
        <v>418.96039999999999</v>
      </c>
      <c r="P610" s="2">
        <f t="shared" si="20"/>
        <v>187.10624999999999</v>
      </c>
      <c r="Q610">
        <v>0</v>
      </c>
    </row>
    <row r="611" spans="1:17" x14ac:dyDescent="0.25">
      <c r="A611" s="15"/>
      <c r="B611" s="21"/>
      <c r="C611">
        <v>20</v>
      </c>
      <c r="D611" s="3">
        <v>400</v>
      </c>
      <c r="E611">
        <v>100</v>
      </c>
      <c r="F611">
        <v>551</v>
      </c>
      <c r="G611">
        <v>1285</v>
      </c>
      <c r="H611" s="7">
        <v>0</v>
      </c>
      <c r="I611">
        <v>0</v>
      </c>
      <c r="J611">
        <v>0</v>
      </c>
      <c r="K611" s="8">
        <v>5</v>
      </c>
      <c r="L611">
        <v>170</v>
      </c>
      <c r="M611">
        <v>7</v>
      </c>
      <c r="N611" s="10">
        <v>80.3</v>
      </c>
      <c r="O611" s="2">
        <f t="shared" si="21"/>
        <v>418.96039999999999</v>
      </c>
      <c r="P611" s="2">
        <f t="shared" si="20"/>
        <v>187.10624999999999</v>
      </c>
      <c r="Q611">
        <v>0</v>
      </c>
    </row>
    <row r="612" spans="1:17" x14ac:dyDescent="0.25">
      <c r="A612" s="15"/>
      <c r="B612" s="21"/>
      <c r="C612">
        <v>20</v>
      </c>
      <c r="D612" s="3">
        <v>400</v>
      </c>
      <c r="E612">
        <v>100</v>
      </c>
      <c r="F612">
        <v>551</v>
      </c>
      <c r="G612">
        <v>1285</v>
      </c>
      <c r="H612" s="7">
        <v>0</v>
      </c>
      <c r="I612">
        <v>0</v>
      </c>
      <c r="J612">
        <v>0</v>
      </c>
      <c r="K612" s="8">
        <v>5</v>
      </c>
      <c r="L612">
        <v>170</v>
      </c>
      <c r="M612">
        <v>28</v>
      </c>
      <c r="N612" s="10">
        <v>91.1</v>
      </c>
      <c r="O612" s="2">
        <f t="shared" si="21"/>
        <v>418.96039999999999</v>
      </c>
      <c r="P612" s="2">
        <f t="shared" si="20"/>
        <v>187.10624999999999</v>
      </c>
      <c r="Q612">
        <v>0</v>
      </c>
    </row>
    <row r="613" spans="1:17" x14ac:dyDescent="0.25">
      <c r="A613" s="15"/>
      <c r="B613" s="21"/>
      <c r="C613">
        <v>20</v>
      </c>
      <c r="D613" s="3">
        <v>400</v>
      </c>
      <c r="E613">
        <v>100</v>
      </c>
      <c r="F613">
        <v>551</v>
      </c>
      <c r="G613">
        <v>1285</v>
      </c>
      <c r="H613" s="7">
        <v>0</v>
      </c>
      <c r="I613">
        <v>0</v>
      </c>
      <c r="J613">
        <v>0</v>
      </c>
      <c r="K613" s="8">
        <v>5</v>
      </c>
      <c r="L613">
        <v>170</v>
      </c>
      <c r="M613">
        <v>90</v>
      </c>
      <c r="N613" s="10">
        <v>100.1</v>
      </c>
      <c r="O613" s="2">
        <f t="shared" si="21"/>
        <v>418.96039999999999</v>
      </c>
      <c r="P613" s="2">
        <f t="shared" si="20"/>
        <v>187.10624999999999</v>
      </c>
      <c r="Q613">
        <v>0</v>
      </c>
    </row>
    <row r="614" spans="1:17" x14ac:dyDescent="0.25">
      <c r="A614" s="15" t="s">
        <v>343</v>
      </c>
      <c r="B614" s="15" t="s">
        <v>342</v>
      </c>
      <c r="C614">
        <v>0</v>
      </c>
      <c r="D614" s="3">
        <v>488</v>
      </c>
      <c r="E614">
        <v>0</v>
      </c>
      <c r="F614">
        <v>622.20000000000005</v>
      </c>
      <c r="G614">
        <v>989.6</v>
      </c>
      <c r="H614" s="7">
        <v>0</v>
      </c>
      <c r="I614">
        <v>0</v>
      </c>
      <c r="J614">
        <v>0</v>
      </c>
      <c r="K614" s="8">
        <v>0</v>
      </c>
      <c r="L614">
        <v>322</v>
      </c>
      <c r="M614">
        <v>14</v>
      </c>
      <c r="N614" s="10">
        <v>22.6</v>
      </c>
      <c r="O614" s="2">
        <f t="shared" si="21"/>
        <v>459.11121999999995</v>
      </c>
      <c r="P614" s="2">
        <f t="shared" si="20"/>
        <v>209.51025000000001</v>
      </c>
      <c r="Q614">
        <v>92</v>
      </c>
    </row>
    <row r="615" spans="1:17" x14ac:dyDescent="0.25">
      <c r="A615" s="15"/>
      <c r="B615" s="15"/>
      <c r="C615">
        <v>0</v>
      </c>
      <c r="D615" s="3">
        <v>488</v>
      </c>
      <c r="E615">
        <v>0</v>
      </c>
      <c r="F615">
        <v>622.20000000000005</v>
      </c>
      <c r="G615">
        <v>989.6</v>
      </c>
      <c r="H615" s="7">
        <v>0</v>
      </c>
      <c r="I615">
        <v>0</v>
      </c>
      <c r="J615">
        <v>0</v>
      </c>
      <c r="K615" s="8">
        <v>0</v>
      </c>
      <c r="L615">
        <v>322</v>
      </c>
      <c r="M615">
        <v>28</v>
      </c>
      <c r="N615" s="10">
        <v>40.44</v>
      </c>
      <c r="O615" s="2">
        <f t="shared" si="21"/>
        <v>459.11121999999995</v>
      </c>
      <c r="P615" s="2">
        <f t="shared" si="20"/>
        <v>209.51025000000001</v>
      </c>
      <c r="Q615">
        <v>92</v>
      </c>
    </row>
    <row r="616" spans="1:17" x14ac:dyDescent="0.25">
      <c r="A616" s="15"/>
      <c r="B616" s="15"/>
      <c r="C616">
        <v>0</v>
      </c>
      <c r="D616" s="3">
        <v>488</v>
      </c>
      <c r="E616">
        <v>0</v>
      </c>
      <c r="F616">
        <v>622.20000000000005</v>
      </c>
      <c r="G616">
        <v>989.6</v>
      </c>
      <c r="H616" s="7">
        <v>0</v>
      </c>
      <c r="I616">
        <v>0</v>
      </c>
      <c r="J616">
        <v>74.099999999999994</v>
      </c>
      <c r="K616" s="8">
        <v>0</v>
      </c>
      <c r="L616">
        <v>322</v>
      </c>
      <c r="M616">
        <v>14</v>
      </c>
      <c r="N616" s="10">
        <v>20.399999999999999</v>
      </c>
      <c r="O616" s="2">
        <f t="shared" si="21"/>
        <v>459.11121999999995</v>
      </c>
      <c r="P616" s="2">
        <f t="shared" si="20"/>
        <v>209.51025000000001</v>
      </c>
      <c r="Q616">
        <v>85</v>
      </c>
    </row>
    <row r="617" spans="1:17" x14ac:dyDescent="0.25">
      <c r="A617" s="15"/>
      <c r="B617" s="15"/>
      <c r="C617">
        <v>0</v>
      </c>
      <c r="D617" s="3">
        <v>488</v>
      </c>
      <c r="E617">
        <v>0</v>
      </c>
      <c r="F617">
        <v>622.20000000000005</v>
      </c>
      <c r="G617">
        <v>989.6</v>
      </c>
      <c r="H617" s="7">
        <v>0</v>
      </c>
      <c r="I617">
        <v>0</v>
      </c>
      <c r="J617">
        <v>74.099999999999994</v>
      </c>
      <c r="K617" s="8">
        <v>0</v>
      </c>
      <c r="L617">
        <v>322</v>
      </c>
      <c r="M617">
        <v>28</v>
      </c>
      <c r="N617" s="10">
        <v>39.5</v>
      </c>
      <c r="O617" s="2">
        <f t="shared" si="21"/>
        <v>459.11121999999995</v>
      </c>
      <c r="P617" s="2">
        <f t="shared" si="20"/>
        <v>209.51025000000001</v>
      </c>
      <c r="Q617">
        <v>85</v>
      </c>
    </row>
    <row r="618" spans="1:17" x14ac:dyDescent="0.25">
      <c r="A618" s="15"/>
      <c r="B618" s="15"/>
      <c r="C618">
        <v>5</v>
      </c>
      <c r="D618" s="3">
        <v>415</v>
      </c>
      <c r="E618">
        <v>23.7</v>
      </c>
      <c r="F618">
        <v>622.20000000000005</v>
      </c>
      <c r="G618">
        <v>989.6</v>
      </c>
      <c r="H618" s="7">
        <v>0</v>
      </c>
      <c r="I618">
        <v>0</v>
      </c>
      <c r="J618">
        <v>48.9</v>
      </c>
      <c r="K618" s="8">
        <v>0</v>
      </c>
      <c r="L618">
        <v>322</v>
      </c>
      <c r="M618">
        <v>14</v>
      </c>
      <c r="N618" s="10">
        <v>23.5</v>
      </c>
      <c r="O618" s="2">
        <f t="shared" si="21"/>
        <v>400.96705999999995</v>
      </c>
      <c r="P618" s="2">
        <f t="shared" si="20"/>
        <v>182.13525000000001</v>
      </c>
      <c r="Q618">
        <v>73</v>
      </c>
    </row>
    <row r="619" spans="1:17" x14ac:dyDescent="0.25">
      <c r="A619" s="15"/>
      <c r="B619" s="15"/>
      <c r="C619">
        <v>5</v>
      </c>
      <c r="D619" s="3">
        <v>415</v>
      </c>
      <c r="E619">
        <v>23.7</v>
      </c>
      <c r="F619">
        <v>622.20000000000005</v>
      </c>
      <c r="G619">
        <v>989.6</v>
      </c>
      <c r="H619" s="7">
        <v>0</v>
      </c>
      <c r="I619">
        <v>0</v>
      </c>
      <c r="J619">
        <v>48.9</v>
      </c>
      <c r="K619" s="8">
        <v>0</v>
      </c>
      <c r="L619">
        <v>322</v>
      </c>
      <c r="M619">
        <v>28</v>
      </c>
      <c r="N619" s="10">
        <v>42.2</v>
      </c>
      <c r="O619" s="2">
        <f t="shared" si="21"/>
        <v>400.96705999999995</v>
      </c>
      <c r="P619" s="2">
        <f t="shared" si="20"/>
        <v>182.13525000000001</v>
      </c>
      <c r="Q619">
        <v>73</v>
      </c>
    </row>
    <row r="620" spans="1:17" x14ac:dyDescent="0.25">
      <c r="A620" s="15"/>
      <c r="B620" s="15"/>
      <c r="C620">
        <v>10</v>
      </c>
      <c r="D620" s="3">
        <v>415</v>
      </c>
      <c r="E620">
        <v>48.9</v>
      </c>
      <c r="F620">
        <v>622.20000000000005</v>
      </c>
      <c r="G620">
        <v>989.6</v>
      </c>
      <c r="H620" s="7">
        <v>0</v>
      </c>
      <c r="I620">
        <v>0</v>
      </c>
      <c r="J620">
        <v>23.7</v>
      </c>
      <c r="K620" s="8">
        <v>0</v>
      </c>
      <c r="L620">
        <v>322</v>
      </c>
      <c r="M620">
        <v>14</v>
      </c>
      <c r="N620" s="10">
        <v>18.7</v>
      </c>
      <c r="O620" s="2">
        <f t="shared" si="21"/>
        <v>403.56769999999995</v>
      </c>
      <c r="P620" s="2">
        <f t="shared" si="20"/>
        <v>182.13525000000001</v>
      </c>
      <c r="Q620">
        <v>64</v>
      </c>
    </row>
    <row r="621" spans="1:17" x14ac:dyDescent="0.25">
      <c r="A621" s="15"/>
      <c r="B621" s="15"/>
      <c r="C621">
        <v>10</v>
      </c>
      <c r="D621" s="3">
        <v>415</v>
      </c>
      <c r="E621">
        <v>48.9</v>
      </c>
      <c r="F621">
        <v>622.20000000000005</v>
      </c>
      <c r="G621">
        <v>989.6</v>
      </c>
      <c r="H621" s="7">
        <v>0</v>
      </c>
      <c r="I621">
        <v>0</v>
      </c>
      <c r="J621">
        <v>23.7</v>
      </c>
      <c r="K621" s="8">
        <v>0</v>
      </c>
      <c r="L621">
        <v>322</v>
      </c>
      <c r="M621">
        <v>28</v>
      </c>
      <c r="N621" s="10">
        <v>36.799999999999997</v>
      </c>
      <c r="O621" s="2">
        <f t="shared" si="21"/>
        <v>403.56769999999995</v>
      </c>
      <c r="P621" s="2">
        <f t="shared" si="20"/>
        <v>182.13525000000001</v>
      </c>
      <c r="Q621">
        <v>64</v>
      </c>
    </row>
    <row r="622" spans="1:17" x14ac:dyDescent="0.25">
      <c r="A622" s="15"/>
      <c r="B622" s="15"/>
      <c r="C622">
        <v>15</v>
      </c>
      <c r="D622" s="3">
        <v>415</v>
      </c>
      <c r="E622">
        <v>74.099999999999994</v>
      </c>
      <c r="F622">
        <v>622.20000000000005</v>
      </c>
      <c r="G622">
        <v>989.6</v>
      </c>
      <c r="H622" s="7">
        <v>0</v>
      </c>
      <c r="I622">
        <v>0</v>
      </c>
      <c r="J622">
        <v>0</v>
      </c>
      <c r="K622" s="8">
        <v>0</v>
      </c>
      <c r="L622">
        <v>322</v>
      </c>
      <c r="M622">
        <v>14</v>
      </c>
      <c r="N622" s="10">
        <v>19.2</v>
      </c>
      <c r="O622" s="2">
        <f t="shared" si="21"/>
        <v>406.16833999999994</v>
      </c>
      <c r="P622" s="2">
        <f t="shared" si="20"/>
        <v>182.13525000000001</v>
      </c>
      <c r="Q622">
        <v>55</v>
      </c>
    </row>
    <row r="623" spans="1:17" x14ac:dyDescent="0.25">
      <c r="A623" s="15"/>
      <c r="B623" s="15"/>
      <c r="C623">
        <v>15</v>
      </c>
      <c r="D623" s="3">
        <v>415</v>
      </c>
      <c r="E623">
        <v>74.099999999999994</v>
      </c>
      <c r="F623">
        <v>622.20000000000005</v>
      </c>
      <c r="G623">
        <v>989.6</v>
      </c>
      <c r="H623" s="7">
        <v>0</v>
      </c>
      <c r="I623">
        <v>0</v>
      </c>
      <c r="J623">
        <v>0</v>
      </c>
      <c r="K623" s="8">
        <v>0</v>
      </c>
      <c r="L623">
        <v>322</v>
      </c>
      <c r="M623">
        <v>28</v>
      </c>
      <c r="N623" s="10">
        <v>36.9</v>
      </c>
      <c r="O623" s="2">
        <f t="shared" si="21"/>
        <v>406.16833999999994</v>
      </c>
      <c r="P623" s="2">
        <f t="shared" si="20"/>
        <v>182.13525000000001</v>
      </c>
      <c r="Q623">
        <v>55</v>
      </c>
    </row>
    <row r="624" spans="1:17" x14ac:dyDescent="0.25">
      <c r="A624" s="15"/>
      <c r="B624" s="15"/>
      <c r="C624">
        <v>7.5</v>
      </c>
      <c r="D624" s="3">
        <v>415</v>
      </c>
      <c r="E624">
        <v>36.700000000000003</v>
      </c>
      <c r="F624">
        <v>622.20000000000005</v>
      </c>
      <c r="G624">
        <v>989.6</v>
      </c>
      <c r="H624" s="7">
        <v>0</v>
      </c>
      <c r="I624">
        <v>0</v>
      </c>
      <c r="J624">
        <v>36.700000000000003</v>
      </c>
      <c r="K624" s="8">
        <v>0</v>
      </c>
      <c r="L624">
        <v>322</v>
      </c>
      <c r="M624">
        <v>14</v>
      </c>
      <c r="N624" s="10">
        <v>16.600000000000001</v>
      </c>
      <c r="O624" s="2">
        <f t="shared" si="21"/>
        <v>402.30865999999997</v>
      </c>
      <c r="P624" s="2">
        <f t="shared" si="20"/>
        <v>182.13525000000001</v>
      </c>
      <c r="Q624">
        <v>57</v>
      </c>
    </row>
    <row r="625" spans="1:17" x14ac:dyDescent="0.25">
      <c r="A625" s="15"/>
      <c r="B625" s="15"/>
      <c r="C625">
        <v>7.5</v>
      </c>
      <c r="D625" s="3">
        <v>415</v>
      </c>
      <c r="E625">
        <v>36.700000000000003</v>
      </c>
      <c r="F625">
        <v>622.20000000000005</v>
      </c>
      <c r="G625">
        <v>989.6</v>
      </c>
      <c r="H625" s="7">
        <v>0</v>
      </c>
      <c r="I625">
        <v>0</v>
      </c>
      <c r="J625">
        <v>36.700000000000003</v>
      </c>
      <c r="K625" s="8">
        <v>0</v>
      </c>
      <c r="L625">
        <v>322</v>
      </c>
      <c r="M625">
        <v>28</v>
      </c>
      <c r="N625" s="10">
        <v>35.5</v>
      </c>
      <c r="O625" s="2">
        <f t="shared" si="21"/>
        <v>402.30865999999997</v>
      </c>
      <c r="P625" s="2">
        <f t="shared" si="20"/>
        <v>182.13525000000001</v>
      </c>
      <c r="Q625">
        <v>57</v>
      </c>
    </row>
    <row r="626" spans="1:17" x14ac:dyDescent="0.25">
      <c r="A626" s="15" t="s">
        <v>344</v>
      </c>
      <c r="B626" s="15" t="s">
        <v>354</v>
      </c>
      <c r="C626">
        <v>0</v>
      </c>
      <c r="D626" s="3">
        <v>212</v>
      </c>
      <c r="E626">
        <v>0</v>
      </c>
      <c r="F626">
        <v>0</v>
      </c>
      <c r="G626">
        <v>0</v>
      </c>
      <c r="H626" s="7">
        <v>0</v>
      </c>
      <c r="I626">
        <v>0</v>
      </c>
      <c r="J626">
        <v>0</v>
      </c>
      <c r="K626" s="8">
        <v>0</v>
      </c>
      <c r="L626">
        <v>106</v>
      </c>
      <c r="M626">
        <v>7</v>
      </c>
      <c r="N626" s="10">
        <v>26.3</v>
      </c>
      <c r="O626" s="2">
        <f t="shared" si="21"/>
        <v>175.95999999999998</v>
      </c>
      <c r="P626" s="2">
        <f t="shared" si="20"/>
        <v>79.5</v>
      </c>
      <c r="Q626">
        <v>0</v>
      </c>
    </row>
    <row r="627" spans="1:17" x14ac:dyDescent="0.25">
      <c r="A627" s="15"/>
      <c r="B627" s="15"/>
      <c r="C627">
        <v>0</v>
      </c>
      <c r="D627" s="3">
        <v>212</v>
      </c>
      <c r="E627">
        <v>0</v>
      </c>
      <c r="F627">
        <v>0</v>
      </c>
      <c r="G627">
        <v>0</v>
      </c>
      <c r="H627" s="7">
        <v>0</v>
      </c>
      <c r="I627">
        <v>0</v>
      </c>
      <c r="J627">
        <v>0</v>
      </c>
      <c r="K627" s="8">
        <v>0</v>
      </c>
      <c r="L627">
        <v>119</v>
      </c>
      <c r="M627">
        <v>7</v>
      </c>
      <c r="N627" s="10">
        <v>23.2</v>
      </c>
      <c r="O627" s="2">
        <f t="shared" si="21"/>
        <v>175.95999999999998</v>
      </c>
      <c r="P627" s="2">
        <f t="shared" si="20"/>
        <v>79.5</v>
      </c>
      <c r="Q627">
        <v>0</v>
      </c>
    </row>
    <row r="628" spans="1:17" x14ac:dyDescent="0.25">
      <c r="A628" s="15"/>
      <c r="B628" s="15"/>
      <c r="C628">
        <v>0</v>
      </c>
      <c r="D628" s="3">
        <v>212</v>
      </c>
      <c r="E628">
        <v>0</v>
      </c>
      <c r="F628">
        <v>0</v>
      </c>
      <c r="G628">
        <v>0</v>
      </c>
      <c r="H628" s="7">
        <v>0</v>
      </c>
      <c r="I628">
        <v>0</v>
      </c>
      <c r="J628">
        <v>0</v>
      </c>
      <c r="K628" s="8">
        <v>0</v>
      </c>
      <c r="L628">
        <v>133</v>
      </c>
      <c r="M628">
        <v>7</v>
      </c>
      <c r="N628" s="10">
        <v>17</v>
      </c>
      <c r="O628" s="2">
        <f t="shared" si="21"/>
        <v>175.95999999999998</v>
      </c>
      <c r="P628" s="2">
        <f t="shared" si="20"/>
        <v>79.5</v>
      </c>
      <c r="Q628">
        <v>0</v>
      </c>
    </row>
    <row r="629" spans="1:17" x14ac:dyDescent="0.25">
      <c r="A629" s="15"/>
      <c r="B629" s="15"/>
      <c r="C629">
        <v>0</v>
      </c>
      <c r="D629" s="3">
        <v>212</v>
      </c>
      <c r="E629">
        <v>0</v>
      </c>
      <c r="F629">
        <v>0</v>
      </c>
      <c r="G629">
        <v>0</v>
      </c>
      <c r="H629" s="7">
        <v>0</v>
      </c>
      <c r="I629">
        <v>0</v>
      </c>
      <c r="J629">
        <v>0</v>
      </c>
      <c r="K629" s="8">
        <v>0</v>
      </c>
      <c r="L629">
        <v>146</v>
      </c>
      <c r="M629">
        <v>7</v>
      </c>
      <c r="N629" s="10">
        <v>14.7</v>
      </c>
      <c r="O629" s="2">
        <f t="shared" si="21"/>
        <v>175.95999999999998</v>
      </c>
      <c r="P629" s="2">
        <f t="shared" si="20"/>
        <v>79.5</v>
      </c>
      <c r="Q629">
        <v>0</v>
      </c>
    </row>
    <row r="630" spans="1:17" x14ac:dyDescent="0.25">
      <c r="A630" s="15"/>
      <c r="B630" s="15"/>
      <c r="C630">
        <v>5</v>
      </c>
      <c r="D630" s="3">
        <v>202</v>
      </c>
      <c r="E630">
        <v>10.6</v>
      </c>
      <c r="F630">
        <v>0</v>
      </c>
      <c r="G630">
        <v>0</v>
      </c>
      <c r="H630" s="7">
        <v>0</v>
      </c>
      <c r="I630">
        <v>0</v>
      </c>
      <c r="J630">
        <v>0</v>
      </c>
      <c r="K630" s="8">
        <v>0</v>
      </c>
      <c r="L630">
        <v>106</v>
      </c>
      <c r="M630">
        <v>7</v>
      </c>
      <c r="N630" s="10">
        <v>24.2</v>
      </c>
      <c r="O630" s="2">
        <f t="shared" si="21"/>
        <v>168.75391999999999</v>
      </c>
      <c r="P630" s="2">
        <f t="shared" si="20"/>
        <v>75.75</v>
      </c>
      <c r="Q630">
        <v>0</v>
      </c>
    </row>
    <row r="631" spans="1:17" x14ac:dyDescent="0.25">
      <c r="A631" s="15"/>
      <c r="B631" s="15"/>
      <c r="C631">
        <v>5</v>
      </c>
      <c r="D631" s="3">
        <v>202</v>
      </c>
      <c r="E631">
        <v>10.6</v>
      </c>
      <c r="F631">
        <v>0</v>
      </c>
      <c r="G631">
        <v>0</v>
      </c>
      <c r="H631" s="7">
        <v>0</v>
      </c>
      <c r="I631">
        <v>0</v>
      </c>
      <c r="J631">
        <v>0</v>
      </c>
      <c r="K631" s="8">
        <v>0</v>
      </c>
      <c r="L631">
        <v>119</v>
      </c>
      <c r="M631">
        <v>7</v>
      </c>
      <c r="N631" s="10">
        <v>19.100000000000001</v>
      </c>
      <c r="O631" s="2">
        <f t="shared" si="21"/>
        <v>168.75391999999999</v>
      </c>
      <c r="P631" s="2">
        <f t="shared" si="20"/>
        <v>75.75</v>
      </c>
      <c r="Q631">
        <v>0</v>
      </c>
    </row>
    <row r="632" spans="1:17" x14ac:dyDescent="0.25">
      <c r="A632" s="15"/>
      <c r="B632" s="15"/>
      <c r="C632">
        <v>5</v>
      </c>
      <c r="D632" s="3">
        <v>202</v>
      </c>
      <c r="E632">
        <v>10.6</v>
      </c>
      <c r="F632">
        <v>0</v>
      </c>
      <c r="G632">
        <v>0</v>
      </c>
      <c r="H632" s="7">
        <v>0</v>
      </c>
      <c r="I632">
        <v>0</v>
      </c>
      <c r="J632">
        <v>0</v>
      </c>
      <c r="K632" s="8">
        <v>0</v>
      </c>
      <c r="L632">
        <v>133</v>
      </c>
      <c r="M632">
        <v>7</v>
      </c>
      <c r="N632" s="10">
        <v>16.2</v>
      </c>
      <c r="O632" s="2">
        <f t="shared" si="21"/>
        <v>168.75391999999999</v>
      </c>
      <c r="P632" s="2">
        <f t="shared" si="20"/>
        <v>75.75</v>
      </c>
      <c r="Q632">
        <v>0</v>
      </c>
    </row>
    <row r="633" spans="1:17" x14ac:dyDescent="0.25">
      <c r="A633" s="15"/>
      <c r="B633" s="15"/>
      <c r="C633">
        <v>5</v>
      </c>
      <c r="D633" s="3">
        <v>202</v>
      </c>
      <c r="E633">
        <v>10.6</v>
      </c>
      <c r="F633">
        <v>0</v>
      </c>
      <c r="G633">
        <v>0</v>
      </c>
      <c r="H633" s="7">
        <v>0</v>
      </c>
      <c r="I633">
        <v>0</v>
      </c>
      <c r="J633">
        <v>0</v>
      </c>
      <c r="K633" s="8">
        <v>0</v>
      </c>
      <c r="L633">
        <v>146</v>
      </c>
      <c r="M633">
        <v>7</v>
      </c>
      <c r="N633" s="10">
        <v>14.7</v>
      </c>
      <c r="O633" s="2">
        <f t="shared" si="21"/>
        <v>168.75391999999999</v>
      </c>
      <c r="P633" s="2">
        <f t="shared" si="20"/>
        <v>75.75</v>
      </c>
      <c r="Q633">
        <v>0</v>
      </c>
    </row>
    <row r="634" spans="1:17" x14ac:dyDescent="0.25">
      <c r="A634" s="15"/>
      <c r="B634" s="15"/>
      <c r="C634">
        <v>10</v>
      </c>
      <c r="D634" s="3">
        <v>191</v>
      </c>
      <c r="E634">
        <v>21.2</v>
      </c>
      <c r="F634">
        <v>0</v>
      </c>
      <c r="G634">
        <v>0</v>
      </c>
      <c r="H634" s="7">
        <v>0</v>
      </c>
      <c r="I634">
        <v>0</v>
      </c>
      <c r="J634">
        <v>0</v>
      </c>
      <c r="K634" s="8">
        <v>0</v>
      </c>
      <c r="L634">
        <v>106</v>
      </c>
      <c r="M634">
        <v>7</v>
      </c>
      <c r="N634" s="10">
        <v>24.4</v>
      </c>
      <c r="O634" s="2">
        <f t="shared" si="21"/>
        <v>160.71784</v>
      </c>
      <c r="P634" s="2">
        <f t="shared" si="20"/>
        <v>71.625</v>
      </c>
      <c r="Q634">
        <v>0</v>
      </c>
    </row>
    <row r="635" spans="1:17" x14ac:dyDescent="0.25">
      <c r="A635" s="15"/>
      <c r="B635" s="15"/>
      <c r="C635">
        <v>10</v>
      </c>
      <c r="D635" s="3">
        <v>191</v>
      </c>
      <c r="E635">
        <v>21.2</v>
      </c>
      <c r="F635">
        <v>0</v>
      </c>
      <c r="G635">
        <v>0</v>
      </c>
      <c r="H635" s="7">
        <v>0</v>
      </c>
      <c r="I635">
        <v>0</v>
      </c>
      <c r="J635">
        <v>0</v>
      </c>
      <c r="K635" s="8">
        <v>0</v>
      </c>
      <c r="L635">
        <v>119</v>
      </c>
      <c r="M635">
        <v>7</v>
      </c>
      <c r="N635" s="10">
        <v>19.899999999999999</v>
      </c>
      <c r="O635" s="2">
        <f t="shared" si="21"/>
        <v>160.71784</v>
      </c>
      <c r="P635" s="2">
        <f t="shared" si="20"/>
        <v>71.625</v>
      </c>
      <c r="Q635">
        <v>0</v>
      </c>
    </row>
    <row r="636" spans="1:17" x14ac:dyDescent="0.25">
      <c r="A636" s="15"/>
      <c r="B636" s="15"/>
      <c r="C636">
        <v>10</v>
      </c>
      <c r="D636" s="3">
        <v>191</v>
      </c>
      <c r="E636">
        <v>21.2</v>
      </c>
      <c r="F636">
        <v>0</v>
      </c>
      <c r="G636">
        <v>0</v>
      </c>
      <c r="H636" s="7">
        <v>0</v>
      </c>
      <c r="I636">
        <v>0</v>
      </c>
      <c r="J636">
        <v>0</v>
      </c>
      <c r="K636" s="8">
        <v>0</v>
      </c>
      <c r="L636">
        <v>133</v>
      </c>
      <c r="M636">
        <v>7</v>
      </c>
      <c r="N636" s="10">
        <v>17.7</v>
      </c>
      <c r="O636" s="2">
        <f t="shared" si="21"/>
        <v>160.71784</v>
      </c>
      <c r="P636" s="2">
        <f t="shared" si="20"/>
        <v>71.625</v>
      </c>
      <c r="Q636">
        <v>0</v>
      </c>
    </row>
    <row r="637" spans="1:17" x14ac:dyDescent="0.25">
      <c r="A637" s="15"/>
      <c r="B637" s="15"/>
      <c r="C637">
        <v>10</v>
      </c>
      <c r="D637" s="3">
        <v>191</v>
      </c>
      <c r="E637">
        <v>21.2</v>
      </c>
      <c r="F637">
        <v>0</v>
      </c>
      <c r="G637">
        <v>0</v>
      </c>
      <c r="H637" s="7">
        <v>0</v>
      </c>
      <c r="I637">
        <v>0</v>
      </c>
      <c r="J637">
        <v>0</v>
      </c>
      <c r="K637" s="8">
        <v>0</v>
      </c>
      <c r="L637">
        <v>146</v>
      </c>
      <c r="M637">
        <v>7</v>
      </c>
      <c r="N637" s="10">
        <v>15.5</v>
      </c>
      <c r="O637" s="2">
        <f t="shared" si="21"/>
        <v>160.71784</v>
      </c>
      <c r="P637" s="2">
        <f t="shared" si="20"/>
        <v>71.625</v>
      </c>
      <c r="Q637">
        <v>0</v>
      </c>
    </row>
    <row r="638" spans="1:17" x14ac:dyDescent="0.25">
      <c r="A638" s="15"/>
      <c r="B638" s="15"/>
      <c r="C638">
        <v>15</v>
      </c>
      <c r="D638" s="3">
        <v>180</v>
      </c>
      <c r="E638">
        <v>31.8</v>
      </c>
      <c r="F638">
        <v>0</v>
      </c>
      <c r="G638">
        <v>0</v>
      </c>
      <c r="H638" s="7">
        <v>0</v>
      </c>
      <c r="I638">
        <v>0</v>
      </c>
      <c r="J638">
        <v>0</v>
      </c>
      <c r="K638" s="8">
        <v>0</v>
      </c>
      <c r="L638">
        <v>106</v>
      </c>
      <c r="M638">
        <v>7</v>
      </c>
      <c r="N638" s="10">
        <v>25.8</v>
      </c>
      <c r="O638" s="2">
        <f t="shared" si="21"/>
        <v>152.68176</v>
      </c>
      <c r="P638" s="2">
        <f t="shared" si="20"/>
        <v>67.5</v>
      </c>
      <c r="Q638">
        <v>0</v>
      </c>
    </row>
    <row r="639" spans="1:17" x14ac:dyDescent="0.25">
      <c r="A639" s="15"/>
      <c r="B639" s="15"/>
      <c r="C639">
        <v>15</v>
      </c>
      <c r="D639" s="3">
        <v>180</v>
      </c>
      <c r="E639">
        <v>31.8</v>
      </c>
      <c r="F639">
        <v>0</v>
      </c>
      <c r="G639">
        <v>0</v>
      </c>
      <c r="H639" s="7">
        <v>0</v>
      </c>
      <c r="I639">
        <v>0</v>
      </c>
      <c r="J639">
        <v>0</v>
      </c>
      <c r="K639" s="8">
        <v>0</v>
      </c>
      <c r="L639">
        <v>119</v>
      </c>
      <c r="M639">
        <v>7</v>
      </c>
      <c r="N639" s="10">
        <v>23.5</v>
      </c>
      <c r="O639" s="2">
        <f t="shared" si="21"/>
        <v>152.68176</v>
      </c>
      <c r="P639" s="2">
        <f t="shared" si="20"/>
        <v>67.5</v>
      </c>
      <c r="Q639">
        <v>0</v>
      </c>
    </row>
    <row r="640" spans="1:17" x14ac:dyDescent="0.25">
      <c r="A640" s="15"/>
      <c r="B640" s="15"/>
      <c r="C640">
        <v>15</v>
      </c>
      <c r="D640" s="3">
        <v>180</v>
      </c>
      <c r="E640">
        <v>31.8</v>
      </c>
      <c r="F640">
        <v>0</v>
      </c>
      <c r="G640">
        <v>0</v>
      </c>
      <c r="H640" s="7">
        <v>0</v>
      </c>
      <c r="I640">
        <v>0</v>
      </c>
      <c r="J640">
        <v>0</v>
      </c>
      <c r="K640" s="8">
        <v>0</v>
      </c>
      <c r="L640">
        <v>133</v>
      </c>
      <c r="M640">
        <v>7</v>
      </c>
      <c r="N640" s="10">
        <v>18.3</v>
      </c>
      <c r="O640" s="2">
        <f t="shared" si="21"/>
        <v>152.68176</v>
      </c>
      <c r="P640" s="2">
        <f t="shared" si="20"/>
        <v>67.5</v>
      </c>
      <c r="Q640">
        <v>0</v>
      </c>
    </row>
    <row r="641" spans="1:17" x14ac:dyDescent="0.25">
      <c r="A641" s="15"/>
      <c r="B641" s="15"/>
      <c r="C641">
        <v>15</v>
      </c>
      <c r="D641" s="3">
        <v>180</v>
      </c>
      <c r="E641">
        <v>31.8</v>
      </c>
      <c r="F641">
        <v>0</v>
      </c>
      <c r="G641">
        <v>0</v>
      </c>
      <c r="H641" s="7">
        <v>0</v>
      </c>
      <c r="I641">
        <v>0</v>
      </c>
      <c r="J641">
        <v>0</v>
      </c>
      <c r="K641" s="8">
        <v>0</v>
      </c>
      <c r="L641">
        <v>146</v>
      </c>
      <c r="M641">
        <v>7</v>
      </c>
      <c r="N641" s="10">
        <v>16.600000000000001</v>
      </c>
      <c r="O641" s="2">
        <f t="shared" si="21"/>
        <v>152.68176</v>
      </c>
      <c r="P641" s="2">
        <f t="shared" si="20"/>
        <v>67.5</v>
      </c>
      <c r="Q641">
        <v>0</v>
      </c>
    </row>
    <row r="642" spans="1:17" x14ac:dyDescent="0.25">
      <c r="A642" s="15"/>
      <c r="B642" s="15"/>
      <c r="C642">
        <v>20</v>
      </c>
      <c r="D642" s="3">
        <v>169</v>
      </c>
      <c r="E642">
        <v>42.4</v>
      </c>
      <c r="F642">
        <v>0</v>
      </c>
      <c r="G642">
        <v>0</v>
      </c>
      <c r="H642" s="7">
        <v>0</v>
      </c>
      <c r="I642">
        <v>0</v>
      </c>
      <c r="J642">
        <v>0</v>
      </c>
      <c r="K642" s="8">
        <v>0</v>
      </c>
      <c r="L642">
        <v>106</v>
      </c>
      <c r="M642">
        <v>7</v>
      </c>
      <c r="N642" s="10">
        <v>23.6</v>
      </c>
      <c r="O642" s="2">
        <f t="shared" si="21"/>
        <v>144.64567999999997</v>
      </c>
      <c r="P642" s="2">
        <f t="shared" si="20"/>
        <v>63.375</v>
      </c>
      <c r="Q642">
        <v>0</v>
      </c>
    </row>
    <row r="643" spans="1:17" x14ac:dyDescent="0.25">
      <c r="A643" s="15"/>
      <c r="B643" s="15"/>
      <c r="C643">
        <v>20</v>
      </c>
      <c r="D643" s="3">
        <v>169</v>
      </c>
      <c r="E643">
        <v>42.4</v>
      </c>
      <c r="F643">
        <v>0</v>
      </c>
      <c r="G643">
        <v>0</v>
      </c>
      <c r="H643" s="7">
        <v>0</v>
      </c>
      <c r="I643">
        <v>0</v>
      </c>
      <c r="J643">
        <v>0</v>
      </c>
      <c r="K643" s="8">
        <v>0</v>
      </c>
      <c r="L643">
        <v>119</v>
      </c>
      <c r="M643">
        <v>7</v>
      </c>
      <c r="N643" s="10">
        <v>20.6</v>
      </c>
      <c r="O643" s="2">
        <f t="shared" si="21"/>
        <v>144.64567999999997</v>
      </c>
      <c r="P643" s="2">
        <f t="shared" ref="P643:P706" si="22">SUM((D643*5)+((F643*0.25)+(G643*0.2)+(K643*20)))*0.075</f>
        <v>63.375</v>
      </c>
      <c r="Q643">
        <v>0</v>
      </c>
    </row>
    <row r="644" spans="1:17" x14ac:dyDescent="0.25">
      <c r="A644" s="15"/>
      <c r="B644" s="15"/>
      <c r="C644">
        <v>20</v>
      </c>
      <c r="D644" s="3">
        <v>169</v>
      </c>
      <c r="E644">
        <v>42.4</v>
      </c>
      <c r="F644">
        <v>0</v>
      </c>
      <c r="G644">
        <v>0</v>
      </c>
      <c r="H644" s="7">
        <v>0</v>
      </c>
      <c r="I644">
        <v>0</v>
      </c>
      <c r="J644">
        <v>0</v>
      </c>
      <c r="K644" s="8">
        <v>0</v>
      </c>
      <c r="L644">
        <v>133</v>
      </c>
      <c r="M644">
        <v>7</v>
      </c>
      <c r="N644" s="10">
        <v>18.100000000000001</v>
      </c>
      <c r="O644" s="2">
        <f t="shared" si="21"/>
        <v>144.64567999999997</v>
      </c>
      <c r="P644" s="2">
        <f t="shared" si="22"/>
        <v>63.375</v>
      </c>
      <c r="Q644">
        <v>0</v>
      </c>
    </row>
    <row r="645" spans="1:17" x14ac:dyDescent="0.25">
      <c r="A645" s="15"/>
      <c r="B645" s="15"/>
      <c r="C645">
        <v>20</v>
      </c>
      <c r="D645" s="3">
        <v>169</v>
      </c>
      <c r="E645">
        <v>42.4</v>
      </c>
      <c r="F645">
        <v>0</v>
      </c>
      <c r="G645">
        <v>0</v>
      </c>
      <c r="H645" s="7">
        <v>0</v>
      </c>
      <c r="I645">
        <v>0</v>
      </c>
      <c r="J645">
        <v>0</v>
      </c>
      <c r="K645" s="8">
        <v>0</v>
      </c>
      <c r="L645">
        <v>146</v>
      </c>
      <c r="M645">
        <v>7</v>
      </c>
      <c r="N645" s="10">
        <v>16.5</v>
      </c>
      <c r="O645" s="2">
        <f t="shared" si="21"/>
        <v>144.64567999999997</v>
      </c>
      <c r="P645" s="2">
        <f t="shared" si="22"/>
        <v>63.375</v>
      </c>
      <c r="Q645">
        <v>0</v>
      </c>
    </row>
    <row r="646" spans="1:17" x14ac:dyDescent="0.25">
      <c r="A646" s="15"/>
      <c r="B646" s="15"/>
      <c r="C646">
        <v>25</v>
      </c>
      <c r="D646" s="3">
        <v>159</v>
      </c>
      <c r="E646">
        <v>53</v>
      </c>
      <c r="F646">
        <v>0</v>
      </c>
      <c r="G646">
        <v>0</v>
      </c>
      <c r="H646" s="7">
        <v>0</v>
      </c>
      <c r="I646">
        <v>0</v>
      </c>
      <c r="J646">
        <v>0</v>
      </c>
      <c r="K646" s="8">
        <v>0</v>
      </c>
      <c r="L646">
        <v>106</v>
      </c>
      <c r="M646">
        <v>7</v>
      </c>
      <c r="N646" s="10">
        <v>19.8</v>
      </c>
      <c r="O646" s="2">
        <f t="shared" si="21"/>
        <v>137.43959999999998</v>
      </c>
      <c r="P646" s="2">
        <f t="shared" si="22"/>
        <v>59.625</v>
      </c>
      <c r="Q646">
        <v>0</v>
      </c>
    </row>
    <row r="647" spans="1:17" x14ac:dyDescent="0.25">
      <c r="A647" s="15"/>
      <c r="B647" s="15"/>
      <c r="C647">
        <v>25</v>
      </c>
      <c r="D647" s="3">
        <v>159</v>
      </c>
      <c r="E647">
        <v>53</v>
      </c>
      <c r="F647">
        <v>0</v>
      </c>
      <c r="G647">
        <v>0</v>
      </c>
      <c r="H647" s="7">
        <v>0</v>
      </c>
      <c r="I647">
        <v>0</v>
      </c>
      <c r="J647">
        <v>0</v>
      </c>
      <c r="K647" s="8">
        <v>0</v>
      </c>
      <c r="L647">
        <v>119</v>
      </c>
      <c r="M647">
        <v>7</v>
      </c>
      <c r="N647" s="10">
        <v>17.5</v>
      </c>
      <c r="O647" s="2">
        <f t="shared" si="21"/>
        <v>137.43959999999998</v>
      </c>
      <c r="P647" s="2">
        <f t="shared" si="22"/>
        <v>59.625</v>
      </c>
      <c r="Q647">
        <v>0</v>
      </c>
    </row>
    <row r="648" spans="1:17" x14ac:dyDescent="0.25">
      <c r="A648" s="15"/>
      <c r="B648" s="15"/>
      <c r="C648">
        <v>25</v>
      </c>
      <c r="D648" s="3">
        <v>159</v>
      </c>
      <c r="E648">
        <v>53</v>
      </c>
      <c r="F648">
        <v>0</v>
      </c>
      <c r="G648">
        <v>0</v>
      </c>
      <c r="H648" s="7">
        <v>0</v>
      </c>
      <c r="I648">
        <v>0</v>
      </c>
      <c r="J648">
        <v>0</v>
      </c>
      <c r="K648" s="8">
        <v>0</v>
      </c>
      <c r="L648">
        <v>133</v>
      </c>
      <c r="M648">
        <v>7</v>
      </c>
      <c r="N648" s="10">
        <v>17.3</v>
      </c>
      <c r="O648" s="2">
        <f t="shared" si="21"/>
        <v>137.43959999999998</v>
      </c>
      <c r="P648" s="2">
        <f t="shared" si="22"/>
        <v>59.625</v>
      </c>
      <c r="Q648">
        <v>0</v>
      </c>
    </row>
    <row r="649" spans="1:17" x14ac:dyDescent="0.25">
      <c r="A649" s="15"/>
      <c r="B649" s="15"/>
      <c r="C649">
        <v>25</v>
      </c>
      <c r="D649" s="3">
        <v>159</v>
      </c>
      <c r="E649">
        <v>53</v>
      </c>
      <c r="F649">
        <v>0</v>
      </c>
      <c r="G649">
        <v>0</v>
      </c>
      <c r="H649" s="7">
        <v>0</v>
      </c>
      <c r="I649">
        <v>0</v>
      </c>
      <c r="J649">
        <v>0</v>
      </c>
      <c r="K649" s="8">
        <v>0</v>
      </c>
      <c r="L649">
        <v>146</v>
      </c>
      <c r="M649">
        <v>7</v>
      </c>
      <c r="N649" s="10">
        <v>15.7</v>
      </c>
      <c r="O649" s="2">
        <f t="shared" si="21"/>
        <v>137.43959999999998</v>
      </c>
      <c r="P649" s="2">
        <f t="shared" si="22"/>
        <v>59.625</v>
      </c>
      <c r="Q649">
        <v>0</v>
      </c>
    </row>
    <row r="650" spans="1:17" x14ac:dyDescent="0.25">
      <c r="A650" s="15" t="s">
        <v>346</v>
      </c>
      <c r="B650" s="15" t="s">
        <v>345</v>
      </c>
      <c r="C650">
        <v>0</v>
      </c>
      <c r="D650" s="3">
        <v>400</v>
      </c>
      <c r="E650">
        <v>0</v>
      </c>
      <c r="F650">
        <v>750</v>
      </c>
      <c r="G650">
        <v>840</v>
      </c>
      <c r="H650" s="7">
        <v>0</v>
      </c>
      <c r="I650">
        <v>0</v>
      </c>
      <c r="J650">
        <v>0</v>
      </c>
      <c r="K650" s="8">
        <v>15</v>
      </c>
      <c r="L650">
        <v>180</v>
      </c>
      <c r="M650">
        <v>7</v>
      </c>
      <c r="N650" s="10">
        <v>50.84</v>
      </c>
      <c r="O650" s="2">
        <f t="shared" si="21"/>
        <v>410.98099999999999</v>
      </c>
      <c r="P650" s="2">
        <f t="shared" si="22"/>
        <v>199.16249999999999</v>
      </c>
      <c r="Q650">
        <v>0</v>
      </c>
    </row>
    <row r="651" spans="1:17" x14ac:dyDescent="0.25">
      <c r="A651" s="15"/>
      <c r="B651" s="15"/>
      <c r="C651">
        <v>0</v>
      </c>
      <c r="D651" s="3">
        <v>400</v>
      </c>
      <c r="E651">
        <v>0</v>
      </c>
      <c r="F651">
        <v>750</v>
      </c>
      <c r="G651">
        <v>840</v>
      </c>
      <c r="H651" s="7">
        <v>0</v>
      </c>
      <c r="I651">
        <v>0</v>
      </c>
      <c r="J651">
        <v>0</v>
      </c>
      <c r="K651" s="8">
        <v>15</v>
      </c>
      <c r="L651">
        <v>180</v>
      </c>
      <c r="M651">
        <v>28</v>
      </c>
      <c r="N651" s="10">
        <v>83.4</v>
      </c>
      <c r="O651" s="2">
        <f t="shared" si="21"/>
        <v>410.98099999999999</v>
      </c>
      <c r="P651" s="2">
        <f t="shared" si="22"/>
        <v>199.16249999999999</v>
      </c>
      <c r="Q651">
        <v>0</v>
      </c>
    </row>
    <row r="652" spans="1:17" x14ac:dyDescent="0.25">
      <c r="A652" s="15"/>
      <c r="B652" s="15"/>
      <c r="C652">
        <v>5</v>
      </c>
      <c r="D652" s="3">
        <v>380</v>
      </c>
      <c r="E652">
        <v>20</v>
      </c>
      <c r="F652">
        <v>750</v>
      </c>
      <c r="G652">
        <v>840</v>
      </c>
      <c r="H652" s="7">
        <v>0</v>
      </c>
      <c r="I652">
        <v>0</v>
      </c>
      <c r="J652">
        <v>0</v>
      </c>
      <c r="K652" s="8">
        <v>15</v>
      </c>
      <c r="L652">
        <v>180</v>
      </c>
      <c r="M652">
        <v>7</v>
      </c>
      <c r="N652" s="10">
        <v>51.9</v>
      </c>
      <c r="O652" s="2">
        <f t="shared" si="21"/>
        <v>396.44499999999999</v>
      </c>
      <c r="P652" s="2">
        <f t="shared" si="22"/>
        <v>191.66249999999999</v>
      </c>
      <c r="Q652">
        <v>0</v>
      </c>
    </row>
    <row r="653" spans="1:17" x14ac:dyDescent="0.25">
      <c r="A653" s="15"/>
      <c r="B653" s="15"/>
      <c r="C653">
        <v>5</v>
      </c>
      <c r="D653" s="3">
        <v>380</v>
      </c>
      <c r="E653">
        <v>20</v>
      </c>
      <c r="F653">
        <v>750</v>
      </c>
      <c r="G653">
        <v>840</v>
      </c>
      <c r="H653" s="7">
        <v>0</v>
      </c>
      <c r="I653">
        <v>0</v>
      </c>
      <c r="J653">
        <v>0</v>
      </c>
      <c r="K653" s="8">
        <v>15</v>
      </c>
      <c r="L653">
        <v>180</v>
      </c>
      <c r="M653">
        <v>28</v>
      </c>
      <c r="N653" s="10">
        <v>85.1</v>
      </c>
      <c r="O653" s="2">
        <f t="shared" ref="O653:O717" si="23">SUM((D653*0.83)+(E653*0.1032)+(F653*0.0139)+(G653*0.0459)+(K653*2))</f>
        <v>396.44499999999999</v>
      </c>
      <c r="P653" s="2">
        <f t="shared" si="22"/>
        <v>191.66249999999999</v>
      </c>
      <c r="Q653">
        <v>0</v>
      </c>
    </row>
    <row r="654" spans="1:17" x14ac:dyDescent="0.25">
      <c r="A654" s="15"/>
      <c r="B654" s="15"/>
      <c r="C654">
        <v>10</v>
      </c>
      <c r="D654" s="3">
        <v>360</v>
      </c>
      <c r="E654">
        <v>40</v>
      </c>
      <c r="F654">
        <v>750</v>
      </c>
      <c r="G654">
        <v>840</v>
      </c>
      <c r="H654" s="7">
        <v>0</v>
      </c>
      <c r="I654">
        <v>0</v>
      </c>
      <c r="J654">
        <v>0</v>
      </c>
      <c r="K654" s="8">
        <v>15</v>
      </c>
      <c r="L654">
        <v>180</v>
      </c>
      <c r="M654">
        <v>7</v>
      </c>
      <c r="N654" s="10">
        <v>53</v>
      </c>
      <c r="O654" s="2">
        <f t="shared" si="23"/>
        <v>381.90899999999999</v>
      </c>
      <c r="P654" s="2">
        <f t="shared" si="22"/>
        <v>184.16249999999999</v>
      </c>
      <c r="Q654">
        <v>0</v>
      </c>
    </row>
    <row r="655" spans="1:17" x14ac:dyDescent="0.25">
      <c r="A655" s="15"/>
      <c r="B655" s="15"/>
      <c r="C655">
        <v>10</v>
      </c>
      <c r="D655" s="3">
        <v>360</v>
      </c>
      <c r="E655">
        <v>40</v>
      </c>
      <c r="F655">
        <v>750</v>
      </c>
      <c r="G655">
        <v>840</v>
      </c>
      <c r="H655" s="7">
        <v>0</v>
      </c>
      <c r="I655">
        <v>0</v>
      </c>
      <c r="J655">
        <v>0</v>
      </c>
      <c r="K655" s="8">
        <v>15</v>
      </c>
      <c r="L655">
        <v>180</v>
      </c>
      <c r="M655">
        <v>28</v>
      </c>
      <c r="N655" s="10">
        <v>86.9</v>
      </c>
      <c r="O655" s="2">
        <f t="shared" si="23"/>
        <v>381.90899999999999</v>
      </c>
      <c r="P655" s="2">
        <f t="shared" si="22"/>
        <v>184.16249999999999</v>
      </c>
      <c r="Q655">
        <v>0</v>
      </c>
    </row>
    <row r="656" spans="1:17" x14ac:dyDescent="0.25">
      <c r="A656" s="15"/>
      <c r="B656" s="15"/>
      <c r="C656">
        <v>15</v>
      </c>
      <c r="D656" s="3">
        <v>340</v>
      </c>
      <c r="E656">
        <v>60</v>
      </c>
      <c r="F656">
        <v>750</v>
      </c>
      <c r="G656">
        <v>840</v>
      </c>
      <c r="H656" s="7">
        <v>0</v>
      </c>
      <c r="I656">
        <v>0</v>
      </c>
      <c r="J656">
        <v>0</v>
      </c>
      <c r="K656" s="8">
        <v>15</v>
      </c>
      <c r="L656">
        <v>180</v>
      </c>
      <c r="M656">
        <v>7</v>
      </c>
      <c r="N656" s="10">
        <v>56.4</v>
      </c>
      <c r="O656" s="2">
        <f t="shared" si="23"/>
        <v>367.37299999999999</v>
      </c>
      <c r="P656" s="2">
        <f t="shared" si="22"/>
        <v>176.66249999999999</v>
      </c>
      <c r="Q656">
        <v>0</v>
      </c>
    </row>
    <row r="657" spans="1:17" x14ac:dyDescent="0.25">
      <c r="A657" s="15"/>
      <c r="B657" s="15"/>
      <c r="C657">
        <v>15</v>
      </c>
      <c r="D657" s="3">
        <v>340</v>
      </c>
      <c r="E657">
        <v>60</v>
      </c>
      <c r="F657">
        <v>750</v>
      </c>
      <c r="G657">
        <v>840</v>
      </c>
      <c r="H657" s="7">
        <v>0</v>
      </c>
      <c r="I657">
        <v>0</v>
      </c>
      <c r="J657">
        <v>0</v>
      </c>
      <c r="K657" s="8">
        <v>15</v>
      </c>
      <c r="L657">
        <v>180</v>
      </c>
      <c r="M657">
        <v>28</v>
      </c>
      <c r="N657" s="10">
        <v>92.5</v>
      </c>
      <c r="O657" s="2">
        <f t="shared" si="23"/>
        <v>367.37299999999999</v>
      </c>
      <c r="P657" s="2">
        <f t="shared" si="22"/>
        <v>176.66249999999999</v>
      </c>
      <c r="Q657">
        <v>0</v>
      </c>
    </row>
    <row r="658" spans="1:17" x14ac:dyDescent="0.25">
      <c r="A658" s="15"/>
      <c r="B658" s="15"/>
      <c r="C658">
        <v>20</v>
      </c>
      <c r="D658" s="3">
        <v>320</v>
      </c>
      <c r="E658">
        <v>80</v>
      </c>
      <c r="F658">
        <v>750</v>
      </c>
      <c r="G658">
        <v>840</v>
      </c>
      <c r="H658" s="7">
        <v>0</v>
      </c>
      <c r="I658">
        <v>0</v>
      </c>
      <c r="J658">
        <v>0</v>
      </c>
      <c r="K658" s="8">
        <v>15</v>
      </c>
      <c r="L658">
        <v>180</v>
      </c>
      <c r="M658">
        <v>7</v>
      </c>
      <c r="N658" s="10">
        <v>56.7</v>
      </c>
      <c r="O658" s="2">
        <f t="shared" si="23"/>
        <v>352.83699999999999</v>
      </c>
      <c r="P658" s="2">
        <f t="shared" si="22"/>
        <v>169.16249999999999</v>
      </c>
      <c r="Q658">
        <v>0</v>
      </c>
    </row>
    <row r="659" spans="1:17" x14ac:dyDescent="0.25">
      <c r="A659" s="15"/>
      <c r="B659" s="15"/>
      <c r="C659">
        <v>20</v>
      </c>
      <c r="D659" s="3">
        <v>320</v>
      </c>
      <c r="E659">
        <v>80</v>
      </c>
      <c r="F659">
        <v>750</v>
      </c>
      <c r="G659">
        <v>840</v>
      </c>
      <c r="H659" s="7">
        <v>0</v>
      </c>
      <c r="I659">
        <v>0</v>
      </c>
      <c r="J659">
        <v>0</v>
      </c>
      <c r="K659" s="8">
        <v>15</v>
      </c>
      <c r="L659">
        <v>180</v>
      </c>
      <c r="M659">
        <v>28</v>
      </c>
      <c r="N659" s="10">
        <v>93.3</v>
      </c>
      <c r="O659" s="2">
        <f t="shared" si="23"/>
        <v>352.83699999999999</v>
      </c>
      <c r="P659" s="2">
        <f t="shared" si="22"/>
        <v>169.16249999999999</v>
      </c>
      <c r="Q659">
        <v>0</v>
      </c>
    </row>
    <row r="660" spans="1:17" x14ac:dyDescent="0.25">
      <c r="A660" s="15"/>
      <c r="B660" s="15"/>
      <c r="C660">
        <v>25</v>
      </c>
      <c r="D660" s="3">
        <v>300</v>
      </c>
      <c r="E660">
        <v>100</v>
      </c>
      <c r="F660">
        <v>750</v>
      </c>
      <c r="G660">
        <v>840</v>
      </c>
      <c r="H660" s="7">
        <v>0</v>
      </c>
      <c r="I660">
        <v>0</v>
      </c>
      <c r="J660">
        <v>0</v>
      </c>
      <c r="K660" s="8">
        <v>15</v>
      </c>
      <c r="L660">
        <v>180</v>
      </c>
      <c r="M660">
        <v>7</v>
      </c>
      <c r="N660" s="10">
        <v>54.4</v>
      </c>
      <c r="O660" s="2">
        <f t="shared" si="23"/>
        <v>338.30099999999999</v>
      </c>
      <c r="P660" s="2">
        <f t="shared" si="22"/>
        <v>161.66249999999999</v>
      </c>
      <c r="Q660">
        <v>0</v>
      </c>
    </row>
    <row r="661" spans="1:17" x14ac:dyDescent="0.25">
      <c r="A661" s="15"/>
      <c r="B661" s="15"/>
      <c r="C661">
        <v>25</v>
      </c>
      <c r="D661" s="3">
        <v>300</v>
      </c>
      <c r="E661">
        <v>100</v>
      </c>
      <c r="F661">
        <v>750</v>
      </c>
      <c r="G661">
        <v>840</v>
      </c>
      <c r="H661" s="7">
        <v>0</v>
      </c>
      <c r="I661">
        <v>0</v>
      </c>
      <c r="J661">
        <v>0</v>
      </c>
      <c r="K661" s="8">
        <v>15</v>
      </c>
      <c r="L661">
        <v>180</v>
      </c>
      <c r="M661">
        <v>28</v>
      </c>
      <c r="N661" s="10">
        <v>89.1</v>
      </c>
      <c r="O661" s="2">
        <f t="shared" si="23"/>
        <v>338.30099999999999</v>
      </c>
      <c r="P661" s="2">
        <f t="shared" si="22"/>
        <v>161.66249999999999</v>
      </c>
      <c r="Q661">
        <v>0</v>
      </c>
    </row>
    <row r="662" spans="1:17" x14ac:dyDescent="0.25">
      <c r="A662" s="15" t="s">
        <v>348</v>
      </c>
      <c r="B662" s="15" t="s">
        <v>347</v>
      </c>
      <c r="C662" s="3">
        <f>SUM(E662/D662)*100</f>
        <v>11.111111111111111</v>
      </c>
      <c r="D662" s="2">
        <v>495</v>
      </c>
      <c r="E662">
        <v>55</v>
      </c>
      <c r="F662">
        <v>873</v>
      </c>
      <c r="G662">
        <v>946</v>
      </c>
      <c r="H662" s="7">
        <v>0</v>
      </c>
      <c r="I662">
        <v>0</v>
      </c>
      <c r="J662">
        <v>0</v>
      </c>
      <c r="K662" s="8">
        <v>5.8</v>
      </c>
      <c r="L662">
        <v>165</v>
      </c>
      <c r="M662">
        <v>1</v>
      </c>
      <c r="N662" s="10">
        <v>22.7</v>
      </c>
      <c r="O662" s="2">
        <f t="shared" si="23"/>
        <v>483.68209999999999</v>
      </c>
      <c r="P662" s="2">
        <f t="shared" si="22"/>
        <v>224.88374999999999</v>
      </c>
      <c r="Q662">
        <v>0</v>
      </c>
    </row>
    <row r="663" spans="1:17" x14ac:dyDescent="0.25">
      <c r="A663" s="15"/>
      <c r="B663" s="15"/>
      <c r="C663" s="3">
        <f t="shared" ref="C663:C726" si="24">SUM(E663/D663)*100</f>
        <v>0</v>
      </c>
      <c r="D663" s="10">
        <v>500</v>
      </c>
      <c r="E663">
        <v>0</v>
      </c>
      <c r="F663">
        <v>908</v>
      </c>
      <c r="G663">
        <v>983</v>
      </c>
      <c r="H663" s="7">
        <v>0</v>
      </c>
      <c r="I663">
        <v>0</v>
      </c>
      <c r="J663">
        <v>0</v>
      </c>
      <c r="K663" s="8">
        <v>5.5</v>
      </c>
      <c r="L663">
        <v>160</v>
      </c>
      <c r="M663">
        <v>1</v>
      </c>
      <c r="N663" s="10">
        <v>20.9</v>
      </c>
      <c r="O663" s="2">
        <f t="shared" si="23"/>
        <v>483.74090000000001</v>
      </c>
      <c r="P663" s="2">
        <f t="shared" si="22"/>
        <v>227.51999999999998</v>
      </c>
      <c r="Q663">
        <v>0</v>
      </c>
    </row>
    <row r="664" spans="1:17" x14ac:dyDescent="0.25">
      <c r="A664" s="15"/>
      <c r="B664" s="15"/>
      <c r="C664" s="3">
        <f t="shared" si="24"/>
        <v>25</v>
      </c>
      <c r="D664" s="2">
        <v>400</v>
      </c>
      <c r="E664">
        <v>100</v>
      </c>
      <c r="F664">
        <v>892.32</v>
      </c>
      <c r="G664">
        <v>966.68</v>
      </c>
      <c r="H664" s="7">
        <v>0</v>
      </c>
      <c r="I664">
        <v>0</v>
      </c>
      <c r="J664">
        <v>0</v>
      </c>
      <c r="K664" s="8">
        <v>6.22</v>
      </c>
      <c r="L664">
        <v>160</v>
      </c>
      <c r="M664">
        <v>1</v>
      </c>
      <c r="N664" s="10">
        <v>22</v>
      </c>
      <c r="O664" s="2">
        <f t="shared" si="23"/>
        <v>411.53386</v>
      </c>
      <c r="P664" s="2">
        <f t="shared" si="22"/>
        <v>190.56119999999999</v>
      </c>
      <c r="Q664">
        <v>0</v>
      </c>
    </row>
    <row r="665" spans="1:17" x14ac:dyDescent="0.25">
      <c r="A665" s="15"/>
      <c r="B665" s="15"/>
      <c r="C665" s="3">
        <f t="shared" si="24"/>
        <v>17.647058823529413</v>
      </c>
      <c r="D665">
        <v>425</v>
      </c>
      <c r="E665">
        <v>75</v>
      </c>
      <c r="F665">
        <v>884.64</v>
      </c>
      <c r="G665">
        <v>958.36</v>
      </c>
      <c r="H665" s="7">
        <v>0</v>
      </c>
      <c r="I665">
        <v>0</v>
      </c>
      <c r="J665">
        <v>0</v>
      </c>
      <c r="K665" s="8">
        <v>5</v>
      </c>
      <c r="L665">
        <v>170</v>
      </c>
      <c r="M665">
        <v>1</v>
      </c>
      <c r="N665" s="10">
        <v>19.7</v>
      </c>
      <c r="O665" s="2">
        <f t="shared" si="23"/>
        <v>426.77521999999999</v>
      </c>
      <c r="P665" s="2">
        <f t="shared" si="22"/>
        <v>197.83739999999997</v>
      </c>
      <c r="Q665">
        <v>0</v>
      </c>
    </row>
    <row r="666" spans="1:17" x14ac:dyDescent="0.25">
      <c r="A666" s="15"/>
      <c r="B666" s="15"/>
      <c r="C666" s="3">
        <f t="shared" si="24"/>
        <v>11.111111111111111</v>
      </c>
      <c r="D666">
        <v>495</v>
      </c>
      <c r="E666">
        <v>55</v>
      </c>
      <c r="F666">
        <v>873</v>
      </c>
      <c r="G666">
        <v>946</v>
      </c>
      <c r="H666" s="7">
        <v>0</v>
      </c>
      <c r="I666">
        <v>0</v>
      </c>
      <c r="J666">
        <v>0</v>
      </c>
      <c r="K666" s="8">
        <v>6.8</v>
      </c>
      <c r="L666">
        <v>165</v>
      </c>
      <c r="M666">
        <v>1</v>
      </c>
      <c r="N666" s="10">
        <v>34.700000000000003</v>
      </c>
      <c r="O666" s="2">
        <f t="shared" si="23"/>
        <v>485.68209999999999</v>
      </c>
      <c r="P666" s="2">
        <f t="shared" si="22"/>
        <v>226.38374999999999</v>
      </c>
      <c r="Q666">
        <v>0</v>
      </c>
    </row>
    <row r="667" spans="1:17" x14ac:dyDescent="0.25">
      <c r="A667" s="15"/>
      <c r="B667" s="15"/>
      <c r="C667" s="3">
        <f t="shared" si="24"/>
        <v>0</v>
      </c>
      <c r="D667">
        <v>500</v>
      </c>
      <c r="E667">
        <v>0</v>
      </c>
      <c r="F667">
        <v>908</v>
      </c>
      <c r="G667">
        <v>983</v>
      </c>
      <c r="H667" s="7">
        <v>0</v>
      </c>
      <c r="I667">
        <v>0</v>
      </c>
      <c r="J667">
        <v>0</v>
      </c>
      <c r="K667" s="8">
        <v>6.5</v>
      </c>
      <c r="L667">
        <v>160</v>
      </c>
      <c r="M667">
        <v>1</v>
      </c>
      <c r="N667" s="10">
        <v>37.799999999999997</v>
      </c>
      <c r="O667" s="2">
        <f t="shared" si="23"/>
        <v>485.74090000000001</v>
      </c>
      <c r="P667" s="2">
        <f t="shared" si="22"/>
        <v>229.01999999999998</v>
      </c>
      <c r="Q667">
        <v>0</v>
      </c>
    </row>
    <row r="668" spans="1:17" x14ac:dyDescent="0.25">
      <c r="A668" s="15"/>
      <c r="B668" s="15"/>
      <c r="C668" s="3">
        <f t="shared" si="24"/>
        <v>25</v>
      </c>
      <c r="D668">
        <v>400</v>
      </c>
      <c r="E668">
        <v>100</v>
      </c>
      <c r="F668">
        <v>892.32</v>
      </c>
      <c r="G668">
        <v>966.68</v>
      </c>
      <c r="H668" s="7">
        <v>0</v>
      </c>
      <c r="I668">
        <v>0</v>
      </c>
      <c r="J668">
        <v>0</v>
      </c>
      <c r="K668" s="8">
        <v>7.36</v>
      </c>
      <c r="L668">
        <v>160</v>
      </c>
      <c r="M668">
        <v>1</v>
      </c>
      <c r="N668" s="10">
        <v>34.200000000000003</v>
      </c>
      <c r="O668" s="2">
        <f t="shared" si="23"/>
        <v>413.81386000000003</v>
      </c>
      <c r="P668" s="2">
        <f t="shared" si="22"/>
        <v>192.27119999999999</v>
      </c>
      <c r="Q668">
        <v>0</v>
      </c>
    </row>
    <row r="669" spans="1:17" x14ac:dyDescent="0.25">
      <c r="A669" s="15"/>
      <c r="B669" s="15"/>
      <c r="C669" s="3">
        <f t="shared" si="24"/>
        <v>17.647058823529413</v>
      </c>
      <c r="D669">
        <v>425</v>
      </c>
      <c r="E669">
        <v>75</v>
      </c>
      <c r="F669">
        <v>884.64</v>
      </c>
      <c r="G669">
        <v>958.36</v>
      </c>
      <c r="H669" s="7">
        <v>0</v>
      </c>
      <c r="I669">
        <v>0</v>
      </c>
      <c r="J669">
        <v>0</v>
      </c>
      <c r="K669" s="8">
        <v>6.4</v>
      </c>
      <c r="L669">
        <v>170</v>
      </c>
      <c r="M669">
        <v>3</v>
      </c>
      <c r="N669" s="10">
        <v>32.6</v>
      </c>
      <c r="O669" s="2">
        <f t="shared" si="23"/>
        <v>429.57522</v>
      </c>
      <c r="P669" s="2">
        <f t="shared" si="22"/>
        <v>199.9374</v>
      </c>
      <c r="Q669">
        <v>0</v>
      </c>
    </row>
    <row r="670" spans="1:17" x14ac:dyDescent="0.25">
      <c r="A670" s="15"/>
      <c r="B670" s="15"/>
      <c r="C670" s="3">
        <f t="shared" si="24"/>
        <v>11.111111111111111</v>
      </c>
      <c r="D670">
        <v>495</v>
      </c>
      <c r="E670">
        <v>55</v>
      </c>
      <c r="F670">
        <v>873</v>
      </c>
      <c r="G670">
        <v>946</v>
      </c>
      <c r="H670" s="7">
        <v>0</v>
      </c>
      <c r="I670">
        <v>0</v>
      </c>
      <c r="J670">
        <v>0</v>
      </c>
      <c r="K670" s="8">
        <v>5.8</v>
      </c>
      <c r="L670">
        <v>165</v>
      </c>
      <c r="M670">
        <v>3</v>
      </c>
      <c r="N670" s="10">
        <v>47.9</v>
      </c>
      <c r="O670" s="2">
        <f t="shared" si="23"/>
        <v>483.68209999999999</v>
      </c>
      <c r="P670" s="2">
        <f t="shared" si="22"/>
        <v>224.88374999999999</v>
      </c>
      <c r="Q670">
        <v>0</v>
      </c>
    </row>
    <row r="671" spans="1:17" x14ac:dyDescent="0.25">
      <c r="A671" s="15"/>
      <c r="B671" s="15"/>
      <c r="C671" s="3">
        <f t="shared" si="24"/>
        <v>0</v>
      </c>
      <c r="D671">
        <v>500</v>
      </c>
      <c r="E671">
        <v>0</v>
      </c>
      <c r="F671">
        <v>908</v>
      </c>
      <c r="G671">
        <v>983</v>
      </c>
      <c r="H671" s="7">
        <v>0</v>
      </c>
      <c r="I671">
        <v>0</v>
      </c>
      <c r="J671">
        <v>0</v>
      </c>
      <c r="K671" s="8">
        <v>5.5</v>
      </c>
      <c r="L671">
        <v>160</v>
      </c>
      <c r="M671">
        <v>3</v>
      </c>
      <c r="N671" s="10">
        <v>41.3</v>
      </c>
      <c r="O671" s="2">
        <f t="shared" si="23"/>
        <v>483.74090000000001</v>
      </c>
      <c r="P671" s="2">
        <f t="shared" si="22"/>
        <v>227.51999999999998</v>
      </c>
      <c r="Q671">
        <v>0</v>
      </c>
    </row>
    <row r="672" spans="1:17" x14ac:dyDescent="0.25">
      <c r="A672" s="15"/>
      <c r="B672" s="15"/>
      <c r="C672" s="3">
        <f t="shared" si="24"/>
        <v>25</v>
      </c>
      <c r="D672">
        <v>400</v>
      </c>
      <c r="E672">
        <v>100</v>
      </c>
      <c r="F672">
        <v>892.32</v>
      </c>
      <c r="G672">
        <v>966.68</v>
      </c>
      <c r="H672" s="7">
        <v>0</v>
      </c>
      <c r="I672">
        <v>0</v>
      </c>
      <c r="J672">
        <v>0</v>
      </c>
      <c r="K672" s="8">
        <v>6.22</v>
      </c>
      <c r="L672">
        <v>160</v>
      </c>
      <c r="M672">
        <v>3</v>
      </c>
      <c r="N672" s="10">
        <v>48.7</v>
      </c>
      <c r="O672" s="2">
        <f t="shared" si="23"/>
        <v>411.53386</v>
      </c>
      <c r="P672" s="2">
        <f t="shared" si="22"/>
        <v>190.56119999999999</v>
      </c>
      <c r="Q672">
        <v>0</v>
      </c>
    </row>
    <row r="673" spans="1:17" x14ac:dyDescent="0.25">
      <c r="A673" s="15"/>
      <c r="B673" s="15"/>
      <c r="C673" s="3">
        <f t="shared" si="24"/>
        <v>17.647058823529413</v>
      </c>
      <c r="D673">
        <v>425</v>
      </c>
      <c r="E673">
        <v>75</v>
      </c>
      <c r="F673">
        <v>884.64</v>
      </c>
      <c r="G673">
        <v>958.36</v>
      </c>
      <c r="H673" s="7">
        <v>0</v>
      </c>
      <c r="I673">
        <v>0</v>
      </c>
      <c r="J673">
        <v>0</v>
      </c>
      <c r="K673" s="8">
        <v>5</v>
      </c>
      <c r="L673">
        <v>170</v>
      </c>
      <c r="M673">
        <v>3</v>
      </c>
      <c r="N673" s="10">
        <v>45.2</v>
      </c>
      <c r="O673" s="2">
        <f t="shared" si="23"/>
        <v>426.77521999999999</v>
      </c>
      <c r="P673" s="2">
        <f t="shared" si="22"/>
        <v>197.83739999999997</v>
      </c>
      <c r="Q673">
        <v>0</v>
      </c>
    </row>
    <row r="674" spans="1:17" x14ac:dyDescent="0.25">
      <c r="A674" s="15"/>
      <c r="B674" s="15"/>
      <c r="C674" s="3">
        <f t="shared" si="24"/>
        <v>11.111111111111111</v>
      </c>
      <c r="D674">
        <v>378</v>
      </c>
      <c r="E674">
        <v>42</v>
      </c>
      <c r="F674">
        <v>868.8</v>
      </c>
      <c r="G674">
        <v>941.2</v>
      </c>
      <c r="H674" s="7">
        <v>0</v>
      </c>
      <c r="I674">
        <v>0</v>
      </c>
      <c r="J674">
        <v>0</v>
      </c>
      <c r="K674" s="8">
        <v>0</v>
      </c>
      <c r="L674">
        <v>189</v>
      </c>
      <c r="M674">
        <v>3</v>
      </c>
      <c r="N674" s="10">
        <v>17.600000000000001</v>
      </c>
      <c r="O674" s="2">
        <f t="shared" si="23"/>
        <v>373.35180000000003</v>
      </c>
      <c r="P674" s="2">
        <f t="shared" si="22"/>
        <v>172.15799999999999</v>
      </c>
      <c r="Q674">
        <v>0</v>
      </c>
    </row>
    <row r="675" spans="1:17" x14ac:dyDescent="0.25">
      <c r="A675" s="15"/>
      <c r="B675" s="15"/>
      <c r="C675" s="3">
        <f t="shared" si="24"/>
        <v>11.111111111111111</v>
      </c>
      <c r="D675">
        <v>495</v>
      </c>
      <c r="E675">
        <v>55</v>
      </c>
      <c r="F675">
        <v>873</v>
      </c>
      <c r="G675">
        <v>946</v>
      </c>
      <c r="H675" s="7">
        <v>0</v>
      </c>
      <c r="I675">
        <v>0</v>
      </c>
      <c r="J675">
        <v>0</v>
      </c>
      <c r="K675" s="8">
        <v>6.8</v>
      </c>
      <c r="L675">
        <v>165</v>
      </c>
      <c r="M675">
        <v>3</v>
      </c>
      <c r="N675" s="10">
        <v>60.8</v>
      </c>
      <c r="O675" s="2">
        <f t="shared" si="23"/>
        <v>485.68209999999999</v>
      </c>
      <c r="P675" s="2">
        <f t="shared" si="22"/>
        <v>226.38374999999999</v>
      </c>
      <c r="Q675">
        <v>0</v>
      </c>
    </row>
    <row r="676" spans="1:17" x14ac:dyDescent="0.25">
      <c r="A676" s="15"/>
      <c r="B676" s="15"/>
      <c r="C676" s="3">
        <f t="shared" si="24"/>
        <v>0</v>
      </c>
      <c r="D676">
        <v>500</v>
      </c>
      <c r="E676">
        <v>0</v>
      </c>
      <c r="F676">
        <v>908</v>
      </c>
      <c r="G676">
        <v>983</v>
      </c>
      <c r="H676" s="7">
        <v>0</v>
      </c>
      <c r="I676">
        <v>0</v>
      </c>
      <c r="J676">
        <v>0</v>
      </c>
      <c r="K676" s="8">
        <v>6.5</v>
      </c>
      <c r="L676">
        <v>160</v>
      </c>
      <c r="M676">
        <v>3</v>
      </c>
      <c r="N676" s="10">
        <v>63.9</v>
      </c>
      <c r="O676" s="2">
        <f t="shared" si="23"/>
        <v>485.74090000000001</v>
      </c>
      <c r="P676" s="2">
        <f t="shared" si="22"/>
        <v>229.01999999999998</v>
      </c>
      <c r="Q676">
        <v>0</v>
      </c>
    </row>
    <row r="677" spans="1:17" x14ac:dyDescent="0.25">
      <c r="A677" s="15"/>
      <c r="B677" s="15"/>
      <c r="C677" s="3">
        <f t="shared" si="24"/>
        <v>25</v>
      </c>
      <c r="D677">
        <v>400</v>
      </c>
      <c r="E677">
        <v>100</v>
      </c>
      <c r="F677">
        <v>892.32</v>
      </c>
      <c r="G677">
        <v>966.68</v>
      </c>
      <c r="H677" s="7">
        <v>0</v>
      </c>
      <c r="I677">
        <v>0</v>
      </c>
      <c r="J677">
        <v>0</v>
      </c>
      <c r="K677" s="8">
        <v>7.36</v>
      </c>
      <c r="L677">
        <v>170</v>
      </c>
      <c r="M677">
        <v>3</v>
      </c>
      <c r="N677" s="10">
        <v>60.7</v>
      </c>
      <c r="O677" s="2">
        <f t="shared" si="23"/>
        <v>413.81386000000003</v>
      </c>
      <c r="P677" s="2">
        <f t="shared" si="22"/>
        <v>192.27119999999999</v>
      </c>
      <c r="Q677">
        <v>0</v>
      </c>
    </row>
    <row r="678" spans="1:17" x14ac:dyDescent="0.25">
      <c r="A678" s="15"/>
      <c r="B678" s="15"/>
      <c r="C678" s="3">
        <f t="shared" si="24"/>
        <v>17.647058823529413</v>
      </c>
      <c r="D678">
        <v>425</v>
      </c>
      <c r="E678">
        <v>75</v>
      </c>
      <c r="F678">
        <v>884.64</v>
      </c>
      <c r="G678">
        <v>958.36</v>
      </c>
      <c r="H678" s="7">
        <v>0</v>
      </c>
      <c r="I678">
        <v>0</v>
      </c>
      <c r="J678">
        <v>0</v>
      </c>
      <c r="K678" s="8">
        <v>6.4</v>
      </c>
      <c r="L678">
        <v>165</v>
      </c>
      <c r="M678">
        <v>7</v>
      </c>
      <c r="N678" s="10">
        <v>57.3</v>
      </c>
      <c r="O678" s="2">
        <f t="shared" si="23"/>
        <v>429.57522</v>
      </c>
      <c r="P678" s="2">
        <f t="shared" si="22"/>
        <v>199.9374</v>
      </c>
      <c r="Q678">
        <v>0</v>
      </c>
    </row>
    <row r="679" spans="1:17" x14ac:dyDescent="0.25">
      <c r="A679" s="15"/>
      <c r="B679" s="15"/>
      <c r="C679" s="3">
        <f t="shared" si="24"/>
        <v>11.111111111111111</v>
      </c>
      <c r="D679">
        <v>495</v>
      </c>
      <c r="E679">
        <v>55</v>
      </c>
      <c r="F679">
        <v>873</v>
      </c>
      <c r="G679">
        <v>946</v>
      </c>
      <c r="H679" s="7">
        <v>0</v>
      </c>
      <c r="I679">
        <v>0</v>
      </c>
      <c r="J679">
        <v>0</v>
      </c>
      <c r="K679" s="8">
        <v>5.8</v>
      </c>
      <c r="L679">
        <v>160</v>
      </c>
      <c r="M679">
        <v>7</v>
      </c>
      <c r="N679" s="10">
        <v>60.6</v>
      </c>
      <c r="O679" s="2">
        <f t="shared" si="23"/>
        <v>483.68209999999999</v>
      </c>
      <c r="P679" s="2">
        <f t="shared" si="22"/>
        <v>224.88374999999999</v>
      </c>
      <c r="Q679">
        <v>0</v>
      </c>
    </row>
    <row r="680" spans="1:17" x14ac:dyDescent="0.25">
      <c r="A680" s="15"/>
      <c r="B680" s="15"/>
      <c r="C680" s="3">
        <f t="shared" si="24"/>
        <v>0</v>
      </c>
      <c r="D680">
        <v>500</v>
      </c>
      <c r="E680">
        <v>0</v>
      </c>
      <c r="F680">
        <v>908</v>
      </c>
      <c r="G680">
        <v>983</v>
      </c>
      <c r="H680" s="7">
        <v>0</v>
      </c>
      <c r="I680">
        <v>0</v>
      </c>
      <c r="J680">
        <v>0</v>
      </c>
      <c r="K680" s="8">
        <v>5.5</v>
      </c>
      <c r="L680">
        <v>160</v>
      </c>
      <c r="M680">
        <v>7</v>
      </c>
      <c r="N680" s="10">
        <v>51</v>
      </c>
      <c r="O680" s="2">
        <f t="shared" si="23"/>
        <v>483.74090000000001</v>
      </c>
      <c r="P680" s="2">
        <f t="shared" si="22"/>
        <v>227.51999999999998</v>
      </c>
      <c r="Q680">
        <v>0</v>
      </c>
    </row>
    <row r="681" spans="1:17" x14ac:dyDescent="0.25">
      <c r="A681" s="15"/>
      <c r="B681" s="15"/>
      <c r="C681" s="3">
        <f t="shared" si="24"/>
        <v>25</v>
      </c>
      <c r="D681">
        <v>400</v>
      </c>
      <c r="E681">
        <v>100</v>
      </c>
      <c r="F681">
        <v>892.32</v>
      </c>
      <c r="G681">
        <v>966.68</v>
      </c>
      <c r="H681" s="7">
        <v>0</v>
      </c>
      <c r="I681">
        <v>0</v>
      </c>
      <c r="J681">
        <v>0</v>
      </c>
      <c r="K681" s="8">
        <v>6.22</v>
      </c>
      <c r="L681">
        <v>150</v>
      </c>
      <c r="M681">
        <v>7</v>
      </c>
      <c r="N681" s="10">
        <v>61.8</v>
      </c>
      <c r="O681" s="2">
        <f t="shared" si="23"/>
        <v>411.53386</v>
      </c>
      <c r="P681" s="2">
        <f t="shared" si="22"/>
        <v>190.56119999999999</v>
      </c>
      <c r="Q681">
        <v>0</v>
      </c>
    </row>
    <row r="682" spans="1:17" x14ac:dyDescent="0.25">
      <c r="A682" s="15"/>
      <c r="B682" s="15"/>
      <c r="C682" s="3">
        <f t="shared" si="24"/>
        <v>0</v>
      </c>
      <c r="D682">
        <v>375</v>
      </c>
      <c r="E682">
        <v>0</v>
      </c>
      <c r="F682">
        <v>945.6</v>
      </c>
      <c r="G682">
        <v>1024.4000000000001</v>
      </c>
      <c r="H682" s="7">
        <v>0</v>
      </c>
      <c r="I682">
        <v>0</v>
      </c>
      <c r="J682">
        <v>0</v>
      </c>
      <c r="K682" s="8">
        <v>0</v>
      </c>
      <c r="L682">
        <v>150</v>
      </c>
      <c r="M682">
        <v>7</v>
      </c>
      <c r="N682" s="10">
        <v>30</v>
      </c>
      <c r="O682" s="2">
        <f t="shared" si="23"/>
        <v>371.41380000000004</v>
      </c>
      <c r="P682" s="2">
        <f t="shared" si="22"/>
        <v>173.721</v>
      </c>
      <c r="Q682">
        <v>0</v>
      </c>
    </row>
    <row r="683" spans="1:17" x14ac:dyDescent="0.25">
      <c r="A683" s="15"/>
      <c r="B683" s="15"/>
      <c r="C683" s="3">
        <f t="shared" si="24"/>
        <v>5.2631578947368416</v>
      </c>
      <c r="D683" s="2">
        <v>356.25</v>
      </c>
      <c r="E683">
        <v>18.75</v>
      </c>
      <c r="F683">
        <v>945.6</v>
      </c>
      <c r="G683">
        <v>1024.4000000000001</v>
      </c>
      <c r="H683" s="7">
        <v>0</v>
      </c>
      <c r="I683">
        <v>0</v>
      </c>
      <c r="J683">
        <v>0</v>
      </c>
      <c r="K683" s="8">
        <v>0</v>
      </c>
      <c r="L683">
        <v>142.5</v>
      </c>
      <c r="M683">
        <v>7</v>
      </c>
      <c r="N683" s="10">
        <v>31.5</v>
      </c>
      <c r="O683" s="2">
        <f t="shared" si="23"/>
        <v>357.78630000000004</v>
      </c>
      <c r="P683" s="2">
        <f t="shared" si="22"/>
        <v>166.68975</v>
      </c>
      <c r="Q683">
        <v>0</v>
      </c>
    </row>
    <row r="684" spans="1:17" x14ac:dyDescent="0.25">
      <c r="A684" s="15"/>
      <c r="B684" s="15"/>
      <c r="C684" s="3">
        <f t="shared" si="24"/>
        <v>11.111111111111111</v>
      </c>
      <c r="D684" s="10">
        <v>337.5</v>
      </c>
      <c r="E684">
        <v>37.5</v>
      </c>
      <c r="F684">
        <v>945.6</v>
      </c>
      <c r="G684">
        <v>1024.4000000000001</v>
      </c>
      <c r="H684" s="7">
        <v>0</v>
      </c>
      <c r="I684">
        <v>0</v>
      </c>
      <c r="J684">
        <v>0</v>
      </c>
      <c r="K684" s="8">
        <v>0</v>
      </c>
      <c r="L684">
        <v>135</v>
      </c>
      <c r="M684">
        <v>7</v>
      </c>
      <c r="N684" s="10">
        <v>32.5</v>
      </c>
      <c r="O684" s="2">
        <f t="shared" si="23"/>
        <v>344.15880000000004</v>
      </c>
      <c r="P684" s="2">
        <f t="shared" si="22"/>
        <v>159.6585</v>
      </c>
      <c r="Q684">
        <v>0</v>
      </c>
    </row>
    <row r="685" spans="1:17" x14ac:dyDescent="0.25">
      <c r="A685" s="15"/>
      <c r="B685" s="15"/>
      <c r="C685" s="3">
        <f t="shared" si="24"/>
        <v>17.647058823529413</v>
      </c>
      <c r="D685" s="2">
        <v>318.75</v>
      </c>
      <c r="E685">
        <v>56.25</v>
      </c>
      <c r="F685">
        <v>945.6</v>
      </c>
      <c r="G685">
        <v>1024.4000000000001</v>
      </c>
      <c r="H685" s="7">
        <v>0</v>
      </c>
      <c r="I685">
        <v>0</v>
      </c>
      <c r="J685">
        <v>0</v>
      </c>
      <c r="K685" s="8">
        <v>0</v>
      </c>
      <c r="L685">
        <v>127.5</v>
      </c>
      <c r="M685">
        <v>7</v>
      </c>
      <c r="N685" s="10">
        <v>35.5</v>
      </c>
      <c r="O685" s="2">
        <f t="shared" si="23"/>
        <v>330.53130000000004</v>
      </c>
      <c r="P685" s="2">
        <f t="shared" si="22"/>
        <v>152.62725</v>
      </c>
      <c r="Q685">
        <v>0</v>
      </c>
    </row>
    <row r="686" spans="1:17" x14ac:dyDescent="0.25">
      <c r="A686" s="15"/>
      <c r="B686" s="15"/>
      <c r="C686" s="3">
        <f t="shared" si="24"/>
        <v>25</v>
      </c>
      <c r="D686">
        <v>300</v>
      </c>
      <c r="E686">
        <v>75</v>
      </c>
      <c r="F686">
        <v>945.6</v>
      </c>
      <c r="G686">
        <v>1024.4000000000001</v>
      </c>
      <c r="H686" s="7">
        <v>0</v>
      </c>
      <c r="I686">
        <v>0</v>
      </c>
      <c r="J686">
        <v>0</v>
      </c>
      <c r="K686" s="8">
        <v>0</v>
      </c>
      <c r="L686">
        <v>120</v>
      </c>
      <c r="M686">
        <v>7</v>
      </c>
      <c r="N686" s="10">
        <v>31</v>
      </c>
      <c r="O686" s="2">
        <f t="shared" si="23"/>
        <v>316.90380000000005</v>
      </c>
      <c r="P686" s="2">
        <f t="shared" si="22"/>
        <v>145.596</v>
      </c>
      <c r="Q686">
        <v>0</v>
      </c>
    </row>
    <row r="687" spans="1:17" x14ac:dyDescent="0.25">
      <c r="A687" s="15"/>
      <c r="B687" s="15"/>
      <c r="C687" s="3">
        <f t="shared" si="24"/>
        <v>5.2197802197802199</v>
      </c>
      <c r="D687">
        <v>364</v>
      </c>
      <c r="E687">
        <v>19</v>
      </c>
      <c r="F687">
        <v>828</v>
      </c>
      <c r="G687">
        <v>897</v>
      </c>
      <c r="H687" s="7">
        <v>0</v>
      </c>
      <c r="I687">
        <v>0</v>
      </c>
      <c r="J687">
        <v>0</v>
      </c>
      <c r="K687" s="8">
        <v>0</v>
      </c>
      <c r="L687">
        <v>203</v>
      </c>
      <c r="M687">
        <v>7</v>
      </c>
      <c r="N687" s="10">
        <v>27.6</v>
      </c>
      <c r="O687" s="2">
        <f t="shared" si="23"/>
        <v>356.76230000000004</v>
      </c>
      <c r="P687" s="2">
        <f t="shared" si="22"/>
        <v>165.48</v>
      </c>
      <c r="Q687">
        <v>0</v>
      </c>
    </row>
    <row r="688" spans="1:17" x14ac:dyDescent="0.25">
      <c r="A688" s="15"/>
      <c r="B688" s="15"/>
      <c r="C688" s="3">
        <f t="shared" si="24"/>
        <v>25.163398692810457</v>
      </c>
      <c r="D688">
        <v>306</v>
      </c>
      <c r="E688">
        <v>77</v>
      </c>
      <c r="F688">
        <v>828</v>
      </c>
      <c r="G688">
        <v>897</v>
      </c>
      <c r="H688" s="7">
        <v>0</v>
      </c>
      <c r="I688">
        <v>0</v>
      </c>
      <c r="J688">
        <v>0</v>
      </c>
      <c r="K688" s="8">
        <v>0</v>
      </c>
      <c r="L688">
        <v>203</v>
      </c>
      <c r="M688">
        <v>7</v>
      </c>
      <c r="N688" s="10">
        <v>29.7</v>
      </c>
      <c r="O688" s="2">
        <f t="shared" si="23"/>
        <v>314.60790000000003</v>
      </c>
      <c r="P688" s="2">
        <f t="shared" si="22"/>
        <v>143.72999999999999</v>
      </c>
      <c r="Q688">
        <v>0</v>
      </c>
    </row>
    <row r="689" spans="1:17" x14ac:dyDescent="0.25">
      <c r="A689" s="15"/>
      <c r="B689" s="15"/>
      <c r="C689" s="3">
        <f t="shared" si="24"/>
        <v>53.815261044176708</v>
      </c>
      <c r="D689">
        <v>249</v>
      </c>
      <c r="E689">
        <v>134</v>
      </c>
      <c r="F689">
        <v>828</v>
      </c>
      <c r="G689">
        <v>897</v>
      </c>
      <c r="H689" s="7">
        <v>0</v>
      </c>
      <c r="I689">
        <v>0</v>
      </c>
      <c r="J689">
        <v>0</v>
      </c>
      <c r="K689" s="8">
        <v>0</v>
      </c>
      <c r="L689">
        <v>203</v>
      </c>
      <c r="M689">
        <v>7</v>
      </c>
      <c r="N689" s="10">
        <v>25.7</v>
      </c>
      <c r="O689" s="2">
        <f t="shared" si="23"/>
        <v>273.18029999999999</v>
      </c>
      <c r="P689" s="2">
        <f t="shared" si="22"/>
        <v>122.355</v>
      </c>
      <c r="Q689">
        <v>0</v>
      </c>
    </row>
    <row r="690" spans="1:17" x14ac:dyDescent="0.25">
      <c r="A690" s="15"/>
      <c r="B690" s="15"/>
      <c r="C690" s="3">
        <f t="shared" si="24"/>
        <v>17.647058823529413</v>
      </c>
      <c r="D690">
        <v>425</v>
      </c>
      <c r="E690">
        <v>75</v>
      </c>
      <c r="F690">
        <v>884.64</v>
      </c>
      <c r="G690">
        <v>958.36</v>
      </c>
      <c r="H690" s="7">
        <v>0</v>
      </c>
      <c r="I690">
        <v>0</v>
      </c>
      <c r="J690">
        <v>0</v>
      </c>
      <c r="K690" s="8">
        <v>5</v>
      </c>
      <c r="L690">
        <v>170</v>
      </c>
      <c r="M690">
        <v>7</v>
      </c>
      <c r="N690" s="10">
        <v>57.6</v>
      </c>
      <c r="O690" s="2">
        <f t="shared" si="23"/>
        <v>426.77521999999999</v>
      </c>
      <c r="P690" s="2">
        <f t="shared" si="22"/>
        <v>197.83739999999997</v>
      </c>
      <c r="Q690">
        <v>0</v>
      </c>
    </row>
    <row r="691" spans="1:17" x14ac:dyDescent="0.25">
      <c r="A691" s="15"/>
      <c r="B691" s="15"/>
      <c r="C691" s="3">
        <f t="shared" si="24"/>
        <v>11.111111111111111</v>
      </c>
      <c r="D691">
        <v>495</v>
      </c>
      <c r="E691">
        <v>55</v>
      </c>
      <c r="F691">
        <v>873.12</v>
      </c>
      <c r="G691">
        <v>945.88</v>
      </c>
      <c r="H691" s="7">
        <v>0</v>
      </c>
      <c r="I691">
        <v>0</v>
      </c>
      <c r="J691">
        <v>0</v>
      </c>
      <c r="K691" s="8">
        <v>6.8</v>
      </c>
      <c r="L691">
        <v>165</v>
      </c>
      <c r="M691">
        <v>7</v>
      </c>
      <c r="N691" s="10">
        <v>83.6</v>
      </c>
      <c r="O691" s="2">
        <f t="shared" si="23"/>
        <v>485.67825999999997</v>
      </c>
      <c r="P691" s="2">
        <f t="shared" si="22"/>
        <v>226.38419999999999</v>
      </c>
      <c r="Q691">
        <v>0</v>
      </c>
    </row>
    <row r="692" spans="1:17" x14ac:dyDescent="0.25">
      <c r="A692" s="15"/>
      <c r="B692" s="15"/>
      <c r="C692" s="3">
        <f t="shared" si="24"/>
        <v>7.4168797953964196</v>
      </c>
      <c r="D692">
        <v>391</v>
      </c>
      <c r="E692">
        <v>29</v>
      </c>
      <c r="F692">
        <v>868.8</v>
      </c>
      <c r="G692">
        <v>941.2</v>
      </c>
      <c r="H692" s="7">
        <v>0</v>
      </c>
      <c r="I692">
        <v>0</v>
      </c>
      <c r="J692">
        <v>0</v>
      </c>
      <c r="K692" s="8">
        <v>0</v>
      </c>
      <c r="L692">
        <v>189</v>
      </c>
      <c r="M692">
        <v>7</v>
      </c>
      <c r="N692" s="10">
        <v>32.4</v>
      </c>
      <c r="O692" s="2">
        <f t="shared" si="23"/>
        <v>382.80019999999996</v>
      </c>
      <c r="P692" s="2">
        <f t="shared" si="22"/>
        <v>177.03299999999999</v>
      </c>
      <c r="Q692">
        <v>0</v>
      </c>
    </row>
    <row r="693" spans="1:17" x14ac:dyDescent="0.25">
      <c r="A693" s="15"/>
      <c r="B693" s="15"/>
      <c r="C693" s="3">
        <f t="shared" si="24"/>
        <v>0</v>
      </c>
      <c r="D693">
        <v>500</v>
      </c>
      <c r="E693">
        <v>0</v>
      </c>
      <c r="F693">
        <v>907.68</v>
      </c>
      <c r="G693">
        <v>983.32</v>
      </c>
      <c r="H693" s="7">
        <v>0</v>
      </c>
      <c r="I693">
        <v>0</v>
      </c>
      <c r="J693">
        <v>0</v>
      </c>
      <c r="K693" s="8">
        <v>6.5</v>
      </c>
      <c r="L693">
        <v>160</v>
      </c>
      <c r="M693">
        <v>14</v>
      </c>
      <c r="N693" s="10">
        <v>76.400000000000006</v>
      </c>
      <c r="O693" s="2">
        <f t="shared" si="23"/>
        <v>485.75114000000002</v>
      </c>
      <c r="P693" s="2">
        <f t="shared" si="22"/>
        <v>229.01879999999997</v>
      </c>
      <c r="Q693">
        <v>0</v>
      </c>
    </row>
    <row r="694" spans="1:17" x14ac:dyDescent="0.25">
      <c r="A694" s="15"/>
      <c r="B694" s="15"/>
      <c r="C694" s="3">
        <f t="shared" si="24"/>
        <v>25</v>
      </c>
      <c r="D694">
        <v>400</v>
      </c>
      <c r="E694">
        <v>100</v>
      </c>
      <c r="F694">
        <v>892.32</v>
      </c>
      <c r="G694">
        <v>966.68</v>
      </c>
      <c r="H694" s="7">
        <v>0</v>
      </c>
      <c r="I694">
        <v>0</v>
      </c>
      <c r="J694">
        <v>0</v>
      </c>
      <c r="K694" s="8">
        <v>7.36</v>
      </c>
      <c r="L694">
        <v>160</v>
      </c>
      <c r="M694">
        <v>14</v>
      </c>
      <c r="N694" s="10">
        <v>82.8</v>
      </c>
      <c r="O694" s="2">
        <f t="shared" si="23"/>
        <v>413.81386000000003</v>
      </c>
      <c r="P694" s="2">
        <f t="shared" si="22"/>
        <v>192.27119999999999</v>
      </c>
      <c r="Q694">
        <v>0</v>
      </c>
    </row>
    <row r="695" spans="1:17" x14ac:dyDescent="0.25">
      <c r="A695" s="15"/>
      <c r="B695" s="15"/>
      <c r="C695" s="3">
        <f t="shared" si="24"/>
        <v>17.647058823529413</v>
      </c>
      <c r="D695">
        <v>425</v>
      </c>
      <c r="E695">
        <v>75</v>
      </c>
      <c r="F695">
        <v>884.64</v>
      </c>
      <c r="G695">
        <v>958.36</v>
      </c>
      <c r="H695" s="7">
        <v>0</v>
      </c>
      <c r="I695">
        <v>0</v>
      </c>
      <c r="J695">
        <v>0</v>
      </c>
      <c r="K695" s="8">
        <v>6.4</v>
      </c>
      <c r="L695">
        <v>170</v>
      </c>
      <c r="M695">
        <v>28</v>
      </c>
      <c r="N695" s="10">
        <v>79.2</v>
      </c>
      <c r="O695" s="2">
        <f t="shared" si="23"/>
        <v>429.57522</v>
      </c>
      <c r="P695" s="2">
        <f t="shared" si="22"/>
        <v>199.9374</v>
      </c>
      <c r="Q695">
        <v>0</v>
      </c>
    </row>
    <row r="696" spans="1:17" x14ac:dyDescent="0.25">
      <c r="A696" s="15"/>
      <c r="B696" s="15"/>
      <c r="C696" s="3">
        <f t="shared" si="24"/>
        <v>11.014492753623188</v>
      </c>
      <c r="D696">
        <v>345</v>
      </c>
      <c r="E696">
        <v>38</v>
      </c>
      <c r="F696">
        <v>828</v>
      </c>
      <c r="G696">
        <v>897</v>
      </c>
      <c r="H696" s="7">
        <v>0</v>
      </c>
      <c r="I696">
        <v>0</v>
      </c>
      <c r="J696">
        <v>0</v>
      </c>
      <c r="K696" s="8">
        <v>0</v>
      </c>
      <c r="L696">
        <v>203</v>
      </c>
      <c r="M696">
        <v>28</v>
      </c>
      <c r="N696" s="10">
        <v>35.299999999999997</v>
      </c>
      <c r="O696" s="2">
        <f t="shared" si="23"/>
        <v>342.95310000000001</v>
      </c>
      <c r="P696" s="2">
        <f t="shared" si="22"/>
        <v>158.35499999999999</v>
      </c>
      <c r="Q696">
        <v>0</v>
      </c>
    </row>
    <row r="697" spans="1:17" x14ac:dyDescent="0.25">
      <c r="A697" s="15"/>
      <c r="B697" s="15"/>
      <c r="C697" s="3">
        <f t="shared" si="24"/>
        <v>33.449477351916379</v>
      </c>
      <c r="D697">
        <v>287</v>
      </c>
      <c r="E697">
        <v>96</v>
      </c>
      <c r="F697">
        <v>828</v>
      </c>
      <c r="G697">
        <v>897</v>
      </c>
      <c r="H697" s="7">
        <v>0</v>
      </c>
      <c r="I697">
        <v>0</v>
      </c>
      <c r="J697">
        <v>0</v>
      </c>
      <c r="K697" s="8">
        <v>0</v>
      </c>
      <c r="L697">
        <v>203</v>
      </c>
      <c r="M697">
        <v>28</v>
      </c>
      <c r="N697" s="10">
        <v>36.1</v>
      </c>
      <c r="O697" s="2">
        <f t="shared" si="23"/>
        <v>300.7987</v>
      </c>
      <c r="P697" s="2">
        <f t="shared" si="22"/>
        <v>136.60499999999999</v>
      </c>
      <c r="Q697">
        <v>0</v>
      </c>
    </row>
    <row r="698" spans="1:17" x14ac:dyDescent="0.25">
      <c r="A698" s="15"/>
      <c r="B698" s="15"/>
      <c r="C698" s="3">
        <f t="shared" si="24"/>
        <v>11.111111111111111</v>
      </c>
      <c r="D698">
        <v>495</v>
      </c>
      <c r="E698">
        <v>55</v>
      </c>
      <c r="F698">
        <v>873.12</v>
      </c>
      <c r="G698">
        <v>945.88</v>
      </c>
      <c r="H698" s="7">
        <v>0</v>
      </c>
      <c r="I698">
        <v>0</v>
      </c>
      <c r="J698">
        <v>0</v>
      </c>
      <c r="K698" s="8">
        <v>5.8</v>
      </c>
      <c r="L698">
        <v>165</v>
      </c>
      <c r="M698">
        <v>28</v>
      </c>
      <c r="N698" s="10">
        <v>72.8</v>
      </c>
      <c r="O698" s="2">
        <f t="shared" si="23"/>
        <v>483.67825999999997</v>
      </c>
      <c r="P698" s="2">
        <f t="shared" si="22"/>
        <v>224.88419999999999</v>
      </c>
      <c r="Q698">
        <v>0</v>
      </c>
    </row>
    <row r="699" spans="1:17" x14ac:dyDescent="0.25">
      <c r="A699" s="15"/>
      <c r="B699" s="15"/>
      <c r="C699" s="3">
        <f t="shared" si="24"/>
        <v>0</v>
      </c>
      <c r="D699">
        <v>500</v>
      </c>
      <c r="E699">
        <v>0</v>
      </c>
      <c r="F699">
        <v>907.68</v>
      </c>
      <c r="G699">
        <v>983.32</v>
      </c>
      <c r="H699" s="7">
        <v>0</v>
      </c>
      <c r="I699">
        <v>0</v>
      </c>
      <c r="J699">
        <v>0</v>
      </c>
      <c r="K699" s="8">
        <v>5.5</v>
      </c>
      <c r="L699">
        <v>160</v>
      </c>
      <c r="M699">
        <v>28</v>
      </c>
      <c r="N699" s="10">
        <v>59.6</v>
      </c>
      <c r="O699" s="2">
        <f t="shared" si="23"/>
        <v>483.75114000000002</v>
      </c>
      <c r="P699" s="2">
        <f t="shared" si="22"/>
        <v>227.51879999999997</v>
      </c>
      <c r="Q699">
        <v>0</v>
      </c>
    </row>
    <row r="700" spans="1:17" x14ac:dyDescent="0.25">
      <c r="A700" s="15"/>
      <c r="B700" s="15"/>
      <c r="C700" s="3">
        <f t="shared" si="24"/>
        <v>25</v>
      </c>
      <c r="D700">
        <v>400</v>
      </c>
      <c r="E700">
        <v>100</v>
      </c>
      <c r="F700">
        <v>892.32</v>
      </c>
      <c r="G700">
        <v>966.68</v>
      </c>
      <c r="H700" s="7">
        <v>0</v>
      </c>
      <c r="I700">
        <v>0</v>
      </c>
      <c r="J700">
        <v>0</v>
      </c>
      <c r="K700" s="8">
        <v>6.22</v>
      </c>
      <c r="L700">
        <v>150</v>
      </c>
      <c r="M700">
        <v>28</v>
      </c>
      <c r="N700" s="10">
        <v>72.7</v>
      </c>
      <c r="O700" s="2">
        <f t="shared" si="23"/>
        <v>411.53386</v>
      </c>
      <c r="P700" s="2">
        <f t="shared" si="22"/>
        <v>190.56119999999999</v>
      </c>
      <c r="Q700">
        <v>0</v>
      </c>
    </row>
    <row r="701" spans="1:17" x14ac:dyDescent="0.25">
      <c r="A701" s="15"/>
      <c r="B701" s="15"/>
      <c r="C701" s="3">
        <f t="shared" si="24"/>
        <v>0</v>
      </c>
      <c r="D701">
        <v>375</v>
      </c>
      <c r="E701">
        <v>0</v>
      </c>
      <c r="F701">
        <v>945.6</v>
      </c>
      <c r="G701">
        <v>1024.4000000000001</v>
      </c>
      <c r="H701" s="7">
        <v>0</v>
      </c>
      <c r="I701">
        <v>0</v>
      </c>
      <c r="J701">
        <v>0</v>
      </c>
      <c r="K701" s="8">
        <v>0</v>
      </c>
      <c r="L701">
        <v>142.5</v>
      </c>
      <c r="M701">
        <v>28</v>
      </c>
      <c r="N701" s="10">
        <v>44.5</v>
      </c>
      <c r="O701" s="2">
        <f t="shared" si="23"/>
        <v>371.41380000000004</v>
      </c>
      <c r="P701" s="2">
        <f t="shared" si="22"/>
        <v>173.721</v>
      </c>
      <c r="Q701">
        <v>0</v>
      </c>
    </row>
    <row r="702" spans="1:17" x14ac:dyDescent="0.25">
      <c r="A702" s="15"/>
      <c r="B702" s="15"/>
      <c r="C702" s="3">
        <f t="shared" si="24"/>
        <v>5.2631578947368416</v>
      </c>
      <c r="D702">
        <v>356.25</v>
      </c>
      <c r="E702">
        <v>18.75</v>
      </c>
      <c r="F702">
        <v>945.6</v>
      </c>
      <c r="G702">
        <v>1024.4000000000001</v>
      </c>
      <c r="H702" s="7">
        <v>0</v>
      </c>
      <c r="I702">
        <v>0</v>
      </c>
      <c r="J702">
        <v>0</v>
      </c>
      <c r="K702" s="8">
        <v>0</v>
      </c>
      <c r="L702">
        <v>135</v>
      </c>
      <c r="M702">
        <v>28</v>
      </c>
      <c r="N702" s="10">
        <v>45.5</v>
      </c>
      <c r="O702" s="2">
        <f t="shared" si="23"/>
        <v>357.78630000000004</v>
      </c>
      <c r="P702" s="2">
        <f t="shared" si="22"/>
        <v>166.68975</v>
      </c>
      <c r="Q702">
        <v>0</v>
      </c>
    </row>
    <row r="703" spans="1:17" x14ac:dyDescent="0.25">
      <c r="A703" s="15"/>
      <c r="B703" s="15"/>
      <c r="C703" s="3">
        <f t="shared" si="24"/>
        <v>11.111111111111111</v>
      </c>
      <c r="D703">
        <v>337.5</v>
      </c>
      <c r="E703">
        <v>37.5</v>
      </c>
      <c r="F703">
        <v>945.6</v>
      </c>
      <c r="G703">
        <v>1024.4000000000001</v>
      </c>
      <c r="H703" s="7">
        <v>0</v>
      </c>
      <c r="I703">
        <v>0</v>
      </c>
      <c r="J703">
        <v>0</v>
      </c>
      <c r="K703" s="8">
        <v>0</v>
      </c>
      <c r="L703">
        <v>127.5</v>
      </c>
      <c r="M703">
        <v>28</v>
      </c>
      <c r="N703" s="10">
        <v>49.5</v>
      </c>
      <c r="O703" s="2">
        <f t="shared" si="23"/>
        <v>344.15880000000004</v>
      </c>
      <c r="P703" s="2">
        <f t="shared" si="22"/>
        <v>159.6585</v>
      </c>
      <c r="Q703">
        <v>0</v>
      </c>
    </row>
    <row r="704" spans="1:17" x14ac:dyDescent="0.25">
      <c r="A704" s="15"/>
      <c r="B704" s="15"/>
      <c r="C704" s="3">
        <f t="shared" si="24"/>
        <v>17.647058823529413</v>
      </c>
      <c r="D704">
        <v>318.75</v>
      </c>
      <c r="E704">
        <v>56.25</v>
      </c>
      <c r="F704">
        <v>945.6</v>
      </c>
      <c r="G704">
        <v>1024.4000000000001</v>
      </c>
      <c r="H704" s="7">
        <v>0</v>
      </c>
      <c r="I704">
        <v>0</v>
      </c>
      <c r="J704">
        <v>0</v>
      </c>
      <c r="K704" s="8">
        <v>0</v>
      </c>
      <c r="L704">
        <v>120</v>
      </c>
      <c r="M704">
        <v>28</v>
      </c>
      <c r="N704" s="10">
        <v>50</v>
      </c>
      <c r="O704" s="2">
        <f t="shared" si="23"/>
        <v>330.53130000000004</v>
      </c>
      <c r="P704" s="2">
        <f t="shared" si="22"/>
        <v>152.62725</v>
      </c>
      <c r="Q704">
        <v>0</v>
      </c>
    </row>
    <row r="705" spans="1:17" x14ac:dyDescent="0.25">
      <c r="A705" s="15"/>
      <c r="B705" s="15"/>
      <c r="C705" s="3">
        <f t="shared" si="24"/>
        <v>25</v>
      </c>
      <c r="D705">
        <v>300</v>
      </c>
      <c r="E705">
        <v>75</v>
      </c>
      <c r="F705">
        <v>945.6</v>
      </c>
      <c r="G705">
        <v>1024.4000000000001</v>
      </c>
      <c r="H705" s="7">
        <v>0</v>
      </c>
      <c r="I705">
        <v>0</v>
      </c>
      <c r="J705">
        <v>0</v>
      </c>
      <c r="K705" s="8">
        <v>0</v>
      </c>
      <c r="L705">
        <v>203</v>
      </c>
      <c r="M705">
        <v>28</v>
      </c>
      <c r="N705" s="10">
        <v>43</v>
      </c>
      <c r="O705" s="2">
        <f t="shared" si="23"/>
        <v>316.90380000000005</v>
      </c>
      <c r="P705" s="2">
        <f t="shared" si="22"/>
        <v>145.596</v>
      </c>
      <c r="Q705">
        <v>0</v>
      </c>
    </row>
    <row r="706" spans="1:17" x14ac:dyDescent="0.25">
      <c r="A706" s="15"/>
      <c r="B706" s="15"/>
      <c r="C706" s="3">
        <f t="shared" si="24"/>
        <v>0</v>
      </c>
      <c r="D706">
        <v>383</v>
      </c>
      <c r="E706">
        <v>0</v>
      </c>
      <c r="F706">
        <v>828</v>
      </c>
      <c r="G706">
        <v>897</v>
      </c>
      <c r="H706" s="7">
        <v>0</v>
      </c>
      <c r="I706">
        <v>0</v>
      </c>
      <c r="J706">
        <v>0</v>
      </c>
      <c r="K706" s="8">
        <v>0</v>
      </c>
      <c r="L706">
        <v>203</v>
      </c>
      <c r="M706">
        <v>28</v>
      </c>
      <c r="N706" s="10">
        <v>37.1</v>
      </c>
      <c r="O706" s="2">
        <f t="shared" si="23"/>
        <v>370.57150000000001</v>
      </c>
      <c r="P706" s="2">
        <f t="shared" si="22"/>
        <v>172.60499999999999</v>
      </c>
      <c r="Q706">
        <v>0</v>
      </c>
    </row>
    <row r="707" spans="1:17" x14ac:dyDescent="0.25">
      <c r="A707" s="15"/>
      <c r="B707" s="15"/>
      <c r="C707" s="3">
        <f t="shared" si="24"/>
        <v>17.484662576687114</v>
      </c>
      <c r="D707">
        <v>326</v>
      </c>
      <c r="E707">
        <v>57</v>
      </c>
      <c r="F707">
        <v>828</v>
      </c>
      <c r="G707">
        <v>897</v>
      </c>
      <c r="H707" s="7">
        <v>0</v>
      </c>
      <c r="I707">
        <v>0</v>
      </c>
      <c r="J707">
        <v>0</v>
      </c>
      <c r="K707" s="8">
        <v>0</v>
      </c>
      <c r="L707">
        <v>203</v>
      </c>
      <c r="M707">
        <v>28</v>
      </c>
      <c r="N707" s="10">
        <v>41.8</v>
      </c>
      <c r="O707" s="2">
        <f t="shared" si="23"/>
        <v>329.14390000000003</v>
      </c>
      <c r="P707" s="2">
        <f t="shared" ref="P707:P770" si="25">SUM((D707*5)+((F707*0.25)+(G707*0.2)+(K707*20)))*0.075</f>
        <v>151.22999999999999</v>
      </c>
      <c r="Q707">
        <v>0</v>
      </c>
    </row>
    <row r="708" spans="1:17" x14ac:dyDescent="0.25">
      <c r="A708" s="15"/>
      <c r="B708" s="15"/>
      <c r="C708" s="3">
        <f t="shared" si="24"/>
        <v>42.910447761194028</v>
      </c>
      <c r="D708">
        <v>268</v>
      </c>
      <c r="E708">
        <v>115</v>
      </c>
      <c r="F708">
        <v>828</v>
      </c>
      <c r="G708">
        <v>897</v>
      </c>
      <c r="H708" s="7">
        <v>0</v>
      </c>
      <c r="I708">
        <v>0</v>
      </c>
      <c r="J708">
        <v>0</v>
      </c>
      <c r="K708" s="8">
        <v>0</v>
      </c>
      <c r="L708">
        <v>170</v>
      </c>
      <c r="M708">
        <v>28</v>
      </c>
      <c r="N708" s="10">
        <v>37.6</v>
      </c>
      <c r="O708" s="2">
        <f t="shared" si="23"/>
        <v>286.98949999999996</v>
      </c>
      <c r="P708" s="2">
        <f t="shared" si="25"/>
        <v>129.47999999999999</v>
      </c>
      <c r="Q708">
        <v>0</v>
      </c>
    </row>
    <row r="709" spans="1:17" x14ac:dyDescent="0.25">
      <c r="A709" s="15"/>
      <c r="B709" s="15"/>
      <c r="C709" s="3">
        <f t="shared" si="24"/>
        <v>17.647058823529413</v>
      </c>
      <c r="D709">
        <v>425</v>
      </c>
      <c r="E709">
        <v>75</v>
      </c>
      <c r="F709">
        <v>884.64</v>
      </c>
      <c r="G709">
        <v>958.36</v>
      </c>
      <c r="H709" s="7">
        <v>0</v>
      </c>
      <c r="I709">
        <v>0</v>
      </c>
      <c r="J709">
        <v>0</v>
      </c>
      <c r="K709" s="8">
        <v>5</v>
      </c>
      <c r="L709">
        <v>165</v>
      </c>
      <c r="M709">
        <v>28</v>
      </c>
      <c r="N709" s="10">
        <v>67.2</v>
      </c>
      <c r="O709" s="2">
        <f t="shared" si="23"/>
        <v>426.77521999999999</v>
      </c>
      <c r="P709" s="2">
        <f t="shared" si="25"/>
        <v>197.83739999999997</v>
      </c>
      <c r="Q709">
        <v>0</v>
      </c>
    </row>
    <row r="710" spans="1:17" x14ac:dyDescent="0.25">
      <c r="A710" s="15"/>
      <c r="B710" s="15"/>
      <c r="C710" s="3">
        <f t="shared" si="24"/>
        <v>11.111111111111111</v>
      </c>
      <c r="D710">
        <v>495</v>
      </c>
      <c r="E710">
        <v>55</v>
      </c>
      <c r="F710">
        <v>873.12</v>
      </c>
      <c r="G710">
        <v>945.88</v>
      </c>
      <c r="H710" s="7">
        <v>0</v>
      </c>
      <c r="I710">
        <v>0</v>
      </c>
      <c r="J710">
        <v>0</v>
      </c>
      <c r="K710" s="8">
        <v>6.8</v>
      </c>
      <c r="L710">
        <v>160</v>
      </c>
      <c r="M710">
        <v>28</v>
      </c>
      <c r="N710" s="10">
        <v>95.2</v>
      </c>
      <c r="O710" s="2">
        <f t="shared" si="23"/>
        <v>485.67825999999997</v>
      </c>
      <c r="P710" s="2">
        <f t="shared" si="25"/>
        <v>226.38419999999999</v>
      </c>
      <c r="Q710">
        <v>0</v>
      </c>
    </row>
    <row r="711" spans="1:17" x14ac:dyDescent="0.25">
      <c r="A711" s="15"/>
      <c r="B711" s="15"/>
      <c r="C711" s="3">
        <f t="shared" si="24"/>
        <v>0</v>
      </c>
      <c r="D711">
        <v>500</v>
      </c>
      <c r="E711">
        <v>0</v>
      </c>
      <c r="F711">
        <v>907.68</v>
      </c>
      <c r="G711">
        <v>983.32</v>
      </c>
      <c r="H711" s="7">
        <v>0</v>
      </c>
      <c r="I711">
        <v>0</v>
      </c>
      <c r="J711">
        <v>0</v>
      </c>
      <c r="K711" s="8">
        <v>6.5</v>
      </c>
      <c r="L711">
        <v>160</v>
      </c>
      <c r="M711">
        <v>28</v>
      </c>
      <c r="N711" s="10">
        <v>85.7</v>
      </c>
      <c r="O711" s="2">
        <f t="shared" si="23"/>
        <v>485.75114000000002</v>
      </c>
      <c r="P711" s="2">
        <f t="shared" si="25"/>
        <v>229.01879999999997</v>
      </c>
      <c r="Q711">
        <v>0</v>
      </c>
    </row>
    <row r="712" spans="1:17" x14ac:dyDescent="0.25">
      <c r="A712" s="15"/>
      <c r="B712" s="15"/>
      <c r="C712" s="3">
        <f t="shared" si="24"/>
        <v>25</v>
      </c>
      <c r="D712">
        <v>400</v>
      </c>
      <c r="E712">
        <v>100</v>
      </c>
      <c r="F712">
        <v>892.32</v>
      </c>
      <c r="G712">
        <v>966.68</v>
      </c>
      <c r="H712" s="7">
        <v>0</v>
      </c>
      <c r="I712">
        <v>0</v>
      </c>
      <c r="J712">
        <v>0</v>
      </c>
      <c r="K712" s="8">
        <v>7.36</v>
      </c>
      <c r="L712">
        <v>189</v>
      </c>
      <c r="M712">
        <v>28</v>
      </c>
      <c r="N712" s="10">
        <v>94.3</v>
      </c>
      <c r="O712" s="2">
        <f t="shared" si="23"/>
        <v>413.81386000000003</v>
      </c>
      <c r="P712" s="2">
        <f t="shared" si="25"/>
        <v>192.27119999999999</v>
      </c>
      <c r="Q712">
        <v>0</v>
      </c>
    </row>
    <row r="713" spans="1:17" x14ac:dyDescent="0.25">
      <c r="A713" s="15"/>
      <c r="B713" s="15"/>
      <c r="C713" s="3">
        <f t="shared" si="24"/>
        <v>0</v>
      </c>
      <c r="D713">
        <v>420</v>
      </c>
      <c r="E713">
        <v>0</v>
      </c>
      <c r="F713">
        <v>868.8</v>
      </c>
      <c r="G713">
        <v>941.2</v>
      </c>
      <c r="H713" s="7">
        <v>0</v>
      </c>
      <c r="I713">
        <v>0</v>
      </c>
      <c r="J713">
        <v>0</v>
      </c>
      <c r="K713" s="8">
        <v>0</v>
      </c>
      <c r="L713">
        <v>189</v>
      </c>
      <c r="M713">
        <v>28</v>
      </c>
      <c r="N713" s="10">
        <v>40.299999999999997</v>
      </c>
      <c r="O713" s="2">
        <f t="shared" si="23"/>
        <v>403.87739999999997</v>
      </c>
      <c r="P713" s="2">
        <f t="shared" si="25"/>
        <v>187.90799999999999</v>
      </c>
      <c r="Q713">
        <v>0</v>
      </c>
    </row>
    <row r="714" spans="1:17" x14ac:dyDescent="0.25">
      <c r="A714" s="15"/>
      <c r="B714" s="15"/>
      <c r="C714" s="3">
        <f t="shared" si="24"/>
        <v>17.647058823529413</v>
      </c>
      <c r="D714">
        <v>357</v>
      </c>
      <c r="E714">
        <v>63</v>
      </c>
      <c r="F714">
        <v>868.8</v>
      </c>
      <c r="G714">
        <v>941.2</v>
      </c>
      <c r="H714" s="7">
        <v>0</v>
      </c>
      <c r="I714">
        <v>0</v>
      </c>
      <c r="J714">
        <v>0</v>
      </c>
      <c r="K714" s="8">
        <v>0</v>
      </c>
      <c r="L714">
        <v>170</v>
      </c>
      <c r="M714">
        <v>28</v>
      </c>
      <c r="N714" s="10">
        <v>46.9</v>
      </c>
      <c r="O714" s="2">
        <f t="shared" si="23"/>
        <v>358.089</v>
      </c>
      <c r="P714" s="2">
        <f t="shared" si="25"/>
        <v>164.28299999999999</v>
      </c>
      <c r="Q714">
        <v>0</v>
      </c>
    </row>
    <row r="715" spans="1:17" x14ac:dyDescent="0.25">
      <c r="A715" s="15"/>
      <c r="B715" s="15"/>
      <c r="C715" s="3">
        <f t="shared" si="24"/>
        <v>17.647058823529413</v>
      </c>
      <c r="D715">
        <v>425</v>
      </c>
      <c r="E715">
        <v>75</v>
      </c>
      <c r="F715">
        <v>884.64</v>
      </c>
      <c r="G715">
        <v>958.36</v>
      </c>
      <c r="H715" s="7">
        <v>0</v>
      </c>
      <c r="I715">
        <v>0</v>
      </c>
      <c r="J715">
        <v>0</v>
      </c>
      <c r="K715" s="8">
        <v>6.4</v>
      </c>
      <c r="L715">
        <v>150</v>
      </c>
      <c r="M715">
        <v>56</v>
      </c>
      <c r="N715" s="10">
        <v>90.3</v>
      </c>
      <c r="O715" s="2">
        <f t="shared" si="23"/>
        <v>429.57522</v>
      </c>
      <c r="P715" s="2">
        <f t="shared" si="25"/>
        <v>199.9374</v>
      </c>
      <c r="Q715">
        <v>0</v>
      </c>
    </row>
    <row r="716" spans="1:17" x14ac:dyDescent="0.25">
      <c r="A716" s="15"/>
      <c r="B716" s="15"/>
      <c r="C716" s="3">
        <f t="shared" si="24"/>
        <v>0</v>
      </c>
      <c r="D716">
        <v>375</v>
      </c>
      <c r="E716">
        <v>0</v>
      </c>
      <c r="F716">
        <v>945.6</v>
      </c>
      <c r="G716">
        <v>1024.4000000000001</v>
      </c>
      <c r="H716" s="7">
        <v>0</v>
      </c>
      <c r="I716">
        <v>0</v>
      </c>
      <c r="J716">
        <v>0</v>
      </c>
      <c r="K716" s="8">
        <v>0</v>
      </c>
      <c r="L716">
        <v>142.5</v>
      </c>
      <c r="M716">
        <v>56</v>
      </c>
      <c r="N716" s="10">
        <v>51.5</v>
      </c>
      <c r="O716" s="2">
        <f t="shared" si="23"/>
        <v>371.41380000000004</v>
      </c>
      <c r="P716" s="2">
        <f t="shared" si="25"/>
        <v>173.721</v>
      </c>
      <c r="Q716">
        <v>0</v>
      </c>
    </row>
    <row r="717" spans="1:17" x14ac:dyDescent="0.25">
      <c r="A717" s="15"/>
      <c r="B717" s="15"/>
      <c r="C717" s="3">
        <f t="shared" si="24"/>
        <v>5.2631578947368416</v>
      </c>
      <c r="D717">
        <v>356.25</v>
      </c>
      <c r="E717">
        <v>18.75</v>
      </c>
      <c r="F717">
        <v>945.6</v>
      </c>
      <c r="G717">
        <v>1024.4000000000001</v>
      </c>
      <c r="H717" s="7">
        <v>0</v>
      </c>
      <c r="I717">
        <v>0</v>
      </c>
      <c r="J717">
        <v>0</v>
      </c>
      <c r="K717" s="8">
        <v>0</v>
      </c>
      <c r="L717">
        <v>135</v>
      </c>
      <c r="M717">
        <v>56</v>
      </c>
      <c r="N717" s="10">
        <v>53.5</v>
      </c>
      <c r="O717" s="2">
        <f t="shared" si="23"/>
        <v>357.78630000000004</v>
      </c>
      <c r="P717" s="2">
        <f t="shared" si="25"/>
        <v>166.68975</v>
      </c>
      <c r="Q717">
        <v>0</v>
      </c>
    </row>
    <row r="718" spans="1:17" x14ac:dyDescent="0.25">
      <c r="A718" s="15"/>
      <c r="B718" s="15"/>
      <c r="C718" s="3">
        <f t="shared" si="24"/>
        <v>11.111111111111111</v>
      </c>
      <c r="D718">
        <v>337.5</v>
      </c>
      <c r="E718">
        <v>37.5</v>
      </c>
      <c r="F718">
        <v>945.6</v>
      </c>
      <c r="G718">
        <v>1024.4000000000001</v>
      </c>
      <c r="H718" s="7">
        <v>0</v>
      </c>
      <c r="I718">
        <v>0</v>
      </c>
      <c r="J718">
        <v>0</v>
      </c>
      <c r="K718" s="8">
        <v>0</v>
      </c>
      <c r="L718">
        <v>127.5</v>
      </c>
      <c r="M718">
        <v>56</v>
      </c>
      <c r="N718" s="10">
        <v>56</v>
      </c>
      <c r="O718" s="2">
        <f t="shared" ref="O718:O781" si="26">SUM((D718*0.83)+(E718*0.1032)+(F718*0.0139)+(G718*0.0459)+(K718*2))</f>
        <v>344.15880000000004</v>
      </c>
      <c r="P718" s="2">
        <f t="shared" si="25"/>
        <v>159.6585</v>
      </c>
      <c r="Q718">
        <v>0</v>
      </c>
    </row>
    <row r="719" spans="1:17" x14ac:dyDescent="0.25">
      <c r="A719" s="15"/>
      <c r="B719" s="15"/>
      <c r="C719" s="3">
        <f t="shared" si="24"/>
        <v>17.647058823529413</v>
      </c>
      <c r="D719">
        <v>318.75</v>
      </c>
      <c r="E719">
        <v>56.25</v>
      </c>
      <c r="F719">
        <v>945.6</v>
      </c>
      <c r="G719">
        <v>1024.4000000000001</v>
      </c>
      <c r="H719" s="7">
        <v>0</v>
      </c>
      <c r="I719">
        <v>0</v>
      </c>
      <c r="J719">
        <v>0</v>
      </c>
      <c r="K719" s="8">
        <v>0</v>
      </c>
      <c r="L719">
        <v>120</v>
      </c>
      <c r="M719">
        <v>90</v>
      </c>
      <c r="N719" s="10">
        <v>59.5</v>
      </c>
      <c r="O719" s="2">
        <f t="shared" si="26"/>
        <v>330.53130000000004</v>
      </c>
      <c r="P719" s="2">
        <f t="shared" si="25"/>
        <v>152.62725</v>
      </c>
      <c r="Q719">
        <v>0</v>
      </c>
    </row>
    <row r="720" spans="1:17" x14ac:dyDescent="0.25">
      <c r="A720" s="15"/>
      <c r="B720" s="15"/>
      <c r="C720" s="3">
        <f t="shared" si="24"/>
        <v>25</v>
      </c>
      <c r="D720">
        <v>300</v>
      </c>
      <c r="E720">
        <v>75</v>
      </c>
      <c r="F720">
        <v>945.6</v>
      </c>
      <c r="G720">
        <v>1024.4000000000001</v>
      </c>
      <c r="H720" s="7">
        <v>0</v>
      </c>
      <c r="I720">
        <v>0</v>
      </c>
      <c r="J720">
        <v>0</v>
      </c>
      <c r="K720" s="8">
        <v>0</v>
      </c>
      <c r="L720">
        <v>165</v>
      </c>
      <c r="M720">
        <v>90</v>
      </c>
      <c r="N720" s="10">
        <v>52</v>
      </c>
      <c r="O720" s="2">
        <f t="shared" si="26"/>
        <v>316.90380000000005</v>
      </c>
      <c r="P720" s="2">
        <f t="shared" si="25"/>
        <v>145.596</v>
      </c>
      <c r="Q720">
        <v>0</v>
      </c>
    </row>
    <row r="721" spans="1:17" x14ac:dyDescent="0.25">
      <c r="A721" s="15"/>
      <c r="B721" s="15"/>
      <c r="C721" s="3">
        <f t="shared" si="24"/>
        <v>11.111111111111111</v>
      </c>
      <c r="D721">
        <v>495</v>
      </c>
      <c r="E721">
        <v>55</v>
      </c>
      <c r="F721">
        <v>873.12</v>
      </c>
      <c r="G721">
        <v>945.88</v>
      </c>
      <c r="H721" s="7">
        <v>0</v>
      </c>
      <c r="I721">
        <v>0</v>
      </c>
      <c r="J721">
        <v>0</v>
      </c>
      <c r="K721" s="8">
        <v>5.8</v>
      </c>
      <c r="L721">
        <v>160</v>
      </c>
      <c r="M721">
        <v>90</v>
      </c>
      <c r="N721" s="10">
        <v>83.2</v>
      </c>
      <c r="O721" s="2">
        <f t="shared" si="26"/>
        <v>483.67825999999997</v>
      </c>
      <c r="P721" s="2">
        <f t="shared" si="25"/>
        <v>224.88419999999999</v>
      </c>
      <c r="Q721">
        <v>0</v>
      </c>
    </row>
    <row r="722" spans="1:17" x14ac:dyDescent="0.25">
      <c r="A722" s="15"/>
      <c r="B722" s="15"/>
      <c r="C722" s="3">
        <f t="shared" si="24"/>
        <v>0</v>
      </c>
      <c r="D722">
        <v>500</v>
      </c>
      <c r="E722">
        <v>0</v>
      </c>
      <c r="F722">
        <v>907.68</v>
      </c>
      <c r="G722">
        <v>983.32</v>
      </c>
      <c r="H722" s="7">
        <v>0</v>
      </c>
      <c r="I722">
        <v>0</v>
      </c>
      <c r="J722">
        <v>0</v>
      </c>
      <c r="K722" s="8">
        <v>5.5</v>
      </c>
      <c r="L722">
        <v>160</v>
      </c>
      <c r="M722">
        <v>90</v>
      </c>
      <c r="N722" s="10">
        <v>66.8</v>
      </c>
      <c r="O722" s="2">
        <f t="shared" si="26"/>
        <v>483.75114000000002</v>
      </c>
      <c r="P722" s="2">
        <f t="shared" si="25"/>
        <v>227.51879999999997</v>
      </c>
      <c r="Q722">
        <v>0</v>
      </c>
    </row>
    <row r="723" spans="1:17" x14ac:dyDescent="0.25">
      <c r="A723" s="15"/>
      <c r="B723" s="15"/>
      <c r="C723" s="3">
        <f t="shared" si="24"/>
        <v>25</v>
      </c>
      <c r="D723">
        <v>400</v>
      </c>
      <c r="E723">
        <v>100</v>
      </c>
      <c r="F723">
        <v>892.32</v>
      </c>
      <c r="G723">
        <v>966.68</v>
      </c>
      <c r="H723" s="7">
        <v>0</v>
      </c>
      <c r="I723">
        <v>0</v>
      </c>
      <c r="J723">
        <v>0</v>
      </c>
      <c r="K723" s="8">
        <v>6.22</v>
      </c>
      <c r="L723">
        <v>170</v>
      </c>
      <c r="M723">
        <v>90</v>
      </c>
      <c r="N723" s="10">
        <v>82.2</v>
      </c>
      <c r="O723" s="2">
        <f t="shared" si="26"/>
        <v>411.53386</v>
      </c>
      <c r="P723" s="2">
        <f t="shared" si="25"/>
        <v>190.56119999999999</v>
      </c>
      <c r="Q723">
        <v>0</v>
      </c>
    </row>
    <row r="724" spans="1:17" x14ac:dyDescent="0.25">
      <c r="A724" s="15"/>
      <c r="B724" s="15"/>
      <c r="C724" s="3">
        <f t="shared" si="24"/>
        <v>17.647058823529413</v>
      </c>
      <c r="D724">
        <v>425</v>
      </c>
      <c r="E724">
        <v>75</v>
      </c>
      <c r="F724">
        <v>884.64</v>
      </c>
      <c r="G724">
        <v>958.36</v>
      </c>
      <c r="H724" s="7">
        <v>0</v>
      </c>
      <c r="I724">
        <v>0</v>
      </c>
      <c r="J724">
        <v>0</v>
      </c>
      <c r="K724" s="8">
        <v>5</v>
      </c>
      <c r="L724">
        <v>203</v>
      </c>
      <c r="M724">
        <v>90</v>
      </c>
      <c r="N724" s="10">
        <v>75.8</v>
      </c>
      <c r="O724" s="2">
        <f t="shared" si="26"/>
        <v>426.77521999999999</v>
      </c>
      <c r="P724" s="2">
        <f t="shared" si="25"/>
        <v>197.83739999999997</v>
      </c>
      <c r="Q724">
        <v>0</v>
      </c>
    </row>
    <row r="725" spans="1:17" x14ac:dyDescent="0.25">
      <c r="A725" s="15"/>
      <c r="B725" s="15"/>
      <c r="C725" s="3">
        <f t="shared" si="24"/>
        <v>5.2197802197802199</v>
      </c>
      <c r="D725">
        <v>364</v>
      </c>
      <c r="E725">
        <v>19</v>
      </c>
      <c r="F725">
        <v>828</v>
      </c>
      <c r="G725">
        <v>897</v>
      </c>
      <c r="H725" s="7">
        <v>0</v>
      </c>
      <c r="I725">
        <v>0</v>
      </c>
      <c r="J725">
        <v>0</v>
      </c>
      <c r="K725" s="8">
        <v>0</v>
      </c>
      <c r="L725">
        <v>203</v>
      </c>
      <c r="M725">
        <v>90</v>
      </c>
      <c r="N725" s="10">
        <v>43.3</v>
      </c>
      <c r="O725" s="2">
        <f t="shared" si="26"/>
        <v>356.76230000000004</v>
      </c>
      <c r="P725" s="2">
        <f t="shared" si="25"/>
        <v>165.48</v>
      </c>
      <c r="Q725">
        <v>0</v>
      </c>
    </row>
    <row r="726" spans="1:17" x14ac:dyDescent="0.25">
      <c r="A726" s="15"/>
      <c r="B726" s="15"/>
      <c r="C726" s="3">
        <f t="shared" si="24"/>
        <v>25.163398692810457</v>
      </c>
      <c r="D726">
        <v>306</v>
      </c>
      <c r="E726">
        <v>77</v>
      </c>
      <c r="F726">
        <v>828</v>
      </c>
      <c r="G726">
        <v>897</v>
      </c>
      <c r="H726" s="7">
        <v>0</v>
      </c>
      <c r="I726">
        <v>0</v>
      </c>
      <c r="J726">
        <v>0</v>
      </c>
      <c r="K726" s="8">
        <v>0</v>
      </c>
      <c r="L726">
        <v>203</v>
      </c>
      <c r="M726">
        <v>90</v>
      </c>
      <c r="N726" s="10">
        <v>46</v>
      </c>
      <c r="O726" s="2">
        <f t="shared" si="26"/>
        <v>314.60790000000003</v>
      </c>
      <c r="P726" s="2">
        <f t="shared" si="25"/>
        <v>143.72999999999999</v>
      </c>
      <c r="Q726">
        <v>0</v>
      </c>
    </row>
    <row r="727" spans="1:17" x14ac:dyDescent="0.25">
      <c r="A727" s="15"/>
      <c r="B727" s="15"/>
      <c r="C727" s="3">
        <f t="shared" ref="C727:C790" si="27">SUM(E727/D727)*100</f>
        <v>53.815261044176708</v>
      </c>
      <c r="D727">
        <v>249</v>
      </c>
      <c r="E727">
        <v>134</v>
      </c>
      <c r="F727">
        <v>828</v>
      </c>
      <c r="G727">
        <v>897</v>
      </c>
      <c r="H727" s="7">
        <v>0</v>
      </c>
      <c r="I727">
        <v>0</v>
      </c>
      <c r="J727">
        <v>0</v>
      </c>
      <c r="K727" s="8">
        <v>0</v>
      </c>
      <c r="L727">
        <v>150</v>
      </c>
      <c r="M727">
        <v>90</v>
      </c>
      <c r="N727" s="10">
        <v>37.200000000000003</v>
      </c>
      <c r="O727" s="2">
        <f t="shared" si="26"/>
        <v>273.18029999999999</v>
      </c>
      <c r="P727" s="2">
        <f t="shared" si="25"/>
        <v>122.355</v>
      </c>
      <c r="Q727">
        <v>0</v>
      </c>
    </row>
    <row r="728" spans="1:17" x14ac:dyDescent="0.25">
      <c r="A728" s="15"/>
      <c r="B728" s="15"/>
      <c r="C728" s="3">
        <f t="shared" si="27"/>
        <v>0</v>
      </c>
      <c r="D728">
        <v>375</v>
      </c>
      <c r="E728">
        <v>0</v>
      </c>
      <c r="F728">
        <v>945.6</v>
      </c>
      <c r="G728">
        <v>1024.4000000000001</v>
      </c>
      <c r="H728" s="7">
        <v>0</v>
      </c>
      <c r="I728">
        <v>0</v>
      </c>
      <c r="J728">
        <v>0</v>
      </c>
      <c r="K728" s="8">
        <v>0</v>
      </c>
      <c r="L728">
        <v>142.5</v>
      </c>
      <c r="M728">
        <v>90</v>
      </c>
      <c r="N728" s="10">
        <v>55.5</v>
      </c>
      <c r="O728" s="2">
        <f t="shared" si="26"/>
        <v>371.41380000000004</v>
      </c>
      <c r="P728" s="2">
        <f t="shared" si="25"/>
        <v>173.721</v>
      </c>
      <c r="Q728">
        <v>0</v>
      </c>
    </row>
    <row r="729" spans="1:17" x14ac:dyDescent="0.25">
      <c r="A729" s="15"/>
      <c r="B729" s="15"/>
      <c r="C729" s="3">
        <f t="shared" si="27"/>
        <v>5.2631578947368416</v>
      </c>
      <c r="D729">
        <v>356.25</v>
      </c>
      <c r="E729">
        <v>18.75</v>
      </c>
      <c r="F729">
        <v>945.6</v>
      </c>
      <c r="G729">
        <v>1024.4000000000001</v>
      </c>
      <c r="H729" s="7">
        <v>0</v>
      </c>
      <c r="I729">
        <v>0</v>
      </c>
      <c r="J729">
        <v>0</v>
      </c>
      <c r="K729" s="8">
        <v>0</v>
      </c>
      <c r="L729">
        <v>135</v>
      </c>
      <c r="M729">
        <v>90</v>
      </c>
      <c r="N729" s="10">
        <v>56.5</v>
      </c>
      <c r="O729" s="2">
        <f t="shared" si="26"/>
        <v>357.78630000000004</v>
      </c>
      <c r="P729" s="2">
        <f t="shared" si="25"/>
        <v>166.68975</v>
      </c>
      <c r="Q729">
        <v>0</v>
      </c>
    </row>
    <row r="730" spans="1:17" x14ac:dyDescent="0.25">
      <c r="A730" s="15"/>
      <c r="B730" s="15"/>
      <c r="C730" s="3">
        <f t="shared" si="27"/>
        <v>11.111111111111111</v>
      </c>
      <c r="D730">
        <v>337.5</v>
      </c>
      <c r="E730">
        <v>37.5</v>
      </c>
      <c r="F730">
        <v>945.6</v>
      </c>
      <c r="G730">
        <v>1024.4000000000001</v>
      </c>
      <c r="H730" s="7">
        <v>0</v>
      </c>
      <c r="I730">
        <v>0</v>
      </c>
      <c r="J730">
        <v>0</v>
      </c>
      <c r="K730" s="8">
        <v>0</v>
      </c>
      <c r="L730">
        <v>127.5</v>
      </c>
      <c r="M730">
        <v>90</v>
      </c>
      <c r="N730" s="10">
        <v>63</v>
      </c>
      <c r="O730" s="2">
        <f t="shared" si="26"/>
        <v>344.15880000000004</v>
      </c>
      <c r="P730" s="2">
        <f t="shared" si="25"/>
        <v>159.6585</v>
      </c>
      <c r="Q730">
        <v>0</v>
      </c>
    </row>
    <row r="731" spans="1:17" x14ac:dyDescent="0.25">
      <c r="A731" s="15"/>
      <c r="B731" s="15"/>
      <c r="C731" s="3">
        <f t="shared" si="27"/>
        <v>17.647058823529413</v>
      </c>
      <c r="D731">
        <v>318.75</v>
      </c>
      <c r="E731">
        <v>56.25</v>
      </c>
      <c r="F731">
        <v>945.6</v>
      </c>
      <c r="G731">
        <v>1024.4000000000001</v>
      </c>
      <c r="H731" s="7">
        <v>0</v>
      </c>
      <c r="I731">
        <v>0</v>
      </c>
      <c r="J731">
        <v>0</v>
      </c>
      <c r="K731" s="8">
        <v>0</v>
      </c>
      <c r="L731">
        <v>120</v>
      </c>
      <c r="M731">
        <v>90</v>
      </c>
      <c r="N731" s="10">
        <v>64</v>
      </c>
      <c r="O731" s="2">
        <f t="shared" si="26"/>
        <v>330.53130000000004</v>
      </c>
      <c r="P731" s="2">
        <f t="shared" si="25"/>
        <v>152.62725</v>
      </c>
      <c r="Q731">
        <v>0</v>
      </c>
    </row>
    <row r="732" spans="1:17" x14ac:dyDescent="0.25">
      <c r="A732" s="15"/>
      <c r="B732" s="15"/>
      <c r="C732" s="3">
        <f t="shared" si="27"/>
        <v>25</v>
      </c>
      <c r="D732">
        <v>300</v>
      </c>
      <c r="E732">
        <v>75</v>
      </c>
      <c r="F732">
        <v>945.6</v>
      </c>
      <c r="G732">
        <v>1024.4000000000001</v>
      </c>
      <c r="H732" s="7">
        <v>0</v>
      </c>
      <c r="I732">
        <v>0</v>
      </c>
      <c r="J732">
        <v>0</v>
      </c>
      <c r="K732" s="8">
        <v>0</v>
      </c>
      <c r="L732">
        <v>189</v>
      </c>
      <c r="M732">
        <v>90</v>
      </c>
      <c r="N732" s="10">
        <v>61</v>
      </c>
      <c r="O732" s="2">
        <f t="shared" si="26"/>
        <v>316.90380000000005</v>
      </c>
      <c r="P732" s="2">
        <f t="shared" si="25"/>
        <v>145.596</v>
      </c>
      <c r="Q732">
        <v>0</v>
      </c>
    </row>
    <row r="733" spans="1:17" x14ac:dyDescent="0.25">
      <c r="A733" s="15"/>
      <c r="B733" s="15"/>
      <c r="C733" s="3">
        <f t="shared" si="27"/>
        <v>11.111111111111111</v>
      </c>
      <c r="D733">
        <v>378</v>
      </c>
      <c r="E733">
        <v>42</v>
      </c>
      <c r="F733">
        <v>868.8</v>
      </c>
      <c r="G733">
        <v>941.2</v>
      </c>
      <c r="H733" s="7">
        <v>0</v>
      </c>
      <c r="I733">
        <v>0</v>
      </c>
      <c r="J733">
        <v>0</v>
      </c>
      <c r="K733" s="8">
        <v>0</v>
      </c>
      <c r="L733">
        <v>165</v>
      </c>
      <c r="M733">
        <v>90</v>
      </c>
      <c r="N733" s="10">
        <v>59</v>
      </c>
      <c r="O733" s="2">
        <f t="shared" si="26"/>
        <v>373.35180000000003</v>
      </c>
      <c r="P733" s="2">
        <f t="shared" si="25"/>
        <v>172.15799999999999</v>
      </c>
      <c r="Q733">
        <v>0</v>
      </c>
    </row>
    <row r="734" spans="1:17" x14ac:dyDescent="0.25">
      <c r="A734" s="15"/>
      <c r="B734" s="15"/>
      <c r="C734" s="3">
        <f t="shared" si="27"/>
        <v>11.111111111111111</v>
      </c>
      <c r="D734">
        <v>495</v>
      </c>
      <c r="E734">
        <v>55</v>
      </c>
      <c r="F734">
        <v>873.12</v>
      </c>
      <c r="G734">
        <v>945.88</v>
      </c>
      <c r="H734" s="7">
        <v>0</v>
      </c>
      <c r="I734">
        <v>0</v>
      </c>
      <c r="J734">
        <v>0</v>
      </c>
      <c r="K734" s="8">
        <v>6.8</v>
      </c>
      <c r="L734">
        <v>160</v>
      </c>
      <c r="M734">
        <v>90</v>
      </c>
      <c r="N734" s="10">
        <v>104.1</v>
      </c>
      <c r="O734" s="2">
        <f t="shared" si="26"/>
        <v>485.67825999999997</v>
      </c>
      <c r="P734" s="2">
        <f t="shared" si="25"/>
        <v>226.38419999999999</v>
      </c>
      <c r="Q734">
        <v>0</v>
      </c>
    </row>
    <row r="735" spans="1:17" x14ac:dyDescent="0.25">
      <c r="A735" s="15"/>
      <c r="B735" s="15"/>
      <c r="C735" s="3">
        <f t="shared" si="27"/>
        <v>0</v>
      </c>
      <c r="D735">
        <v>500</v>
      </c>
      <c r="E735">
        <v>0</v>
      </c>
      <c r="F735">
        <v>907.68</v>
      </c>
      <c r="G735">
        <v>983.32</v>
      </c>
      <c r="H735" s="7">
        <v>0</v>
      </c>
      <c r="I735">
        <v>0</v>
      </c>
      <c r="J735">
        <v>0</v>
      </c>
      <c r="K735" s="8">
        <v>6.5</v>
      </c>
      <c r="L735">
        <v>160</v>
      </c>
      <c r="M735">
        <v>90</v>
      </c>
      <c r="N735" s="10">
        <v>94</v>
      </c>
      <c r="O735" s="2">
        <f t="shared" si="26"/>
        <v>485.75114000000002</v>
      </c>
      <c r="P735" s="2">
        <f t="shared" si="25"/>
        <v>229.01879999999997</v>
      </c>
      <c r="Q735">
        <v>0</v>
      </c>
    </row>
    <row r="736" spans="1:17" x14ac:dyDescent="0.25">
      <c r="A736" s="15"/>
      <c r="B736" s="15"/>
      <c r="C736" s="3">
        <f t="shared" si="27"/>
        <v>25</v>
      </c>
      <c r="D736">
        <v>400</v>
      </c>
      <c r="E736">
        <v>100</v>
      </c>
      <c r="F736">
        <v>892.32</v>
      </c>
      <c r="G736">
        <v>966.68</v>
      </c>
      <c r="H736" s="7">
        <v>0</v>
      </c>
      <c r="I736">
        <v>0</v>
      </c>
      <c r="J736">
        <v>0</v>
      </c>
      <c r="K736" s="8">
        <v>7.36</v>
      </c>
      <c r="L736">
        <v>170</v>
      </c>
      <c r="M736">
        <v>7</v>
      </c>
      <c r="N736" s="10">
        <v>103.3</v>
      </c>
      <c r="O736" s="2">
        <f t="shared" si="26"/>
        <v>413.81386000000003</v>
      </c>
      <c r="P736" s="2">
        <f t="shared" si="25"/>
        <v>192.27119999999999</v>
      </c>
      <c r="Q736">
        <v>0</v>
      </c>
    </row>
    <row r="737" spans="1:17" x14ac:dyDescent="0.25">
      <c r="A737" s="15"/>
      <c r="B737" s="15"/>
      <c r="C737" s="3">
        <f t="shared" si="27"/>
        <v>17.647058823529413</v>
      </c>
      <c r="D737">
        <v>425</v>
      </c>
      <c r="E737">
        <v>75</v>
      </c>
      <c r="F737">
        <v>884.64</v>
      </c>
      <c r="G737">
        <v>958.36</v>
      </c>
      <c r="H737" s="7">
        <v>0</v>
      </c>
      <c r="I737">
        <v>0</v>
      </c>
      <c r="J737">
        <v>0</v>
      </c>
      <c r="K737" s="8">
        <v>6.4</v>
      </c>
      <c r="L737">
        <v>169.31200000000001</v>
      </c>
      <c r="M737">
        <v>7</v>
      </c>
      <c r="N737" s="10">
        <v>99.1</v>
      </c>
      <c r="O737" s="2">
        <f t="shared" si="26"/>
        <v>429.57522</v>
      </c>
      <c r="P737" s="2">
        <f t="shared" si="25"/>
        <v>199.9374</v>
      </c>
      <c r="Q737">
        <v>0</v>
      </c>
    </row>
    <row r="738" spans="1:17" x14ac:dyDescent="0.25">
      <c r="A738" s="15"/>
      <c r="B738" s="15"/>
      <c r="C738" s="3">
        <f t="shared" si="27"/>
        <v>10</v>
      </c>
      <c r="D738">
        <v>481</v>
      </c>
      <c r="E738">
        <v>48.1</v>
      </c>
      <c r="F738">
        <v>499.2</v>
      </c>
      <c r="G738">
        <v>540.79999999999995</v>
      </c>
      <c r="H738" s="7">
        <v>0</v>
      </c>
      <c r="I738">
        <v>0</v>
      </c>
      <c r="J738">
        <v>0</v>
      </c>
      <c r="K738" s="8">
        <v>3.367</v>
      </c>
      <c r="L738">
        <v>163.96799999999999</v>
      </c>
      <c r="M738">
        <v>7</v>
      </c>
      <c r="N738" s="10">
        <v>39.5</v>
      </c>
      <c r="O738" s="2">
        <f t="shared" si="26"/>
        <v>442.6895199999999</v>
      </c>
      <c r="P738" s="2">
        <f t="shared" si="25"/>
        <v>202.89750000000001</v>
      </c>
      <c r="Q738">
        <v>0</v>
      </c>
    </row>
    <row r="739" spans="1:17" x14ac:dyDescent="0.25">
      <c r="A739" s="15"/>
      <c r="B739" s="15"/>
      <c r="C739" s="3">
        <f t="shared" si="27"/>
        <v>20</v>
      </c>
      <c r="D739">
        <v>427</v>
      </c>
      <c r="E739">
        <v>85.4</v>
      </c>
      <c r="F739">
        <v>499.2</v>
      </c>
      <c r="G739">
        <v>540.79999999999995</v>
      </c>
      <c r="H739" s="7">
        <v>0</v>
      </c>
      <c r="I739">
        <v>0</v>
      </c>
      <c r="J739">
        <v>0</v>
      </c>
      <c r="K739" s="8">
        <v>3.4159999999999999</v>
      </c>
      <c r="L739">
        <v>183.04</v>
      </c>
      <c r="M739">
        <v>7</v>
      </c>
      <c r="N739" s="10">
        <v>30.5</v>
      </c>
      <c r="O739" s="2">
        <f t="shared" si="26"/>
        <v>401.81687999999997</v>
      </c>
      <c r="P739" s="2">
        <f t="shared" si="25"/>
        <v>182.72099999999998</v>
      </c>
      <c r="Q739">
        <v>0</v>
      </c>
    </row>
    <row r="740" spans="1:17" x14ac:dyDescent="0.25">
      <c r="A740" s="15"/>
      <c r="B740" s="15"/>
      <c r="C740" s="3">
        <f t="shared" si="27"/>
        <v>10</v>
      </c>
      <c r="D740">
        <v>416</v>
      </c>
      <c r="E740">
        <v>41.6</v>
      </c>
      <c r="F740">
        <v>499.68</v>
      </c>
      <c r="G740">
        <v>541.32000000000005</v>
      </c>
      <c r="H740" s="7">
        <v>0</v>
      </c>
      <c r="I740">
        <v>0</v>
      </c>
      <c r="J740">
        <v>0</v>
      </c>
      <c r="K740" s="8">
        <v>1.1232</v>
      </c>
      <c r="L740">
        <v>177.6</v>
      </c>
      <c r="M740">
        <v>7</v>
      </c>
      <c r="N740" s="10">
        <v>29.7</v>
      </c>
      <c r="O740" s="2">
        <f t="shared" si="26"/>
        <v>383.61165999999997</v>
      </c>
      <c r="P740" s="2">
        <f t="shared" si="25"/>
        <v>175.17359999999999</v>
      </c>
      <c r="Q740">
        <v>0</v>
      </c>
    </row>
    <row r="741" spans="1:17" x14ac:dyDescent="0.25">
      <c r="A741" s="15"/>
      <c r="B741" s="15"/>
      <c r="C741" s="3">
        <f t="shared" si="27"/>
        <v>20</v>
      </c>
      <c r="D741">
        <v>370</v>
      </c>
      <c r="E741">
        <v>74</v>
      </c>
      <c r="F741">
        <v>499.68</v>
      </c>
      <c r="G741">
        <v>541.32000000000005</v>
      </c>
      <c r="H741" s="7">
        <v>0</v>
      </c>
      <c r="I741">
        <v>0</v>
      </c>
      <c r="J741">
        <v>0</v>
      </c>
      <c r="K741" s="8">
        <v>1.85</v>
      </c>
      <c r="L741">
        <v>201.85</v>
      </c>
      <c r="M741">
        <v>7</v>
      </c>
      <c r="N741" s="10">
        <v>23.6</v>
      </c>
      <c r="O741" s="2">
        <f t="shared" si="26"/>
        <v>350.22893999999997</v>
      </c>
      <c r="P741" s="2">
        <f t="shared" si="25"/>
        <v>159.0138</v>
      </c>
      <c r="Q741">
        <v>0</v>
      </c>
    </row>
    <row r="742" spans="1:17" x14ac:dyDescent="0.25">
      <c r="A742" s="15"/>
      <c r="B742" s="15"/>
      <c r="C742" s="3">
        <f t="shared" si="27"/>
        <v>10</v>
      </c>
      <c r="D742">
        <v>367</v>
      </c>
      <c r="E742">
        <v>36.700000000000003</v>
      </c>
      <c r="F742">
        <v>499.68</v>
      </c>
      <c r="G742">
        <v>541.32000000000005</v>
      </c>
      <c r="H742" s="7">
        <v>0</v>
      </c>
      <c r="I742">
        <v>0</v>
      </c>
      <c r="J742">
        <v>0</v>
      </c>
      <c r="K742" s="8">
        <v>1.101</v>
      </c>
      <c r="L742">
        <v>196.2</v>
      </c>
      <c r="M742">
        <v>28</v>
      </c>
      <c r="N742" s="10">
        <v>22.7</v>
      </c>
      <c r="O742" s="2">
        <f t="shared" si="26"/>
        <v>342.39158000000003</v>
      </c>
      <c r="P742" s="2">
        <f t="shared" si="25"/>
        <v>156.7653</v>
      </c>
      <c r="Q742">
        <v>0</v>
      </c>
    </row>
    <row r="743" spans="1:17" x14ac:dyDescent="0.25">
      <c r="A743" s="15"/>
      <c r="B743" s="15"/>
      <c r="C743" s="3">
        <f t="shared" si="27"/>
        <v>20</v>
      </c>
      <c r="D743">
        <v>327</v>
      </c>
      <c r="E743">
        <v>65.400000000000006</v>
      </c>
      <c r="F743">
        <v>499.68</v>
      </c>
      <c r="G743">
        <v>541.32000000000005</v>
      </c>
      <c r="H743" s="7">
        <v>0</v>
      </c>
      <c r="I743">
        <v>0</v>
      </c>
      <c r="J743">
        <v>0</v>
      </c>
      <c r="K743" s="8">
        <v>1.3080000000000001</v>
      </c>
      <c r="L743">
        <v>169.31200000000001</v>
      </c>
      <c r="M743">
        <v>28</v>
      </c>
      <c r="N743" s="10">
        <v>20.8</v>
      </c>
      <c r="O743" s="2">
        <f t="shared" si="26"/>
        <v>312.56741999999997</v>
      </c>
      <c r="P743" s="2">
        <f t="shared" si="25"/>
        <v>142.07579999999999</v>
      </c>
      <c r="Q743">
        <v>0</v>
      </c>
    </row>
    <row r="744" spans="1:17" x14ac:dyDescent="0.25">
      <c r="A744" s="15"/>
      <c r="B744" s="15"/>
      <c r="C744" s="3">
        <f t="shared" si="27"/>
        <v>10</v>
      </c>
      <c r="D744">
        <v>481</v>
      </c>
      <c r="E744">
        <v>48.1</v>
      </c>
      <c r="F744">
        <v>499.2</v>
      </c>
      <c r="G744">
        <v>540.79999999999995</v>
      </c>
      <c r="H744" s="7">
        <v>0</v>
      </c>
      <c r="I744">
        <v>0</v>
      </c>
      <c r="J744">
        <v>0</v>
      </c>
      <c r="K744" s="8">
        <v>3.367</v>
      </c>
      <c r="L744">
        <v>163.96799999999999</v>
      </c>
      <c r="M744">
        <v>28</v>
      </c>
      <c r="N744" s="10">
        <v>51.4</v>
      </c>
      <c r="O744" s="2">
        <f t="shared" si="26"/>
        <v>442.6895199999999</v>
      </c>
      <c r="P744" s="2">
        <f t="shared" si="25"/>
        <v>202.89750000000001</v>
      </c>
      <c r="Q744">
        <v>0</v>
      </c>
    </row>
    <row r="745" spans="1:17" x14ac:dyDescent="0.25">
      <c r="A745" s="15"/>
      <c r="B745" s="15"/>
      <c r="C745" s="3">
        <f t="shared" si="27"/>
        <v>20</v>
      </c>
      <c r="D745">
        <v>427</v>
      </c>
      <c r="E745">
        <v>85.4</v>
      </c>
      <c r="F745">
        <v>499.2</v>
      </c>
      <c r="G745">
        <v>540.79999999999995</v>
      </c>
      <c r="H745" s="7">
        <v>0</v>
      </c>
      <c r="I745">
        <v>0</v>
      </c>
      <c r="J745">
        <v>0</v>
      </c>
      <c r="K745" s="8">
        <v>3.4159999999999999</v>
      </c>
      <c r="L745">
        <v>183.04</v>
      </c>
      <c r="M745">
        <v>28</v>
      </c>
      <c r="N745" s="10">
        <v>47.4</v>
      </c>
      <c r="O745" s="2">
        <f t="shared" si="26"/>
        <v>401.81687999999997</v>
      </c>
      <c r="P745" s="2">
        <f t="shared" si="25"/>
        <v>182.72099999999998</v>
      </c>
      <c r="Q745">
        <v>0</v>
      </c>
    </row>
    <row r="746" spans="1:17" x14ac:dyDescent="0.25">
      <c r="A746" s="15"/>
      <c r="B746" s="15"/>
      <c r="C746" s="3">
        <f t="shared" si="27"/>
        <v>10</v>
      </c>
      <c r="D746">
        <v>416</v>
      </c>
      <c r="E746">
        <v>41.6</v>
      </c>
      <c r="F746">
        <v>499.68</v>
      </c>
      <c r="G746">
        <v>541.32000000000005</v>
      </c>
      <c r="H746" s="7">
        <v>0</v>
      </c>
      <c r="I746">
        <v>0</v>
      </c>
      <c r="J746">
        <v>0</v>
      </c>
      <c r="K746" s="8">
        <v>1.1232</v>
      </c>
      <c r="L746">
        <v>177.6</v>
      </c>
      <c r="M746">
        <v>28</v>
      </c>
      <c r="N746" s="10">
        <v>40.799999999999997</v>
      </c>
      <c r="O746" s="2">
        <f t="shared" si="26"/>
        <v>383.61165999999997</v>
      </c>
      <c r="P746" s="2">
        <f t="shared" si="25"/>
        <v>175.17359999999999</v>
      </c>
      <c r="Q746">
        <v>0</v>
      </c>
    </row>
    <row r="747" spans="1:17" x14ac:dyDescent="0.25">
      <c r="A747" s="15"/>
      <c r="B747" s="15"/>
      <c r="C747" s="3">
        <f t="shared" si="27"/>
        <v>20</v>
      </c>
      <c r="D747">
        <v>370</v>
      </c>
      <c r="E747">
        <v>74</v>
      </c>
      <c r="F747">
        <v>499.68</v>
      </c>
      <c r="G747">
        <v>541.32000000000005</v>
      </c>
      <c r="H747" s="7">
        <v>0</v>
      </c>
      <c r="I747">
        <v>0</v>
      </c>
      <c r="J747">
        <v>0</v>
      </c>
      <c r="K747" s="8">
        <v>1.85</v>
      </c>
      <c r="L747">
        <v>201.85</v>
      </c>
      <c r="M747">
        <v>28</v>
      </c>
      <c r="N747" s="10">
        <v>39.4</v>
      </c>
      <c r="O747" s="2">
        <f t="shared" si="26"/>
        <v>350.22893999999997</v>
      </c>
      <c r="P747" s="2">
        <f t="shared" si="25"/>
        <v>159.0138</v>
      </c>
      <c r="Q747">
        <v>0</v>
      </c>
    </row>
    <row r="748" spans="1:17" x14ac:dyDescent="0.25">
      <c r="A748" s="15"/>
      <c r="B748" s="15"/>
      <c r="C748" s="3">
        <f t="shared" si="27"/>
        <v>10</v>
      </c>
      <c r="D748">
        <v>367</v>
      </c>
      <c r="E748">
        <v>36.700000000000003</v>
      </c>
      <c r="F748">
        <v>499.68</v>
      </c>
      <c r="G748">
        <v>541.32000000000005</v>
      </c>
      <c r="H748" s="7">
        <v>0</v>
      </c>
      <c r="I748">
        <v>0</v>
      </c>
      <c r="J748">
        <v>0</v>
      </c>
      <c r="K748" s="8">
        <v>1.101</v>
      </c>
      <c r="L748">
        <v>196.2</v>
      </c>
      <c r="M748">
        <v>90</v>
      </c>
      <c r="N748" s="10">
        <v>34.5</v>
      </c>
      <c r="O748" s="2">
        <f t="shared" si="26"/>
        <v>342.39158000000003</v>
      </c>
      <c r="P748" s="2">
        <f t="shared" si="25"/>
        <v>156.7653</v>
      </c>
      <c r="Q748">
        <v>0</v>
      </c>
    </row>
    <row r="749" spans="1:17" x14ac:dyDescent="0.25">
      <c r="A749" s="15"/>
      <c r="B749" s="15"/>
      <c r="C749" s="3">
        <f t="shared" si="27"/>
        <v>20</v>
      </c>
      <c r="D749">
        <v>327</v>
      </c>
      <c r="E749">
        <v>65.400000000000006</v>
      </c>
      <c r="F749">
        <v>499.68</v>
      </c>
      <c r="G749">
        <v>541.32000000000005</v>
      </c>
      <c r="H749" s="7">
        <v>0</v>
      </c>
      <c r="I749">
        <v>0</v>
      </c>
      <c r="J749">
        <v>0</v>
      </c>
      <c r="K749" s="8">
        <v>1.3080000000000001</v>
      </c>
      <c r="L749">
        <v>169.31200000000001</v>
      </c>
      <c r="M749">
        <v>90</v>
      </c>
      <c r="N749" s="10">
        <v>35.9</v>
      </c>
      <c r="O749" s="2">
        <f t="shared" si="26"/>
        <v>312.56741999999997</v>
      </c>
      <c r="P749" s="2">
        <f t="shared" si="25"/>
        <v>142.07579999999999</v>
      </c>
      <c r="Q749">
        <v>0</v>
      </c>
    </row>
    <row r="750" spans="1:17" x14ac:dyDescent="0.25">
      <c r="A750" s="15"/>
      <c r="B750" s="15"/>
      <c r="C750" s="3">
        <f t="shared" si="27"/>
        <v>10</v>
      </c>
      <c r="D750">
        <v>481</v>
      </c>
      <c r="E750">
        <v>48.1</v>
      </c>
      <c r="F750">
        <v>499.2</v>
      </c>
      <c r="G750">
        <v>540.79999999999995</v>
      </c>
      <c r="H750" s="7">
        <v>0</v>
      </c>
      <c r="I750">
        <v>0</v>
      </c>
      <c r="J750">
        <v>0</v>
      </c>
      <c r="K750" s="8">
        <v>3.367</v>
      </c>
      <c r="L750">
        <v>163.96799999999999</v>
      </c>
      <c r="M750">
        <v>90</v>
      </c>
      <c r="N750" s="10">
        <v>64.5</v>
      </c>
      <c r="O750" s="2">
        <f t="shared" si="26"/>
        <v>442.6895199999999</v>
      </c>
      <c r="P750" s="2">
        <f t="shared" si="25"/>
        <v>202.89750000000001</v>
      </c>
      <c r="Q750">
        <v>0</v>
      </c>
    </row>
    <row r="751" spans="1:17" x14ac:dyDescent="0.25">
      <c r="A751" s="15"/>
      <c r="B751" s="15"/>
      <c r="C751" s="3">
        <f t="shared" si="27"/>
        <v>20</v>
      </c>
      <c r="D751">
        <v>427</v>
      </c>
      <c r="E751">
        <v>85.4</v>
      </c>
      <c r="F751">
        <v>499.2</v>
      </c>
      <c r="G751">
        <v>540.79999999999995</v>
      </c>
      <c r="H751" s="7">
        <v>0</v>
      </c>
      <c r="I751">
        <v>0</v>
      </c>
      <c r="J751">
        <v>0</v>
      </c>
      <c r="K751" s="8">
        <v>3.4159999999999999</v>
      </c>
      <c r="L751">
        <v>183.04</v>
      </c>
      <c r="M751">
        <v>90</v>
      </c>
      <c r="N751" s="10">
        <v>68.5</v>
      </c>
      <c r="O751" s="2">
        <f t="shared" si="26"/>
        <v>401.81687999999997</v>
      </c>
      <c r="P751" s="2">
        <f t="shared" si="25"/>
        <v>182.72099999999998</v>
      </c>
      <c r="Q751">
        <v>0</v>
      </c>
    </row>
    <row r="752" spans="1:17" x14ac:dyDescent="0.25">
      <c r="A752" s="15"/>
      <c r="B752" s="15"/>
      <c r="C752" s="3">
        <f t="shared" si="27"/>
        <v>10</v>
      </c>
      <c r="D752">
        <v>416</v>
      </c>
      <c r="E752">
        <v>41.6</v>
      </c>
      <c r="F752">
        <v>499.68</v>
      </c>
      <c r="G752">
        <v>541.32000000000005</v>
      </c>
      <c r="H752" s="7">
        <v>0</v>
      </c>
      <c r="I752">
        <v>0</v>
      </c>
      <c r="J752">
        <v>0</v>
      </c>
      <c r="K752" s="8">
        <v>1.1232</v>
      </c>
      <c r="L752">
        <v>177.6</v>
      </c>
      <c r="M752">
        <v>90</v>
      </c>
      <c r="N752" s="10">
        <v>51.5</v>
      </c>
      <c r="O752" s="2">
        <f t="shared" si="26"/>
        <v>383.61165999999997</v>
      </c>
      <c r="P752" s="2">
        <f t="shared" si="25"/>
        <v>175.17359999999999</v>
      </c>
      <c r="Q752">
        <v>0</v>
      </c>
    </row>
    <row r="753" spans="1:17" x14ac:dyDescent="0.25">
      <c r="A753" s="15"/>
      <c r="B753" s="15"/>
      <c r="C753" s="3">
        <f t="shared" si="27"/>
        <v>20</v>
      </c>
      <c r="D753">
        <v>370</v>
      </c>
      <c r="E753">
        <v>74</v>
      </c>
      <c r="F753">
        <v>499.68</v>
      </c>
      <c r="G753">
        <v>541.32000000000005</v>
      </c>
      <c r="H753" s="7">
        <v>0</v>
      </c>
      <c r="I753">
        <v>0</v>
      </c>
      <c r="J753">
        <v>0</v>
      </c>
      <c r="K753" s="8">
        <v>1.85</v>
      </c>
      <c r="L753">
        <v>201.85</v>
      </c>
      <c r="M753">
        <v>90</v>
      </c>
      <c r="N753" s="10">
        <v>57.3</v>
      </c>
      <c r="O753" s="2">
        <f t="shared" si="26"/>
        <v>350.22893999999997</v>
      </c>
      <c r="P753" s="2">
        <f t="shared" si="25"/>
        <v>159.0138</v>
      </c>
      <c r="Q753">
        <v>0</v>
      </c>
    </row>
    <row r="754" spans="1:17" x14ac:dyDescent="0.25">
      <c r="A754" s="15"/>
      <c r="B754" s="15"/>
      <c r="C754" s="3">
        <f t="shared" si="27"/>
        <v>10</v>
      </c>
      <c r="D754">
        <v>367</v>
      </c>
      <c r="E754">
        <v>36.700000000000003</v>
      </c>
      <c r="F754">
        <v>499.68</v>
      </c>
      <c r="G754">
        <v>541.32000000000005</v>
      </c>
      <c r="H754" s="7">
        <v>0</v>
      </c>
      <c r="I754">
        <v>0</v>
      </c>
      <c r="J754">
        <v>0</v>
      </c>
      <c r="K754" s="8">
        <v>1.101</v>
      </c>
      <c r="L754">
        <v>196.2</v>
      </c>
      <c r="M754">
        <v>1</v>
      </c>
      <c r="N754" s="10">
        <v>44.4</v>
      </c>
      <c r="O754" s="2">
        <f t="shared" si="26"/>
        <v>342.39158000000003</v>
      </c>
      <c r="P754" s="2">
        <f t="shared" si="25"/>
        <v>156.7653</v>
      </c>
      <c r="Q754">
        <v>0</v>
      </c>
    </row>
    <row r="755" spans="1:17" x14ac:dyDescent="0.25">
      <c r="A755" s="15"/>
      <c r="B755" s="15"/>
      <c r="C755" s="3">
        <f t="shared" si="27"/>
        <v>20</v>
      </c>
      <c r="D755">
        <v>327</v>
      </c>
      <c r="E755">
        <v>65.400000000000006</v>
      </c>
      <c r="F755">
        <v>499.68</v>
      </c>
      <c r="G755">
        <v>541.32000000000005</v>
      </c>
      <c r="H755" s="7">
        <v>0</v>
      </c>
      <c r="I755">
        <v>0</v>
      </c>
      <c r="J755">
        <v>0</v>
      </c>
      <c r="K755" s="8">
        <v>1.3080000000000001</v>
      </c>
      <c r="L755">
        <v>238</v>
      </c>
      <c r="M755">
        <v>1</v>
      </c>
      <c r="N755" s="10">
        <v>52.9</v>
      </c>
      <c r="O755" s="2">
        <f t="shared" si="26"/>
        <v>312.56741999999997</v>
      </c>
      <c r="P755" s="2">
        <f t="shared" si="25"/>
        <v>142.07579999999999</v>
      </c>
      <c r="Q755">
        <v>0</v>
      </c>
    </row>
    <row r="756" spans="1:17" x14ac:dyDescent="0.25">
      <c r="A756" s="15"/>
      <c r="B756" s="15"/>
      <c r="C756" s="3">
        <f t="shared" si="27"/>
        <v>0</v>
      </c>
      <c r="D756">
        <v>450</v>
      </c>
      <c r="E756">
        <v>0</v>
      </c>
      <c r="F756">
        <v>674.4</v>
      </c>
      <c r="G756">
        <v>730.6</v>
      </c>
      <c r="H756" s="7">
        <v>0</v>
      </c>
      <c r="I756">
        <v>0</v>
      </c>
      <c r="J756">
        <v>0</v>
      </c>
      <c r="K756" s="8">
        <v>11.25</v>
      </c>
      <c r="L756">
        <v>238</v>
      </c>
      <c r="M756">
        <v>1</v>
      </c>
      <c r="N756" s="10">
        <v>31.5</v>
      </c>
      <c r="O756" s="2">
        <f t="shared" si="26"/>
        <v>438.90870000000001</v>
      </c>
      <c r="P756" s="2">
        <f t="shared" si="25"/>
        <v>209.22900000000001</v>
      </c>
      <c r="Q756">
        <v>0</v>
      </c>
    </row>
    <row r="757" spans="1:17" x14ac:dyDescent="0.25">
      <c r="A757" s="15"/>
      <c r="B757" s="15"/>
      <c r="C757" s="3">
        <f t="shared" si="27"/>
        <v>5</v>
      </c>
      <c r="D757">
        <v>427.5</v>
      </c>
      <c r="E757">
        <v>21.375</v>
      </c>
      <c r="F757">
        <v>674.4</v>
      </c>
      <c r="G757">
        <v>730.6</v>
      </c>
      <c r="H757" s="7">
        <v>0</v>
      </c>
      <c r="I757">
        <v>0</v>
      </c>
      <c r="J757">
        <v>0</v>
      </c>
      <c r="K757" s="8">
        <v>10.6875</v>
      </c>
      <c r="L757">
        <v>238</v>
      </c>
      <c r="M757">
        <v>1</v>
      </c>
      <c r="N757" s="10">
        <v>32.1</v>
      </c>
      <c r="O757" s="2">
        <f t="shared" si="26"/>
        <v>421.31459999999998</v>
      </c>
      <c r="P757" s="2">
        <f t="shared" si="25"/>
        <v>199.94775000000001</v>
      </c>
      <c r="Q757">
        <v>0</v>
      </c>
    </row>
    <row r="758" spans="1:17" x14ac:dyDescent="0.25">
      <c r="A758" s="15"/>
      <c r="B758" s="15"/>
      <c r="C758" s="3">
        <f t="shared" si="27"/>
        <v>10</v>
      </c>
      <c r="D758">
        <v>405</v>
      </c>
      <c r="E758">
        <v>40.5</v>
      </c>
      <c r="F758">
        <v>674.4</v>
      </c>
      <c r="G758">
        <v>730.6</v>
      </c>
      <c r="H758" s="7">
        <v>0</v>
      </c>
      <c r="I758">
        <v>0</v>
      </c>
      <c r="J758">
        <v>0</v>
      </c>
      <c r="K758" s="8">
        <v>10.125</v>
      </c>
      <c r="L758">
        <v>238</v>
      </c>
      <c r="M758">
        <v>1</v>
      </c>
      <c r="N758" s="10">
        <v>33.299999999999997</v>
      </c>
      <c r="O758" s="2">
        <f t="shared" si="26"/>
        <v>403.48829999999998</v>
      </c>
      <c r="P758" s="2">
        <f t="shared" si="25"/>
        <v>190.66650000000001</v>
      </c>
      <c r="Q758">
        <v>0</v>
      </c>
    </row>
    <row r="759" spans="1:17" x14ac:dyDescent="0.25">
      <c r="A759" s="15"/>
      <c r="B759" s="15"/>
      <c r="C759" s="3">
        <f t="shared" si="27"/>
        <v>15</v>
      </c>
      <c r="D759">
        <v>382.5</v>
      </c>
      <c r="E759">
        <v>57.375</v>
      </c>
      <c r="F759">
        <v>674.4</v>
      </c>
      <c r="G759">
        <v>730.6</v>
      </c>
      <c r="H759" s="7">
        <v>0</v>
      </c>
      <c r="I759">
        <v>0</v>
      </c>
      <c r="J759">
        <v>0</v>
      </c>
      <c r="K759">
        <v>9.5625</v>
      </c>
      <c r="L759">
        <v>238</v>
      </c>
      <c r="M759">
        <v>1</v>
      </c>
      <c r="N759" s="10">
        <v>34.5</v>
      </c>
      <c r="O759" s="2">
        <f t="shared" si="26"/>
        <v>385.4298</v>
      </c>
      <c r="P759" s="2">
        <f t="shared" si="25"/>
        <v>181.38525000000001</v>
      </c>
      <c r="Q759">
        <v>0</v>
      </c>
    </row>
    <row r="760" spans="1:17" x14ac:dyDescent="0.25">
      <c r="A760" s="15"/>
      <c r="B760" s="15"/>
      <c r="C760" s="3">
        <f t="shared" si="27"/>
        <v>20</v>
      </c>
      <c r="D760">
        <v>360</v>
      </c>
      <c r="E760">
        <v>72</v>
      </c>
      <c r="F760">
        <v>674.4</v>
      </c>
      <c r="G760">
        <v>730.6</v>
      </c>
      <c r="H760" s="7">
        <v>0</v>
      </c>
      <c r="I760">
        <v>0</v>
      </c>
      <c r="J760">
        <v>0</v>
      </c>
      <c r="K760">
        <v>9</v>
      </c>
      <c r="L760">
        <v>238</v>
      </c>
      <c r="M760">
        <v>1</v>
      </c>
      <c r="N760" s="10">
        <v>33.6</v>
      </c>
      <c r="O760" s="2">
        <f t="shared" si="26"/>
        <v>367.13910000000004</v>
      </c>
      <c r="P760" s="2">
        <f t="shared" si="25"/>
        <v>172.10400000000001</v>
      </c>
      <c r="Q760">
        <v>0</v>
      </c>
    </row>
    <row r="761" spans="1:17" x14ac:dyDescent="0.25">
      <c r="A761" s="15"/>
      <c r="B761" s="15"/>
      <c r="C761" s="3">
        <f t="shared" si="27"/>
        <v>25</v>
      </c>
      <c r="D761">
        <v>337.5</v>
      </c>
      <c r="E761">
        <v>84.375</v>
      </c>
      <c r="F761">
        <v>674.4</v>
      </c>
      <c r="G761">
        <v>730.6</v>
      </c>
      <c r="H761" s="7">
        <v>0</v>
      </c>
      <c r="I761">
        <v>0</v>
      </c>
      <c r="J761">
        <v>0</v>
      </c>
      <c r="K761">
        <v>8.4375</v>
      </c>
      <c r="L761">
        <v>238</v>
      </c>
      <c r="M761">
        <v>1</v>
      </c>
      <c r="N761" s="10">
        <v>29.3</v>
      </c>
      <c r="O761" s="2">
        <f t="shared" si="26"/>
        <v>348.61619999999999</v>
      </c>
      <c r="P761" s="2">
        <f t="shared" si="25"/>
        <v>162.82275000000001</v>
      </c>
      <c r="Q761">
        <v>0</v>
      </c>
    </row>
    <row r="762" spans="1:17" x14ac:dyDescent="0.25">
      <c r="A762" s="15"/>
      <c r="B762" s="15"/>
      <c r="C762" s="3">
        <f t="shared" si="27"/>
        <v>30</v>
      </c>
      <c r="D762">
        <v>315</v>
      </c>
      <c r="E762">
        <v>94.5</v>
      </c>
      <c r="F762">
        <v>674.4</v>
      </c>
      <c r="G762">
        <v>730.6</v>
      </c>
      <c r="H762" s="7">
        <v>0</v>
      </c>
      <c r="I762">
        <v>0</v>
      </c>
      <c r="J762">
        <v>0</v>
      </c>
      <c r="K762">
        <v>7.875</v>
      </c>
      <c r="L762">
        <v>238</v>
      </c>
      <c r="M762">
        <v>1</v>
      </c>
      <c r="N762" s="10">
        <v>29</v>
      </c>
      <c r="O762" s="2">
        <f t="shared" si="26"/>
        <v>329.86110000000002</v>
      </c>
      <c r="P762" s="2">
        <f t="shared" si="25"/>
        <v>153.54149999999998</v>
      </c>
      <c r="Q762">
        <v>0</v>
      </c>
    </row>
    <row r="763" spans="1:17" x14ac:dyDescent="0.25">
      <c r="A763" s="15"/>
      <c r="B763" s="15"/>
      <c r="C763" s="3">
        <f t="shared" si="27"/>
        <v>0</v>
      </c>
      <c r="D763">
        <v>450</v>
      </c>
      <c r="E763">
        <v>0</v>
      </c>
      <c r="F763">
        <v>674.4</v>
      </c>
      <c r="G763">
        <v>730.6</v>
      </c>
      <c r="H763" s="7">
        <v>0</v>
      </c>
      <c r="I763">
        <v>0</v>
      </c>
      <c r="J763">
        <v>0</v>
      </c>
      <c r="K763">
        <v>11.25</v>
      </c>
      <c r="L763">
        <v>238</v>
      </c>
      <c r="M763">
        <v>28</v>
      </c>
      <c r="N763" s="10">
        <v>41.7</v>
      </c>
      <c r="O763" s="2">
        <f t="shared" si="26"/>
        <v>438.90870000000001</v>
      </c>
      <c r="P763" s="2">
        <f t="shared" si="25"/>
        <v>209.22900000000001</v>
      </c>
      <c r="Q763">
        <v>0</v>
      </c>
    </row>
    <row r="764" spans="1:17" x14ac:dyDescent="0.25">
      <c r="A764" s="15"/>
      <c r="B764" s="15"/>
      <c r="C764" s="3">
        <f t="shared" si="27"/>
        <v>5</v>
      </c>
      <c r="D764">
        <v>427.5</v>
      </c>
      <c r="E764">
        <v>21.375</v>
      </c>
      <c r="F764">
        <v>674.4</v>
      </c>
      <c r="G764">
        <v>730.6</v>
      </c>
      <c r="H764" s="7">
        <v>0</v>
      </c>
      <c r="I764">
        <v>0</v>
      </c>
      <c r="J764">
        <v>0</v>
      </c>
      <c r="K764">
        <v>10.6875</v>
      </c>
      <c r="L764">
        <v>238</v>
      </c>
      <c r="M764">
        <v>28</v>
      </c>
      <c r="N764" s="10">
        <v>42.7</v>
      </c>
      <c r="O764" s="2">
        <f t="shared" si="26"/>
        <v>421.31459999999998</v>
      </c>
      <c r="P764" s="2">
        <f t="shared" si="25"/>
        <v>199.94775000000001</v>
      </c>
      <c r="Q764">
        <v>0</v>
      </c>
    </row>
    <row r="765" spans="1:17" x14ac:dyDescent="0.25">
      <c r="A765" s="15"/>
      <c r="B765" s="15"/>
      <c r="C765" s="3">
        <f t="shared" si="27"/>
        <v>10</v>
      </c>
      <c r="D765">
        <v>405</v>
      </c>
      <c r="E765">
        <v>40.5</v>
      </c>
      <c r="F765">
        <v>674.4</v>
      </c>
      <c r="G765">
        <v>730.6</v>
      </c>
      <c r="H765" s="7">
        <v>0</v>
      </c>
      <c r="I765">
        <v>0</v>
      </c>
      <c r="J765">
        <v>0</v>
      </c>
      <c r="K765">
        <v>10.125</v>
      </c>
      <c r="L765">
        <v>238</v>
      </c>
      <c r="M765">
        <v>28</v>
      </c>
      <c r="N765" s="10">
        <v>44.2</v>
      </c>
      <c r="O765" s="2">
        <f t="shared" si="26"/>
        <v>403.48829999999998</v>
      </c>
      <c r="P765" s="2">
        <f t="shared" si="25"/>
        <v>190.66650000000001</v>
      </c>
      <c r="Q765">
        <v>0</v>
      </c>
    </row>
    <row r="766" spans="1:17" x14ac:dyDescent="0.25">
      <c r="A766" s="15"/>
      <c r="B766" s="15"/>
      <c r="C766" s="3">
        <f t="shared" si="27"/>
        <v>15</v>
      </c>
      <c r="D766">
        <v>382.5</v>
      </c>
      <c r="E766">
        <v>57.375</v>
      </c>
      <c r="F766">
        <v>674.4</v>
      </c>
      <c r="G766">
        <v>730.6</v>
      </c>
      <c r="H766" s="7">
        <v>0</v>
      </c>
      <c r="I766">
        <v>0</v>
      </c>
      <c r="J766">
        <v>0</v>
      </c>
      <c r="K766">
        <v>9.5625</v>
      </c>
      <c r="L766">
        <v>238</v>
      </c>
      <c r="M766">
        <v>28</v>
      </c>
      <c r="N766" s="10">
        <v>46.8</v>
      </c>
      <c r="O766" s="2">
        <f t="shared" si="26"/>
        <v>385.4298</v>
      </c>
      <c r="P766" s="2">
        <f t="shared" si="25"/>
        <v>181.38525000000001</v>
      </c>
      <c r="Q766">
        <v>0</v>
      </c>
    </row>
    <row r="767" spans="1:17" x14ac:dyDescent="0.25">
      <c r="A767" s="15"/>
      <c r="B767" s="15"/>
      <c r="C767" s="3">
        <f t="shared" si="27"/>
        <v>20</v>
      </c>
      <c r="D767">
        <v>360</v>
      </c>
      <c r="E767">
        <v>72</v>
      </c>
      <c r="F767">
        <v>674.4</v>
      </c>
      <c r="G767">
        <v>730.6</v>
      </c>
      <c r="H767" s="7">
        <v>0</v>
      </c>
      <c r="I767">
        <v>0</v>
      </c>
      <c r="J767">
        <v>0</v>
      </c>
      <c r="K767">
        <v>9</v>
      </c>
      <c r="L767">
        <v>238</v>
      </c>
      <c r="M767">
        <v>28</v>
      </c>
      <c r="N767" s="10">
        <v>43.5</v>
      </c>
      <c r="O767" s="2">
        <f t="shared" si="26"/>
        <v>367.13910000000004</v>
      </c>
      <c r="P767" s="2">
        <f t="shared" si="25"/>
        <v>172.10400000000001</v>
      </c>
      <c r="Q767">
        <v>0</v>
      </c>
    </row>
    <row r="768" spans="1:17" x14ac:dyDescent="0.25">
      <c r="A768" s="15"/>
      <c r="B768" s="15"/>
      <c r="C768" s="3">
        <f t="shared" si="27"/>
        <v>25</v>
      </c>
      <c r="D768">
        <v>337.5</v>
      </c>
      <c r="E768">
        <v>84.375</v>
      </c>
      <c r="F768">
        <v>674.4</v>
      </c>
      <c r="G768">
        <v>730.6</v>
      </c>
      <c r="H768" s="7">
        <v>0</v>
      </c>
      <c r="I768">
        <v>0</v>
      </c>
      <c r="J768">
        <v>0</v>
      </c>
      <c r="K768">
        <v>8.4375</v>
      </c>
      <c r="L768">
        <v>238</v>
      </c>
      <c r="M768">
        <v>28</v>
      </c>
      <c r="N768" s="10">
        <v>39.5</v>
      </c>
      <c r="O768" s="2">
        <f t="shared" si="26"/>
        <v>348.61619999999999</v>
      </c>
      <c r="P768" s="2">
        <f t="shared" si="25"/>
        <v>162.82275000000001</v>
      </c>
      <c r="Q768">
        <v>0</v>
      </c>
    </row>
    <row r="769" spans="1:17" x14ac:dyDescent="0.25">
      <c r="A769" s="15"/>
      <c r="B769" s="15"/>
      <c r="C769" s="3">
        <f t="shared" si="27"/>
        <v>30</v>
      </c>
      <c r="D769">
        <v>315</v>
      </c>
      <c r="E769">
        <v>94.5</v>
      </c>
      <c r="F769">
        <v>674.4</v>
      </c>
      <c r="G769">
        <v>730.6</v>
      </c>
      <c r="H769" s="7">
        <v>0</v>
      </c>
      <c r="I769">
        <v>0</v>
      </c>
      <c r="J769">
        <v>0</v>
      </c>
      <c r="K769">
        <v>7.875</v>
      </c>
      <c r="L769">
        <v>238</v>
      </c>
      <c r="M769">
        <v>28</v>
      </c>
      <c r="N769" s="10">
        <v>38.200000000000003</v>
      </c>
      <c r="O769" s="2">
        <f t="shared" si="26"/>
        <v>329.86110000000002</v>
      </c>
      <c r="P769" s="2">
        <f t="shared" si="25"/>
        <v>153.54149999999998</v>
      </c>
      <c r="Q769">
        <v>0</v>
      </c>
    </row>
    <row r="770" spans="1:17" x14ac:dyDescent="0.25">
      <c r="A770" s="15"/>
      <c r="B770" s="15"/>
      <c r="C770" s="3">
        <f t="shared" si="27"/>
        <v>0</v>
      </c>
      <c r="D770">
        <v>450</v>
      </c>
      <c r="E770">
        <v>0</v>
      </c>
      <c r="F770">
        <v>674.4</v>
      </c>
      <c r="G770">
        <v>730.6</v>
      </c>
      <c r="H770" s="7">
        <v>0</v>
      </c>
      <c r="I770">
        <v>0</v>
      </c>
      <c r="J770">
        <v>0</v>
      </c>
      <c r="K770">
        <v>11.25</v>
      </c>
      <c r="L770">
        <v>238</v>
      </c>
      <c r="M770">
        <v>56</v>
      </c>
      <c r="N770" s="10">
        <v>49.1</v>
      </c>
      <c r="O770" s="2">
        <f t="shared" si="26"/>
        <v>438.90870000000001</v>
      </c>
      <c r="P770" s="2">
        <f t="shared" si="25"/>
        <v>209.22900000000001</v>
      </c>
      <c r="Q770">
        <v>0</v>
      </c>
    </row>
    <row r="771" spans="1:17" x14ac:dyDescent="0.25">
      <c r="A771" s="15"/>
      <c r="B771" s="15"/>
      <c r="C771" s="3">
        <f t="shared" si="27"/>
        <v>5</v>
      </c>
      <c r="D771">
        <v>427.5</v>
      </c>
      <c r="E771">
        <v>21.375</v>
      </c>
      <c r="F771">
        <v>674.4</v>
      </c>
      <c r="G771">
        <v>730.6</v>
      </c>
      <c r="H771" s="7">
        <v>0</v>
      </c>
      <c r="I771">
        <v>0</v>
      </c>
      <c r="J771">
        <v>0</v>
      </c>
      <c r="K771">
        <v>10.6875</v>
      </c>
      <c r="L771">
        <v>238</v>
      </c>
      <c r="M771">
        <v>56</v>
      </c>
      <c r="N771" s="10">
        <v>50.2</v>
      </c>
      <c r="O771" s="2">
        <f t="shared" si="26"/>
        <v>421.31459999999998</v>
      </c>
      <c r="P771" s="2">
        <f t="shared" ref="P771:P834" si="28">SUM((D771*5)+((F771*0.25)+(G771*0.2)+(K771*20)))*0.075</f>
        <v>199.94775000000001</v>
      </c>
      <c r="Q771">
        <v>0</v>
      </c>
    </row>
    <row r="772" spans="1:17" x14ac:dyDescent="0.25">
      <c r="A772" s="15"/>
      <c r="B772" s="15"/>
      <c r="C772" s="3">
        <f t="shared" si="27"/>
        <v>10</v>
      </c>
      <c r="D772">
        <v>405</v>
      </c>
      <c r="E772">
        <v>40.5</v>
      </c>
      <c r="F772">
        <v>674.4</v>
      </c>
      <c r="G772">
        <v>730.6</v>
      </c>
      <c r="H772" s="7">
        <v>0</v>
      </c>
      <c r="I772">
        <v>0</v>
      </c>
      <c r="J772">
        <v>0</v>
      </c>
      <c r="K772">
        <v>10.125</v>
      </c>
      <c r="L772">
        <v>238</v>
      </c>
      <c r="M772">
        <v>56</v>
      </c>
      <c r="N772" s="10">
        <v>52.1</v>
      </c>
      <c r="O772" s="2">
        <f t="shared" si="26"/>
        <v>403.48829999999998</v>
      </c>
      <c r="P772" s="2">
        <f t="shared" si="28"/>
        <v>190.66650000000001</v>
      </c>
      <c r="Q772">
        <v>0</v>
      </c>
    </row>
    <row r="773" spans="1:17" x14ac:dyDescent="0.25">
      <c r="A773" s="15"/>
      <c r="B773" s="15"/>
      <c r="C773" s="3">
        <f t="shared" si="27"/>
        <v>15</v>
      </c>
      <c r="D773">
        <v>382.5</v>
      </c>
      <c r="E773">
        <v>57.375</v>
      </c>
      <c r="F773">
        <v>674.4</v>
      </c>
      <c r="G773">
        <v>730.6</v>
      </c>
      <c r="H773" s="7">
        <v>0</v>
      </c>
      <c r="I773">
        <v>0</v>
      </c>
      <c r="J773">
        <v>0</v>
      </c>
      <c r="K773">
        <v>9.5625</v>
      </c>
      <c r="L773">
        <v>238</v>
      </c>
      <c r="M773">
        <v>56</v>
      </c>
      <c r="N773" s="10">
        <v>55.3</v>
      </c>
      <c r="O773" s="2">
        <f t="shared" si="26"/>
        <v>385.4298</v>
      </c>
      <c r="P773" s="2">
        <f t="shared" si="28"/>
        <v>181.38525000000001</v>
      </c>
      <c r="Q773">
        <v>0</v>
      </c>
    </row>
    <row r="774" spans="1:17" x14ac:dyDescent="0.25">
      <c r="A774" s="15"/>
      <c r="B774" s="15"/>
      <c r="C774" s="3">
        <f t="shared" si="27"/>
        <v>20</v>
      </c>
      <c r="D774">
        <v>360</v>
      </c>
      <c r="E774">
        <v>72</v>
      </c>
      <c r="F774">
        <v>674.4</v>
      </c>
      <c r="G774">
        <v>730.6</v>
      </c>
      <c r="H774" s="7">
        <v>0</v>
      </c>
      <c r="I774">
        <v>0</v>
      </c>
      <c r="J774">
        <v>0</v>
      </c>
      <c r="K774">
        <v>9</v>
      </c>
      <c r="L774">
        <v>238</v>
      </c>
      <c r="M774">
        <v>56</v>
      </c>
      <c r="N774" s="10">
        <v>55.2</v>
      </c>
      <c r="O774" s="2">
        <f t="shared" si="26"/>
        <v>367.13910000000004</v>
      </c>
      <c r="P774" s="2">
        <f t="shared" si="28"/>
        <v>172.10400000000001</v>
      </c>
      <c r="Q774">
        <v>0</v>
      </c>
    </row>
    <row r="775" spans="1:17" x14ac:dyDescent="0.25">
      <c r="A775" s="15"/>
      <c r="B775" s="15"/>
      <c r="C775" s="3">
        <f t="shared" si="27"/>
        <v>25</v>
      </c>
      <c r="D775">
        <v>337.5</v>
      </c>
      <c r="E775">
        <v>84.375</v>
      </c>
      <c r="F775">
        <v>674.4</v>
      </c>
      <c r="G775">
        <v>730.6</v>
      </c>
      <c r="H775" s="7">
        <v>0</v>
      </c>
      <c r="I775">
        <v>0</v>
      </c>
      <c r="J775">
        <v>0</v>
      </c>
      <c r="K775">
        <v>8.4375</v>
      </c>
      <c r="L775">
        <v>238</v>
      </c>
      <c r="M775">
        <v>56</v>
      </c>
      <c r="N775" s="10">
        <v>47</v>
      </c>
      <c r="O775" s="2">
        <f t="shared" si="26"/>
        <v>348.61619999999999</v>
      </c>
      <c r="P775" s="2">
        <f t="shared" si="28"/>
        <v>162.82275000000001</v>
      </c>
      <c r="Q775">
        <v>0</v>
      </c>
    </row>
    <row r="776" spans="1:17" x14ac:dyDescent="0.25">
      <c r="A776" s="15"/>
      <c r="B776" s="15"/>
      <c r="C776" s="3">
        <f t="shared" si="27"/>
        <v>30</v>
      </c>
      <c r="D776">
        <v>315</v>
      </c>
      <c r="E776">
        <v>94.5</v>
      </c>
      <c r="F776">
        <v>674.4</v>
      </c>
      <c r="G776">
        <v>730.6</v>
      </c>
      <c r="H776" s="7">
        <v>0</v>
      </c>
      <c r="I776">
        <v>0</v>
      </c>
      <c r="J776">
        <v>0</v>
      </c>
      <c r="K776">
        <v>7.875</v>
      </c>
      <c r="L776">
        <v>238</v>
      </c>
      <c r="M776">
        <v>56</v>
      </c>
      <c r="N776" s="10">
        <v>45.9</v>
      </c>
      <c r="O776" s="2">
        <f t="shared" si="26"/>
        <v>329.86110000000002</v>
      </c>
      <c r="P776" s="2">
        <f t="shared" si="28"/>
        <v>153.54149999999998</v>
      </c>
      <c r="Q776">
        <v>0</v>
      </c>
    </row>
    <row r="777" spans="1:17" x14ac:dyDescent="0.25">
      <c r="A777" s="15"/>
      <c r="B777" s="15"/>
      <c r="C777" s="3">
        <f t="shared" si="27"/>
        <v>0</v>
      </c>
      <c r="D777">
        <v>450</v>
      </c>
      <c r="E777">
        <v>0</v>
      </c>
      <c r="F777">
        <v>612.96</v>
      </c>
      <c r="G777">
        <v>664.04</v>
      </c>
      <c r="H777" s="7">
        <v>0</v>
      </c>
      <c r="I777">
        <v>0</v>
      </c>
      <c r="J777">
        <v>0</v>
      </c>
      <c r="K777">
        <v>11.25</v>
      </c>
      <c r="L777">
        <v>238</v>
      </c>
      <c r="M777">
        <v>90</v>
      </c>
      <c r="N777" s="10">
        <v>52.6</v>
      </c>
      <c r="O777" s="2">
        <f t="shared" si="26"/>
        <v>434.99958000000004</v>
      </c>
      <c r="P777" s="2">
        <f t="shared" si="28"/>
        <v>207.07859999999997</v>
      </c>
      <c r="Q777">
        <v>0</v>
      </c>
    </row>
    <row r="778" spans="1:17" x14ac:dyDescent="0.25">
      <c r="A778" s="15"/>
      <c r="B778" s="15"/>
      <c r="C778" s="3">
        <f t="shared" si="27"/>
        <v>5</v>
      </c>
      <c r="D778">
        <v>427.5</v>
      </c>
      <c r="E778">
        <v>21.375</v>
      </c>
      <c r="F778">
        <v>751.68</v>
      </c>
      <c r="G778">
        <v>814.32</v>
      </c>
      <c r="H778" s="7">
        <v>0</v>
      </c>
      <c r="I778">
        <v>0</v>
      </c>
      <c r="J778">
        <v>0</v>
      </c>
      <c r="K778">
        <v>10.6875</v>
      </c>
      <c r="L778">
        <v>238</v>
      </c>
      <c r="M778">
        <v>90</v>
      </c>
      <c r="N778" s="10">
        <v>54.9</v>
      </c>
      <c r="O778" s="2">
        <f t="shared" si="26"/>
        <v>426.23154</v>
      </c>
      <c r="P778" s="2">
        <f t="shared" si="28"/>
        <v>202.65254999999999</v>
      </c>
      <c r="Q778">
        <v>0</v>
      </c>
    </row>
    <row r="779" spans="1:17" x14ac:dyDescent="0.25">
      <c r="A779" s="15"/>
      <c r="B779" s="15"/>
      <c r="C779" s="3">
        <f t="shared" si="27"/>
        <v>10</v>
      </c>
      <c r="D779">
        <v>405</v>
      </c>
      <c r="E779">
        <v>40.5</v>
      </c>
      <c r="F779">
        <v>739.68</v>
      </c>
      <c r="G779">
        <v>801.32</v>
      </c>
      <c r="H779" s="7">
        <v>0</v>
      </c>
      <c r="I779">
        <v>0</v>
      </c>
      <c r="J779">
        <v>0</v>
      </c>
      <c r="K779">
        <v>10.125</v>
      </c>
      <c r="L779">
        <v>238</v>
      </c>
      <c r="M779">
        <v>90</v>
      </c>
      <c r="N779" s="10">
        <v>57.3</v>
      </c>
      <c r="O779" s="2">
        <f t="shared" si="26"/>
        <v>407.64173999999997</v>
      </c>
      <c r="P779" s="2">
        <f t="shared" si="28"/>
        <v>192.9513</v>
      </c>
      <c r="Q779">
        <v>0</v>
      </c>
    </row>
    <row r="780" spans="1:17" x14ac:dyDescent="0.25">
      <c r="A780" s="15"/>
      <c r="B780" s="15"/>
      <c r="C780" s="3">
        <f t="shared" si="27"/>
        <v>15</v>
      </c>
      <c r="D780">
        <v>382.5</v>
      </c>
      <c r="E780">
        <v>57.375</v>
      </c>
      <c r="F780">
        <v>739.68</v>
      </c>
      <c r="G780">
        <v>801.32</v>
      </c>
      <c r="H780" s="7">
        <v>0</v>
      </c>
      <c r="I780">
        <v>0</v>
      </c>
      <c r="J780">
        <v>0</v>
      </c>
      <c r="K780">
        <v>9.5625</v>
      </c>
      <c r="L780">
        <v>238</v>
      </c>
      <c r="M780">
        <v>90</v>
      </c>
      <c r="N780" s="10">
        <v>61.2</v>
      </c>
      <c r="O780" s="2">
        <f t="shared" si="26"/>
        <v>389.58323999999999</v>
      </c>
      <c r="P780" s="2">
        <f t="shared" si="28"/>
        <v>183.67005</v>
      </c>
      <c r="Q780">
        <v>0</v>
      </c>
    </row>
    <row r="781" spans="1:17" x14ac:dyDescent="0.25">
      <c r="A781" s="15"/>
      <c r="B781" s="15"/>
      <c r="C781" s="3">
        <f t="shared" si="27"/>
        <v>20</v>
      </c>
      <c r="D781">
        <v>360</v>
      </c>
      <c r="E781">
        <v>72</v>
      </c>
      <c r="F781">
        <v>739.68</v>
      </c>
      <c r="G781">
        <v>801.32</v>
      </c>
      <c r="H781" s="7">
        <v>0</v>
      </c>
      <c r="I781">
        <v>0</v>
      </c>
      <c r="J781">
        <v>0</v>
      </c>
      <c r="K781">
        <v>9</v>
      </c>
      <c r="L781">
        <v>238</v>
      </c>
      <c r="M781">
        <v>90</v>
      </c>
      <c r="N781" s="10">
        <v>55.5</v>
      </c>
      <c r="O781" s="2">
        <f t="shared" si="26"/>
        <v>371.29254000000003</v>
      </c>
      <c r="P781" s="2">
        <f t="shared" si="28"/>
        <v>174.3888</v>
      </c>
      <c r="Q781">
        <v>0</v>
      </c>
    </row>
    <row r="782" spans="1:17" x14ac:dyDescent="0.25">
      <c r="A782" s="15"/>
      <c r="B782" s="15"/>
      <c r="C782" s="3">
        <f t="shared" si="27"/>
        <v>25</v>
      </c>
      <c r="D782">
        <v>337.5</v>
      </c>
      <c r="E782">
        <v>84.375</v>
      </c>
      <c r="F782">
        <v>739.68</v>
      </c>
      <c r="G782">
        <v>801.32</v>
      </c>
      <c r="H782" s="7">
        <v>0</v>
      </c>
      <c r="I782">
        <v>0</v>
      </c>
      <c r="J782">
        <v>0</v>
      </c>
      <c r="K782">
        <v>8.4375</v>
      </c>
      <c r="L782">
        <v>238</v>
      </c>
      <c r="M782">
        <v>90</v>
      </c>
      <c r="N782" s="10">
        <v>51.9</v>
      </c>
      <c r="O782" s="2">
        <f t="shared" ref="O782:O845" si="29">SUM((D782*0.83)+(E782*0.1032)+(F782*0.0139)+(G782*0.0459)+(K782*2))</f>
        <v>352.76963999999998</v>
      </c>
      <c r="P782" s="2">
        <f t="shared" si="28"/>
        <v>165.10755</v>
      </c>
      <c r="Q782">
        <v>0</v>
      </c>
    </row>
    <row r="783" spans="1:17" x14ac:dyDescent="0.25">
      <c r="A783" s="15"/>
      <c r="B783" s="15"/>
      <c r="C783" s="3">
        <f t="shared" si="27"/>
        <v>30</v>
      </c>
      <c r="D783">
        <v>315</v>
      </c>
      <c r="E783">
        <v>94.5</v>
      </c>
      <c r="F783">
        <v>739.68</v>
      </c>
      <c r="G783">
        <v>801.32</v>
      </c>
      <c r="H783" s="7">
        <v>0</v>
      </c>
      <c r="I783">
        <v>0</v>
      </c>
      <c r="J783">
        <v>0</v>
      </c>
      <c r="K783">
        <v>7.875</v>
      </c>
      <c r="L783">
        <v>238</v>
      </c>
      <c r="M783">
        <v>90</v>
      </c>
      <c r="N783" s="10">
        <v>50.2</v>
      </c>
      <c r="O783" s="2">
        <f t="shared" si="29"/>
        <v>334.01454000000001</v>
      </c>
      <c r="P783" s="2">
        <f t="shared" si="28"/>
        <v>155.8263</v>
      </c>
      <c r="Q783">
        <v>0</v>
      </c>
    </row>
    <row r="784" spans="1:17" x14ac:dyDescent="0.25">
      <c r="A784" s="15"/>
      <c r="B784" s="15"/>
      <c r="C784" s="3">
        <f t="shared" si="27"/>
        <v>11.111111111111111</v>
      </c>
      <c r="D784">
        <v>783</v>
      </c>
      <c r="E784">
        <v>87</v>
      </c>
      <c r="F784">
        <v>739.68</v>
      </c>
      <c r="G784">
        <v>801.32</v>
      </c>
      <c r="H784" s="7">
        <v>0</v>
      </c>
      <c r="I784">
        <v>0</v>
      </c>
      <c r="J784">
        <v>0</v>
      </c>
      <c r="K784">
        <v>3.6</v>
      </c>
      <c r="L784">
        <v>238</v>
      </c>
      <c r="M784">
        <v>1</v>
      </c>
      <c r="N784" s="10">
        <v>41</v>
      </c>
      <c r="O784" s="2">
        <f t="shared" si="29"/>
        <v>713.13054</v>
      </c>
      <c r="P784" s="2">
        <f t="shared" si="28"/>
        <v>324.91379999999998</v>
      </c>
      <c r="Q784">
        <v>0</v>
      </c>
    </row>
    <row r="785" spans="1:17" x14ac:dyDescent="0.25">
      <c r="A785" s="15"/>
      <c r="B785" s="15"/>
      <c r="C785" s="3">
        <f t="shared" si="27"/>
        <v>0</v>
      </c>
      <c r="D785">
        <v>571</v>
      </c>
      <c r="E785">
        <v>0</v>
      </c>
      <c r="F785">
        <v>739.68</v>
      </c>
      <c r="G785">
        <v>801.32</v>
      </c>
      <c r="H785" s="7">
        <v>0</v>
      </c>
      <c r="I785">
        <v>0</v>
      </c>
      <c r="J785">
        <v>0</v>
      </c>
      <c r="K785">
        <v>1</v>
      </c>
      <c r="L785">
        <v>212</v>
      </c>
      <c r="M785">
        <v>1</v>
      </c>
      <c r="N785" s="10">
        <v>30</v>
      </c>
      <c r="O785" s="2">
        <f t="shared" si="29"/>
        <v>522.99213999999995</v>
      </c>
      <c r="P785" s="2">
        <f t="shared" si="28"/>
        <v>241.5138</v>
      </c>
      <c r="Q785">
        <v>0</v>
      </c>
    </row>
    <row r="786" spans="1:17" x14ac:dyDescent="0.25">
      <c r="A786" s="15"/>
      <c r="B786" s="15"/>
      <c r="C786" s="3">
        <f t="shared" si="27"/>
        <v>11.089494163424124</v>
      </c>
      <c r="D786">
        <v>514</v>
      </c>
      <c r="E786">
        <v>57</v>
      </c>
      <c r="F786">
        <v>739.68</v>
      </c>
      <c r="G786">
        <v>801.32</v>
      </c>
      <c r="H786" s="7">
        <v>0</v>
      </c>
      <c r="I786">
        <v>0</v>
      </c>
      <c r="J786">
        <v>0</v>
      </c>
      <c r="K786">
        <v>1.4</v>
      </c>
      <c r="L786">
        <v>219</v>
      </c>
      <c r="M786">
        <v>1</v>
      </c>
      <c r="N786" s="10">
        <v>27</v>
      </c>
      <c r="O786" s="2">
        <f t="shared" si="29"/>
        <v>482.36454000000003</v>
      </c>
      <c r="P786" s="2">
        <f t="shared" si="28"/>
        <v>220.7388</v>
      </c>
      <c r="Q786">
        <v>0</v>
      </c>
    </row>
    <row r="787" spans="1:17" x14ac:dyDescent="0.25">
      <c r="A787" s="15"/>
      <c r="B787" s="15"/>
      <c r="C787" s="3">
        <f t="shared" si="27"/>
        <v>24.945295404814004</v>
      </c>
      <c r="D787">
        <v>457</v>
      </c>
      <c r="E787">
        <v>114</v>
      </c>
      <c r="F787">
        <v>739.68</v>
      </c>
      <c r="G787">
        <v>801.32</v>
      </c>
      <c r="H787" s="7">
        <v>0</v>
      </c>
      <c r="I787">
        <v>0</v>
      </c>
      <c r="J787">
        <v>0</v>
      </c>
      <c r="K787">
        <v>2.6</v>
      </c>
      <c r="L787">
        <v>218</v>
      </c>
      <c r="M787">
        <v>1</v>
      </c>
      <c r="N787" s="10">
        <v>26</v>
      </c>
      <c r="O787" s="2">
        <f t="shared" si="29"/>
        <v>443.33693999999997</v>
      </c>
      <c r="P787" s="2">
        <f t="shared" si="28"/>
        <v>201.16380000000001</v>
      </c>
      <c r="Q787">
        <v>0</v>
      </c>
    </row>
    <row r="788" spans="1:17" x14ac:dyDescent="0.25">
      <c r="A788" s="15"/>
      <c r="B788" s="15"/>
      <c r="C788" s="3">
        <f t="shared" si="27"/>
        <v>42.75</v>
      </c>
      <c r="D788">
        <v>400</v>
      </c>
      <c r="E788">
        <v>171</v>
      </c>
      <c r="F788">
        <v>739.68</v>
      </c>
      <c r="G788">
        <v>801.32</v>
      </c>
      <c r="H788" s="7">
        <v>0</v>
      </c>
      <c r="I788">
        <v>0</v>
      </c>
      <c r="J788">
        <v>0</v>
      </c>
      <c r="K788">
        <v>3.7</v>
      </c>
      <c r="L788">
        <v>216</v>
      </c>
      <c r="M788">
        <v>1</v>
      </c>
      <c r="N788" s="10">
        <v>19</v>
      </c>
      <c r="O788" s="2">
        <f t="shared" si="29"/>
        <v>404.10933999999997</v>
      </c>
      <c r="P788" s="2">
        <f t="shared" si="28"/>
        <v>181.43880000000001</v>
      </c>
      <c r="Q788">
        <v>0</v>
      </c>
    </row>
    <row r="789" spans="1:17" x14ac:dyDescent="0.25">
      <c r="A789" s="15"/>
      <c r="B789" s="15"/>
      <c r="C789" s="3">
        <f t="shared" si="27"/>
        <v>10.966057441253264</v>
      </c>
      <c r="D789">
        <v>383</v>
      </c>
      <c r="E789">
        <v>42</v>
      </c>
      <c r="F789">
        <v>739.68</v>
      </c>
      <c r="G789">
        <v>801.32</v>
      </c>
      <c r="H789" s="7">
        <v>0</v>
      </c>
      <c r="I789">
        <v>0</v>
      </c>
      <c r="J789">
        <v>0</v>
      </c>
      <c r="K789">
        <v>0.3</v>
      </c>
      <c r="L789">
        <v>215</v>
      </c>
      <c r="M789">
        <v>1</v>
      </c>
      <c r="N789" s="10">
        <v>16</v>
      </c>
      <c r="O789" s="2">
        <f t="shared" si="29"/>
        <v>369.88654000000002</v>
      </c>
      <c r="P789" s="2">
        <f t="shared" si="28"/>
        <v>169.96380000000002</v>
      </c>
      <c r="Q789">
        <v>0</v>
      </c>
    </row>
    <row r="790" spans="1:17" x14ac:dyDescent="0.25">
      <c r="A790" s="15"/>
      <c r="B790" s="15"/>
      <c r="C790" s="3">
        <f t="shared" si="27"/>
        <v>11.111111111111111</v>
      </c>
      <c r="D790">
        <v>783</v>
      </c>
      <c r="E790">
        <v>87</v>
      </c>
      <c r="F790">
        <v>612.96</v>
      </c>
      <c r="G790">
        <v>664.04</v>
      </c>
      <c r="H790" s="7">
        <v>0</v>
      </c>
      <c r="I790">
        <v>0</v>
      </c>
      <c r="J790">
        <v>0</v>
      </c>
      <c r="K790">
        <v>3.6</v>
      </c>
      <c r="L790">
        <v>221</v>
      </c>
      <c r="M790">
        <v>3</v>
      </c>
      <c r="N790" s="10">
        <v>59</v>
      </c>
      <c r="O790" s="2">
        <f t="shared" si="29"/>
        <v>705.06797999999992</v>
      </c>
      <c r="P790" s="2">
        <f t="shared" si="28"/>
        <v>320.47859999999997</v>
      </c>
      <c r="Q790">
        <v>0</v>
      </c>
    </row>
    <row r="791" spans="1:17" x14ac:dyDescent="0.25">
      <c r="A791" s="15"/>
      <c r="B791" s="15"/>
      <c r="C791" s="3">
        <f t="shared" ref="C791:C854" si="30">SUM(E791/D791)*100</f>
        <v>0</v>
      </c>
      <c r="D791">
        <v>571</v>
      </c>
      <c r="E791">
        <v>0</v>
      </c>
      <c r="F791">
        <v>751.68</v>
      </c>
      <c r="G791">
        <v>814.32</v>
      </c>
      <c r="H791" s="7">
        <v>0</v>
      </c>
      <c r="I791">
        <v>0</v>
      </c>
      <c r="J791">
        <v>0</v>
      </c>
      <c r="K791">
        <v>1</v>
      </c>
      <c r="L791">
        <v>212</v>
      </c>
      <c r="M791">
        <v>3</v>
      </c>
      <c r="N791" s="10">
        <v>46</v>
      </c>
      <c r="O791" s="2">
        <f t="shared" si="29"/>
        <v>523.75563999999997</v>
      </c>
      <c r="P791" s="2">
        <f t="shared" si="28"/>
        <v>241.93379999999999</v>
      </c>
      <c r="Q791">
        <v>0</v>
      </c>
    </row>
    <row r="792" spans="1:17" x14ac:dyDescent="0.25">
      <c r="A792" s="15"/>
      <c r="B792" s="15"/>
      <c r="C792" s="3">
        <f t="shared" si="30"/>
        <v>11.089494163424124</v>
      </c>
      <c r="D792">
        <v>514</v>
      </c>
      <c r="E792">
        <v>57</v>
      </c>
      <c r="F792">
        <v>739.68</v>
      </c>
      <c r="G792">
        <v>801.32</v>
      </c>
      <c r="H792" s="7">
        <v>0</v>
      </c>
      <c r="I792">
        <v>0</v>
      </c>
      <c r="J792">
        <v>0</v>
      </c>
      <c r="K792">
        <v>1.4</v>
      </c>
      <c r="L792">
        <v>219</v>
      </c>
      <c r="M792">
        <v>3</v>
      </c>
      <c r="N792" s="10">
        <v>41</v>
      </c>
      <c r="O792" s="2">
        <f t="shared" si="29"/>
        <v>482.36454000000003</v>
      </c>
      <c r="P792" s="2">
        <f t="shared" si="28"/>
        <v>220.7388</v>
      </c>
      <c r="Q792">
        <v>0</v>
      </c>
    </row>
    <row r="793" spans="1:17" x14ac:dyDescent="0.25">
      <c r="A793" s="15"/>
      <c r="B793" s="15"/>
      <c r="C793" s="3">
        <f t="shared" si="30"/>
        <v>24.945295404814004</v>
      </c>
      <c r="D793">
        <v>457</v>
      </c>
      <c r="E793">
        <v>114</v>
      </c>
      <c r="F793">
        <v>727.2</v>
      </c>
      <c r="G793">
        <v>787.8</v>
      </c>
      <c r="H793" s="7">
        <v>0</v>
      </c>
      <c r="I793">
        <v>0</v>
      </c>
      <c r="J793">
        <v>0</v>
      </c>
      <c r="K793">
        <v>2.6</v>
      </c>
      <c r="L793">
        <v>218</v>
      </c>
      <c r="M793">
        <v>3</v>
      </c>
      <c r="N793" s="10">
        <v>38</v>
      </c>
      <c r="O793" s="2">
        <f t="shared" si="29"/>
        <v>442.54289999999997</v>
      </c>
      <c r="P793" s="2">
        <f t="shared" si="28"/>
        <v>200.727</v>
      </c>
      <c r="Q793">
        <v>0</v>
      </c>
    </row>
    <row r="794" spans="1:17" x14ac:dyDescent="0.25">
      <c r="A794" s="15"/>
      <c r="B794" s="15"/>
      <c r="C794" s="3">
        <f t="shared" si="30"/>
        <v>42.75</v>
      </c>
      <c r="D794">
        <v>400</v>
      </c>
      <c r="E794">
        <v>171</v>
      </c>
      <c r="F794">
        <v>715.2</v>
      </c>
      <c r="G794">
        <v>774.8</v>
      </c>
      <c r="H794" s="7">
        <v>0</v>
      </c>
      <c r="I794">
        <v>0</v>
      </c>
      <c r="J794">
        <v>0</v>
      </c>
      <c r="K794">
        <v>3.7</v>
      </c>
      <c r="L794">
        <v>216</v>
      </c>
      <c r="M794">
        <v>3</v>
      </c>
      <c r="N794" s="10">
        <v>32</v>
      </c>
      <c r="O794" s="2">
        <f t="shared" si="29"/>
        <v>402.55179999999996</v>
      </c>
      <c r="P794" s="2">
        <f t="shared" si="28"/>
        <v>180.58200000000002</v>
      </c>
      <c r="Q794">
        <v>0</v>
      </c>
    </row>
    <row r="795" spans="1:17" x14ac:dyDescent="0.25">
      <c r="A795" s="15"/>
      <c r="B795" s="15"/>
      <c r="C795" s="3">
        <f t="shared" si="30"/>
        <v>10.966057441253264</v>
      </c>
      <c r="D795">
        <v>383</v>
      </c>
      <c r="E795">
        <v>42</v>
      </c>
      <c r="F795">
        <v>801.6</v>
      </c>
      <c r="G795">
        <v>868.4</v>
      </c>
      <c r="H795" s="7">
        <v>0</v>
      </c>
      <c r="I795">
        <v>0</v>
      </c>
      <c r="J795">
        <v>0</v>
      </c>
      <c r="K795">
        <v>0.3</v>
      </c>
      <c r="L795">
        <v>215</v>
      </c>
      <c r="M795">
        <v>3</v>
      </c>
      <c r="N795" s="10">
        <v>26</v>
      </c>
      <c r="O795" s="2">
        <f t="shared" si="29"/>
        <v>373.82620000000003</v>
      </c>
      <c r="P795" s="2">
        <f t="shared" si="28"/>
        <v>172.131</v>
      </c>
      <c r="Q795">
        <v>0</v>
      </c>
    </row>
    <row r="796" spans="1:17" x14ac:dyDescent="0.25">
      <c r="A796" s="15"/>
      <c r="B796" s="15"/>
      <c r="C796" s="3">
        <f t="shared" si="30"/>
        <v>11.111111111111111</v>
      </c>
      <c r="D796">
        <v>783</v>
      </c>
      <c r="E796">
        <v>87</v>
      </c>
      <c r="F796">
        <v>612.96</v>
      </c>
      <c r="G796">
        <v>664.04</v>
      </c>
      <c r="H796" s="7">
        <v>0</v>
      </c>
      <c r="I796">
        <v>0</v>
      </c>
      <c r="J796">
        <v>0</v>
      </c>
      <c r="K796">
        <v>3.6</v>
      </c>
      <c r="L796">
        <v>221</v>
      </c>
      <c r="M796">
        <v>7</v>
      </c>
      <c r="N796" s="10">
        <v>62</v>
      </c>
      <c r="O796" s="2">
        <f t="shared" si="29"/>
        <v>705.06797999999992</v>
      </c>
      <c r="P796" s="2">
        <f t="shared" si="28"/>
        <v>320.47859999999997</v>
      </c>
      <c r="Q796">
        <v>0</v>
      </c>
    </row>
    <row r="797" spans="1:17" x14ac:dyDescent="0.25">
      <c r="A797" s="15"/>
      <c r="B797" s="15"/>
      <c r="C797" s="3">
        <f t="shared" si="30"/>
        <v>0</v>
      </c>
      <c r="D797">
        <v>571</v>
      </c>
      <c r="E797">
        <v>0</v>
      </c>
      <c r="F797">
        <v>751.68</v>
      </c>
      <c r="G797">
        <v>814.32</v>
      </c>
      <c r="H797" s="7">
        <v>0</v>
      </c>
      <c r="I797">
        <v>0</v>
      </c>
      <c r="J797">
        <v>0</v>
      </c>
      <c r="K797">
        <v>1</v>
      </c>
      <c r="L797">
        <v>212</v>
      </c>
      <c r="M797">
        <v>7</v>
      </c>
      <c r="N797" s="10">
        <v>50</v>
      </c>
      <c r="O797" s="2">
        <f t="shared" si="29"/>
        <v>523.75563999999997</v>
      </c>
      <c r="P797" s="2">
        <f t="shared" si="28"/>
        <v>241.93379999999999</v>
      </c>
      <c r="Q797">
        <v>0</v>
      </c>
    </row>
    <row r="798" spans="1:17" x14ac:dyDescent="0.25">
      <c r="A798" s="15"/>
      <c r="B798" s="15"/>
      <c r="C798" s="3">
        <f t="shared" si="30"/>
        <v>11.089494163424124</v>
      </c>
      <c r="D798">
        <v>514</v>
      </c>
      <c r="E798">
        <v>57</v>
      </c>
      <c r="F798">
        <v>739.68</v>
      </c>
      <c r="G798">
        <v>801.32</v>
      </c>
      <c r="H798" s="7">
        <v>0</v>
      </c>
      <c r="I798">
        <v>0</v>
      </c>
      <c r="J798">
        <v>0</v>
      </c>
      <c r="K798">
        <v>1.4</v>
      </c>
      <c r="L798">
        <v>219</v>
      </c>
      <c r="M798">
        <v>7</v>
      </c>
      <c r="N798" s="10">
        <v>47</v>
      </c>
      <c r="O798" s="2">
        <f t="shared" si="29"/>
        <v>482.36454000000003</v>
      </c>
      <c r="P798" s="2">
        <f t="shared" si="28"/>
        <v>220.7388</v>
      </c>
      <c r="Q798">
        <v>0</v>
      </c>
    </row>
    <row r="799" spans="1:17" x14ac:dyDescent="0.25">
      <c r="A799" s="15"/>
      <c r="B799" s="15"/>
      <c r="C799" s="3">
        <f t="shared" si="30"/>
        <v>24.945295404814004</v>
      </c>
      <c r="D799">
        <v>457</v>
      </c>
      <c r="E799">
        <v>114</v>
      </c>
      <c r="F799">
        <v>727.2</v>
      </c>
      <c r="G799">
        <v>787.8</v>
      </c>
      <c r="H799" s="7">
        <v>0</v>
      </c>
      <c r="I799">
        <v>0</v>
      </c>
      <c r="J799">
        <v>0</v>
      </c>
      <c r="K799">
        <v>2.6</v>
      </c>
      <c r="L799">
        <v>218</v>
      </c>
      <c r="M799">
        <v>7</v>
      </c>
      <c r="N799" s="10">
        <v>47</v>
      </c>
      <c r="O799" s="2">
        <f t="shared" si="29"/>
        <v>442.54289999999997</v>
      </c>
      <c r="P799" s="2">
        <f t="shared" si="28"/>
        <v>200.727</v>
      </c>
      <c r="Q799">
        <v>0</v>
      </c>
    </row>
    <row r="800" spans="1:17" x14ac:dyDescent="0.25">
      <c r="A800" s="15"/>
      <c r="B800" s="15"/>
      <c r="C800" s="3">
        <f t="shared" si="30"/>
        <v>42.75</v>
      </c>
      <c r="D800">
        <v>400</v>
      </c>
      <c r="E800">
        <v>171</v>
      </c>
      <c r="F800">
        <v>715.2</v>
      </c>
      <c r="G800">
        <v>774.8</v>
      </c>
      <c r="H800" s="7">
        <v>0</v>
      </c>
      <c r="I800">
        <v>0</v>
      </c>
      <c r="J800">
        <v>0</v>
      </c>
      <c r="K800">
        <v>3.7</v>
      </c>
      <c r="L800">
        <v>216</v>
      </c>
      <c r="M800">
        <v>7</v>
      </c>
      <c r="N800" s="10">
        <v>43</v>
      </c>
      <c r="O800" s="2">
        <f t="shared" si="29"/>
        <v>402.55179999999996</v>
      </c>
      <c r="P800" s="2">
        <f t="shared" si="28"/>
        <v>180.58200000000002</v>
      </c>
      <c r="Q800">
        <v>0</v>
      </c>
    </row>
    <row r="801" spans="1:17" x14ac:dyDescent="0.25">
      <c r="A801" s="15"/>
      <c r="B801" s="15"/>
      <c r="C801" s="3">
        <f t="shared" si="30"/>
        <v>10.966057441253264</v>
      </c>
      <c r="D801">
        <v>383</v>
      </c>
      <c r="E801">
        <v>42</v>
      </c>
      <c r="F801">
        <v>801.6</v>
      </c>
      <c r="G801">
        <v>868.4</v>
      </c>
      <c r="H801" s="7">
        <v>0</v>
      </c>
      <c r="I801">
        <v>0</v>
      </c>
      <c r="J801">
        <v>0</v>
      </c>
      <c r="K801">
        <v>0.3</v>
      </c>
      <c r="L801">
        <v>215</v>
      </c>
      <c r="M801">
        <v>7</v>
      </c>
      <c r="N801" s="10">
        <v>37</v>
      </c>
      <c r="O801" s="2">
        <f t="shared" si="29"/>
        <v>373.82620000000003</v>
      </c>
      <c r="P801" s="2">
        <f t="shared" si="28"/>
        <v>172.131</v>
      </c>
      <c r="Q801">
        <v>0</v>
      </c>
    </row>
    <row r="802" spans="1:17" x14ac:dyDescent="0.25">
      <c r="A802" s="15"/>
      <c r="B802" s="15"/>
      <c r="C802" s="3">
        <f t="shared" si="30"/>
        <v>11.111111111111111</v>
      </c>
      <c r="D802">
        <v>783</v>
      </c>
      <c r="E802">
        <v>87</v>
      </c>
      <c r="F802">
        <v>612.96</v>
      </c>
      <c r="G802">
        <v>664.04</v>
      </c>
      <c r="H802" s="7">
        <v>0</v>
      </c>
      <c r="I802">
        <v>0</v>
      </c>
      <c r="J802">
        <v>0</v>
      </c>
      <c r="K802">
        <v>3.6</v>
      </c>
      <c r="L802">
        <v>221</v>
      </c>
      <c r="M802">
        <v>14</v>
      </c>
      <c r="N802" s="10">
        <v>63</v>
      </c>
      <c r="O802" s="2">
        <f t="shared" si="29"/>
        <v>705.06797999999992</v>
      </c>
      <c r="P802" s="2">
        <f t="shared" si="28"/>
        <v>320.47859999999997</v>
      </c>
      <c r="Q802">
        <v>0</v>
      </c>
    </row>
    <row r="803" spans="1:17" x14ac:dyDescent="0.25">
      <c r="A803" s="15"/>
      <c r="B803" s="15"/>
      <c r="C803" s="3">
        <f t="shared" si="30"/>
        <v>0</v>
      </c>
      <c r="D803">
        <v>571</v>
      </c>
      <c r="E803">
        <v>0</v>
      </c>
      <c r="F803">
        <v>751.68</v>
      </c>
      <c r="G803">
        <v>814.32</v>
      </c>
      <c r="H803" s="7">
        <v>0</v>
      </c>
      <c r="I803">
        <v>0</v>
      </c>
      <c r="J803">
        <v>0</v>
      </c>
      <c r="K803">
        <v>1</v>
      </c>
      <c r="L803">
        <v>212</v>
      </c>
      <c r="M803">
        <v>14</v>
      </c>
      <c r="N803" s="10">
        <v>54</v>
      </c>
      <c r="O803" s="2">
        <f t="shared" si="29"/>
        <v>523.75563999999997</v>
      </c>
      <c r="P803" s="2">
        <f t="shared" si="28"/>
        <v>241.93379999999999</v>
      </c>
      <c r="Q803">
        <v>0</v>
      </c>
    </row>
    <row r="804" spans="1:17" x14ac:dyDescent="0.25">
      <c r="A804" s="15"/>
      <c r="B804" s="15"/>
      <c r="C804" s="3">
        <f t="shared" si="30"/>
        <v>11.089494163424124</v>
      </c>
      <c r="D804">
        <v>514</v>
      </c>
      <c r="E804">
        <v>57</v>
      </c>
      <c r="F804">
        <v>739.68</v>
      </c>
      <c r="G804">
        <v>801.32</v>
      </c>
      <c r="H804" s="7">
        <v>0</v>
      </c>
      <c r="I804">
        <v>0</v>
      </c>
      <c r="J804">
        <v>0</v>
      </c>
      <c r="K804">
        <v>1.4</v>
      </c>
      <c r="L804">
        <v>219</v>
      </c>
      <c r="M804">
        <v>14</v>
      </c>
      <c r="N804" s="10">
        <v>52</v>
      </c>
      <c r="O804" s="2">
        <f t="shared" si="29"/>
        <v>482.36454000000003</v>
      </c>
      <c r="P804" s="2">
        <f t="shared" si="28"/>
        <v>220.7388</v>
      </c>
      <c r="Q804">
        <v>0</v>
      </c>
    </row>
    <row r="805" spans="1:17" x14ac:dyDescent="0.25">
      <c r="A805" s="15"/>
      <c r="B805" s="15"/>
      <c r="C805" s="3">
        <f t="shared" si="30"/>
        <v>24.945295404814004</v>
      </c>
      <c r="D805">
        <v>457</v>
      </c>
      <c r="E805">
        <v>114</v>
      </c>
      <c r="F805">
        <v>727.2</v>
      </c>
      <c r="G805">
        <v>787.8</v>
      </c>
      <c r="H805" s="7">
        <v>0</v>
      </c>
      <c r="I805">
        <v>0</v>
      </c>
      <c r="J805">
        <v>0</v>
      </c>
      <c r="K805">
        <v>2.6</v>
      </c>
      <c r="L805">
        <v>218</v>
      </c>
      <c r="M805">
        <v>14</v>
      </c>
      <c r="N805" s="10">
        <v>52</v>
      </c>
      <c r="O805" s="2">
        <f t="shared" si="29"/>
        <v>442.54289999999997</v>
      </c>
      <c r="P805" s="2">
        <f t="shared" si="28"/>
        <v>200.727</v>
      </c>
      <c r="Q805">
        <v>0</v>
      </c>
    </row>
    <row r="806" spans="1:17" x14ac:dyDescent="0.25">
      <c r="A806" s="15"/>
      <c r="B806" s="15"/>
      <c r="C806" s="3">
        <f t="shared" si="30"/>
        <v>42.75</v>
      </c>
      <c r="D806">
        <v>400</v>
      </c>
      <c r="E806">
        <v>171</v>
      </c>
      <c r="F806">
        <v>715.2</v>
      </c>
      <c r="G806">
        <v>774.8</v>
      </c>
      <c r="H806" s="7">
        <v>0</v>
      </c>
      <c r="I806">
        <v>0</v>
      </c>
      <c r="J806">
        <v>0</v>
      </c>
      <c r="K806">
        <v>3.7</v>
      </c>
      <c r="L806">
        <v>216</v>
      </c>
      <c r="M806">
        <v>14</v>
      </c>
      <c r="N806" s="10">
        <v>51</v>
      </c>
      <c r="O806" s="2">
        <f t="shared" si="29"/>
        <v>402.55179999999996</v>
      </c>
      <c r="P806" s="2">
        <f t="shared" si="28"/>
        <v>180.58200000000002</v>
      </c>
      <c r="Q806">
        <v>0</v>
      </c>
    </row>
    <row r="807" spans="1:17" x14ac:dyDescent="0.25">
      <c r="A807" s="15"/>
      <c r="B807" s="15"/>
      <c r="C807" s="3">
        <f t="shared" si="30"/>
        <v>10.966057441253264</v>
      </c>
      <c r="D807">
        <v>383</v>
      </c>
      <c r="E807">
        <v>42</v>
      </c>
      <c r="F807">
        <v>801.6</v>
      </c>
      <c r="G807">
        <v>868.4</v>
      </c>
      <c r="H807" s="7">
        <v>0</v>
      </c>
      <c r="I807">
        <v>0</v>
      </c>
      <c r="J807">
        <v>0</v>
      </c>
      <c r="K807">
        <v>0.3</v>
      </c>
      <c r="L807">
        <v>215</v>
      </c>
      <c r="M807">
        <v>14</v>
      </c>
      <c r="N807" s="10">
        <v>40</v>
      </c>
      <c r="O807" s="2">
        <f t="shared" si="29"/>
        <v>373.82620000000003</v>
      </c>
      <c r="P807" s="2">
        <f t="shared" si="28"/>
        <v>172.131</v>
      </c>
      <c r="Q807">
        <v>0</v>
      </c>
    </row>
    <row r="808" spans="1:17" x14ac:dyDescent="0.25">
      <c r="A808" s="15"/>
      <c r="B808" s="15"/>
      <c r="C808" s="3">
        <f t="shared" si="30"/>
        <v>11.111111111111111</v>
      </c>
      <c r="D808">
        <v>783</v>
      </c>
      <c r="E808">
        <v>87</v>
      </c>
      <c r="F808">
        <v>612.96</v>
      </c>
      <c r="G808">
        <v>664.04</v>
      </c>
      <c r="H808" s="7">
        <v>0</v>
      </c>
      <c r="I808">
        <v>0</v>
      </c>
      <c r="J808">
        <v>0</v>
      </c>
      <c r="K808">
        <v>3.6</v>
      </c>
      <c r="L808">
        <v>221</v>
      </c>
      <c r="M808">
        <v>28</v>
      </c>
      <c r="N808" s="10">
        <v>66</v>
      </c>
      <c r="O808" s="2">
        <f t="shared" si="29"/>
        <v>705.06797999999992</v>
      </c>
      <c r="P808" s="2">
        <f t="shared" si="28"/>
        <v>320.47859999999997</v>
      </c>
      <c r="Q808">
        <v>0</v>
      </c>
    </row>
    <row r="809" spans="1:17" x14ac:dyDescent="0.25">
      <c r="A809" s="15"/>
      <c r="B809" s="15"/>
      <c r="C809" s="3">
        <f t="shared" si="30"/>
        <v>0</v>
      </c>
      <c r="D809">
        <v>571</v>
      </c>
      <c r="E809">
        <v>0</v>
      </c>
      <c r="F809">
        <v>751.68</v>
      </c>
      <c r="G809">
        <v>814.32</v>
      </c>
      <c r="H809" s="7">
        <v>0</v>
      </c>
      <c r="I809">
        <v>0</v>
      </c>
      <c r="J809">
        <v>0</v>
      </c>
      <c r="K809">
        <v>1</v>
      </c>
      <c r="L809">
        <v>212</v>
      </c>
      <c r="M809">
        <v>28</v>
      </c>
      <c r="N809" s="10">
        <v>56</v>
      </c>
      <c r="O809" s="2">
        <f t="shared" si="29"/>
        <v>523.75563999999997</v>
      </c>
      <c r="P809" s="2">
        <f t="shared" si="28"/>
        <v>241.93379999999999</v>
      </c>
      <c r="Q809">
        <v>0</v>
      </c>
    </row>
    <row r="810" spans="1:17" x14ac:dyDescent="0.25">
      <c r="A810" s="15"/>
      <c r="B810" s="15"/>
      <c r="C810" s="3">
        <f t="shared" si="30"/>
        <v>11.089494163424124</v>
      </c>
      <c r="D810">
        <v>514</v>
      </c>
      <c r="E810">
        <v>57</v>
      </c>
      <c r="F810">
        <v>739.68</v>
      </c>
      <c r="G810">
        <v>801.32</v>
      </c>
      <c r="H810" s="7">
        <v>0</v>
      </c>
      <c r="I810">
        <v>0</v>
      </c>
      <c r="J810">
        <v>0</v>
      </c>
      <c r="K810">
        <v>1.4</v>
      </c>
      <c r="L810">
        <v>219</v>
      </c>
      <c r="M810">
        <v>28</v>
      </c>
      <c r="N810" s="10">
        <v>61</v>
      </c>
      <c r="O810" s="2">
        <f t="shared" si="29"/>
        <v>482.36454000000003</v>
      </c>
      <c r="P810" s="2">
        <f t="shared" si="28"/>
        <v>220.7388</v>
      </c>
      <c r="Q810">
        <v>0</v>
      </c>
    </row>
    <row r="811" spans="1:17" x14ac:dyDescent="0.25">
      <c r="A811" s="15"/>
      <c r="B811" s="15"/>
      <c r="C811" s="3">
        <f t="shared" si="30"/>
        <v>24.945295404814004</v>
      </c>
      <c r="D811">
        <v>457</v>
      </c>
      <c r="E811">
        <v>114</v>
      </c>
      <c r="F811">
        <v>727.2</v>
      </c>
      <c r="G811">
        <v>787.8</v>
      </c>
      <c r="H811" s="7">
        <v>0</v>
      </c>
      <c r="I811">
        <v>0</v>
      </c>
      <c r="J811">
        <v>0</v>
      </c>
      <c r="K811">
        <v>2.6</v>
      </c>
      <c r="L811">
        <v>218</v>
      </c>
      <c r="M811">
        <v>28</v>
      </c>
      <c r="N811" s="10">
        <v>60</v>
      </c>
      <c r="O811" s="2">
        <f t="shared" si="29"/>
        <v>442.54289999999997</v>
      </c>
      <c r="P811" s="2">
        <f t="shared" si="28"/>
        <v>200.727</v>
      </c>
      <c r="Q811">
        <v>0</v>
      </c>
    </row>
    <row r="812" spans="1:17" x14ac:dyDescent="0.25">
      <c r="A812" s="15"/>
      <c r="B812" s="15"/>
      <c r="C812" s="3">
        <f t="shared" si="30"/>
        <v>42.75</v>
      </c>
      <c r="D812">
        <v>400</v>
      </c>
      <c r="E812">
        <v>171</v>
      </c>
      <c r="F812">
        <v>715.2</v>
      </c>
      <c r="G812">
        <v>774.8</v>
      </c>
      <c r="H812" s="7">
        <v>0</v>
      </c>
      <c r="I812">
        <v>0</v>
      </c>
      <c r="J812">
        <v>0</v>
      </c>
      <c r="K812">
        <v>3.7</v>
      </c>
      <c r="L812">
        <v>216</v>
      </c>
      <c r="M812">
        <v>28</v>
      </c>
      <c r="N812" s="10">
        <v>54</v>
      </c>
      <c r="O812" s="2">
        <f t="shared" si="29"/>
        <v>402.55179999999996</v>
      </c>
      <c r="P812" s="2">
        <f t="shared" si="28"/>
        <v>180.58200000000002</v>
      </c>
      <c r="Q812">
        <v>0</v>
      </c>
    </row>
    <row r="813" spans="1:17" x14ac:dyDescent="0.25">
      <c r="A813" s="15"/>
      <c r="B813" s="15"/>
      <c r="C813" s="3">
        <f t="shared" si="30"/>
        <v>10.966057441253264</v>
      </c>
      <c r="D813">
        <v>383</v>
      </c>
      <c r="E813">
        <v>42</v>
      </c>
      <c r="F813">
        <v>801.6</v>
      </c>
      <c r="G813">
        <v>868.4</v>
      </c>
      <c r="H813" s="7">
        <v>0</v>
      </c>
      <c r="I813">
        <v>0</v>
      </c>
      <c r="J813">
        <v>0</v>
      </c>
      <c r="K813">
        <v>0.3</v>
      </c>
      <c r="L813">
        <v>215</v>
      </c>
      <c r="M813">
        <v>28</v>
      </c>
      <c r="N813" s="10">
        <v>47</v>
      </c>
      <c r="O813" s="2">
        <f t="shared" si="29"/>
        <v>373.82620000000003</v>
      </c>
      <c r="P813" s="2">
        <f t="shared" si="28"/>
        <v>172.131</v>
      </c>
      <c r="Q813">
        <v>0</v>
      </c>
    </row>
    <row r="814" spans="1:17" x14ac:dyDescent="0.25">
      <c r="A814" s="15"/>
      <c r="B814" s="15"/>
      <c r="C814" s="3">
        <f t="shared" si="30"/>
        <v>11.111111111111111</v>
      </c>
      <c r="D814">
        <v>783</v>
      </c>
      <c r="E814">
        <v>87</v>
      </c>
      <c r="F814">
        <v>612.96</v>
      </c>
      <c r="G814">
        <v>664.04</v>
      </c>
      <c r="H814" s="7">
        <v>0</v>
      </c>
      <c r="I814">
        <v>0</v>
      </c>
      <c r="J814">
        <v>0</v>
      </c>
      <c r="K814">
        <v>3.6</v>
      </c>
      <c r="L814">
        <v>221</v>
      </c>
      <c r="M814">
        <v>56</v>
      </c>
      <c r="N814" s="10">
        <v>69</v>
      </c>
      <c r="O814" s="2">
        <f t="shared" si="29"/>
        <v>705.06797999999992</v>
      </c>
      <c r="P814" s="2">
        <f t="shared" si="28"/>
        <v>320.47859999999997</v>
      </c>
      <c r="Q814">
        <v>0</v>
      </c>
    </row>
    <row r="815" spans="1:17" x14ac:dyDescent="0.25">
      <c r="A815" s="15"/>
      <c r="B815" s="15"/>
      <c r="C815" s="3">
        <f t="shared" si="30"/>
        <v>0</v>
      </c>
      <c r="D815">
        <v>571</v>
      </c>
      <c r="E815">
        <v>0</v>
      </c>
      <c r="F815">
        <v>751.68</v>
      </c>
      <c r="G815">
        <v>814.32</v>
      </c>
      <c r="H815" s="7">
        <v>0</v>
      </c>
      <c r="I815">
        <v>0</v>
      </c>
      <c r="J815">
        <v>0</v>
      </c>
      <c r="K815">
        <v>1</v>
      </c>
      <c r="L815">
        <v>212</v>
      </c>
      <c r="M815">
        <v>56</v>
      </c>
      <c r="N815" s="10">
        <v>60</v>
      </c>
      <c r="O815" s="2">
        <f t="shared" si="29"/>
        <v>523.75563999999997</v>
      </c>
      <c r="P815" s="2">
        <f t="shared" si="28"/>
        <v>241.93379999999999</v>
      </c>
      <c r="Q815">
        <v>0</v>
      </c>
    </row>
    <row r="816" spans="1:17" x14ac:dyDescent="0.25">
      <c r="A816" s="15"/>
      <c r="B816" s="15"/>
      <c r="C816" s="3">
        <f t="shared" si="30"/>
        <v>11.089494163424124</v>
      </c>
      <c r="D816">
        <v>514</v>
      </c>
      <c r="E816">
        <v>57</v>
      </c>
      <c r="F816">
        <v>739.68</v>
      </c>
      <c r="G816">
        <v>801.32</v>
      </c>
      <c r="H816" s="7">
        <v>0</v>
      </c>
      <c r="I816">
        <v>0</v>
      </c>
      <c r="J816">
        <v>0</v>
      </c>
      <c r="K816">
        <v>1.4</v>
      </c>
      <c r="L816">
        <v>219</v>
      </c>
      <c r="M816">
        <v>56</v>
      </c>
      <c r="N816" s="10">
        <v>62</v>
      </c>
      <c r="O816" s="2">
        <f t="shared" si="29"/>
        <v>482.36454000000003</v>
      </c>
      <c r="P816" s="2">
        <f t="shared" si="28"/>
        <v>220.7388</v>
      </c>
      <c r="Q816">
        <v>0</v>
      </c>
    </row>
    <row r="817" spans="1:17" x14ac:dyDescent="0.25">
      <c r="A817" s="15"/>
      <c r="B817" s="15"/>
      <c r="C817" s="3">
        <f t="shared" si="30"/>
        <v>24.945295404814004</v>
      </c>
      <c r="D817">
        <v>457</v>
      </c>
      <c r="E817">
        <v>114</v>
      </c>
      <c r="F817">
        <v>727.2</v>
      </c>
      <c r="G817">
        <v>787.8</v>
      </c>
      <c r="H817" s="7">
        <v>0</v>
      </c>
      <c r="I817">
        <v>0</v>
      </c>
      <c r="J817">
        <v>0</v>
      </c>
      <c r="K817">
        <v>2.6</v>
      </c>
      <c r="L817">
        <v>218</v>
      </c>
      <c r="M817">
        <v>56</v>
      </c>
      <c r="N817" s="10">
        <v>61</v>
      </c>
      <c r="O817" s="2">
        <f t="shared" si="29"/>
        <v>442.54289999999997</v>
      </c>
      <c r="P817" s="2">
        <f t="shared" si="28"/>
        <v>200.727</v>
      </c>
      <c r="Q817">
        <v>0</v>
      </c>
    </row>
    <row r="818" spans="1:17" x14ac:dyDescent="0.25">
      <c r="A818" s="15"/>
      <c r="B818" s="15"/>
      <c r="C818" s="3">
        <f t="shared" si="30"/>
        <v>42.75</v>
      </c>
      <c r="D818">
        <v>400</v>
      </c>
      <c r="E818">
        <v>171</v>
      </c>
      <c r="F818">
        <v>715.2</v>
      </c>
      <c r="G818">
        <v>774.8</v>
      </c>
      <c r="H818" s="7">
        <v>0</v>
      </c>
      <c r="I818">
        <v>0</v>
      </c>
      <c r="J818">
        <v>0</v>
      </c>
      <c r="K818">
        <v>3.7</v>
      </c>
      <c r="L818">
        <v>216</v>
      </c>
      <c r="M818">
        <v>56</v>
      </c>
      <c r="N818" s="10">
        <v>60</v>
      </c>
      <c r="O818" s="2">
        <f t="shared" si="29"/>
        <v>402.55179999999996</v>
      </c>
      <c r="P818" s="2">
        <f t="shared" si="28"/>
        <v>180.58200000000002</v>
      </c>
      <c r="Q818">
        <v>0</v>
      </c>
    </row>
    <row r="819" spans="1:17" x14ac:dyDescent="0.25">
      <c r="A819" s="15"/>
      <c r="B819" s="15"/>
      <c r="C819" s="3">
        <f t="shared" si="30"/>
        <v>10.966057441253264</v>
      </c>
      <c r="D819">
        <v>383</v>
      </c>
      <c r="E819">
        <v>42</v>
      </c>
      <c r="F819">
        <v>801.6</v>
      </c>
      <c r="G819">
        <v>868.4</v>
      </c>
      <c r="H819" s="7">
        <v>0</v>
      </c>
      <c r="I819">
        <v>0</v>
      </c>
      <c r="J819">
        <v>0</v>
      </c>
      <c r="K819">
        <v>0.3</v>
      </c>
      <c r="L819">
        <v>215</v>
      </c>
      <c r="M819">
        <v>56</v>
      </c>
      <c r="N819" s="10">
        <v>51</v>
      </c>
      <c r="O819" s="2">
        <f t="shared" si="29"/>
        <v>373.82620000000003</v>
      </c>
      <c r="P819" s="2">
        <f t="shared" si="28"/>
        <v>172.131</v>
      </c>
      <c r="Q819">
        <v>0</v>
      </c>
    </row>
    <row r="820" spans="1:17" x14ac:dyDescent="0.25">
      <c r="A820" s="15"/>
      <c r="B820" s="15"/>
      <c r="C820" s="3">
        <f t="shared" si="30"/>
        <v>11.111111111111111</v>
      </c>
      <c r="D820">
        <v>783</v>
      </c>
      <c r="E820">
        <v>87</v>
      </c>
      <c r="F820">
        <v>612.96</v>
      </c>
      <c r="G820">
        <v>664.04</v>
      </c>
      <c r="H820" s="7">
        <v>0</v>
      </c>
      <c r="I820">
        <v>0</v>
      </c>
      <c r="J820">
        <v>0</v>
      </c>
      <c r="K820">
        <v>3.6</v>
      </c>
      <c r="L820">
        <v>221</v>
      </c>
      <c r="M820">
        <v>90</v>
      </c>
      <c r="N820" s="10">
        <v>74</v>
      </c>
      <c r="O820" s="2">
        <f t="shared" si="29"/>
        <v>705.06797999999992</v>
      </c>
      <c r="P820" s="2">
        <f t="shared" si="28"/>
        <v>320.47859999999997</v>
      </c>
      <c r="Q820">
        <v>0</v>
      </c>
    </row>
    <row r="821" spans="1:17" x14ac:dyDescent="0.25">
      <c r="A821" s="15"/>
      <c r="B821" s="15"/>
      <c r="C821" s="3">
        <f t="shared" si="30"/>
        <v>0</v>
      </c>
      <c r="D821">
        <v>571</v>
      </c>
      <c r="E821">
        <v>0</v>
      </c>
      <c r="F821">
        <v>751.68</v>
      </c>
      <c r="G821">
        <v>814.32</v>
      </c>
      <c r="H821" s="7">
        <v>0</v>
      </c>
      <c r="I821">
        <v>0</v>
      </c>
      <c r="J821">
        <v>0</v>
      </c>
      <c r="K821">
        <v>1</v>
      </c>
      <c r="L821">
        <v>203</v>
      </c>
      <c r="M821">
        <v>90</v>
      </c>
      <c r="N821" s="10">
        <v>67</v>
      </c>
      <c r="O821" s="2">
        <f t="shared" si="29"/>
        <v>523.75563999999997</v>
      </c>
      <c r="P821" s="2">
        <f t="shared" si="28"/>
        <v>241.93379999999999</v>
      </c>
      <c r="Q821">
        <v>0</v>
      </c>
    </row>
    <row r="822" spans="1:17" x14ac:dyDescent="0.25">
      <c r="A822" s="15"/>
      <c r="B822" s="15"/>
      <c r="C822" s="3">
        <f t="shared" si="30"/>
        <v>11.089494163424124</v>
      </c>
      <c r="D822">
        <v>514</v>
      </c>
      <c r="E822">
        <v>57</v>
      </c>
      <c r="F822">
        <v>739.68</v>
      </c>
      <c r="G822">
        <v>801.32</v>
      </c>
      <c r="H822" s="7">
        <v>0</v>
      </c>
      <c r="I822">
        <v>0</v>
      </c>
      <c r="J822">
        <v>0</v>
      </c>
      <c r="K822">
        <v>1.4</v>
      </c>
      <c r="L822">
        <v>203</v>
      </c>
      <c r="M822">
        <v>90</v>
      </c>
      <c r="N822" s="10">
        <v>67</v>
      </c>
      <c r="O822" s="2">
        <f t="shared" si="29"/>
        <v>482.36454000000003</v>
      </c>
      <c r="P822" s="2">
        <f t="shared" si="28"/>
        <v>220.7388</v>
      </c>
      <c r="Q822">
        <v>0</v>
      </c>
    </row>
    <row r="823" spans="1:17" x14ac:dyDescent="0.25">
      <c r="A823" s="15"/>
      <c r="B823" s="15"/>
      <c r="C823" s="3">
        <f t="shared" si="30"/>
        <v>24.945295404814004</v>
      </c>
      <c r="D823">
        <v>457</v>
      </c>
      <c r="E823">
        <v>114</v>
      </c>
      <c r="F823">
        <v>727.2</v>
      </c>
      <c r="G823">
        <v>787.8</v>
      </c>
      <c r="H823" s="7">
        <v>0</v>
      </c>
      <c r="I823">
        <v>0</v>
      </c>
      <c r="J823">
        <v>0</v>
      </c>
      <c r="K823">
        <v>2.6</v>
      </c>
      <c r="L823">
        <v>203</v>
      </c>
      <c r="M823">
        <v>90</v>
      </c>
      <c r="N823" s="10">
        <v>69</v>
      </c>
      <c r="O823" s="2">
        <f t="shared" si="29"/>
        <v>442.54289999999997</v>
      </c>
      <c r="P823" s="2">
        <f t="shared" si="28"/>
        <v>200.727</v>
      </c>
      <c r="Q823">
        <v>0</v>
      </c>
    </row>
    <row r="824" spans="1:17" x14ac:dyDescent="0.25">
      <c r="A824" s="15"/>
      <c r="B824" s="15"/>
      <c r="C824" s="3">
        <f t="shared" si="30"/>
        <v>42.75</v>
      </c>
      <c r="D824">
        <v>400</v>
      </c>
      <c r="E824">
        <v>171</v>
      </c>
      <c r="F824">
        <v>715.2</v>
      </c>
      <c r="G824">
        <v>774.8</v>
      </c>
      <c r="H824" s="7">
        <v>0</v>
      </c>
      <c r="I824">
        <v>0</v>
      </c>
      <c r="J824">
        <v>0</v>
      </c>
      <c r="K824">
        <v>3.7</v>
      </c>
      <c r="L824">
        <v>203</v>
      </c>
      <c r="M824">
        <v>90</v>
      </c>
      <c r="N824" s="10">
        <v>64</v>
      </c>
      <c r="O824" s="2">
        <f t="shared" si="29"/>
        <v>402.55179999999996</v>
      </c>
      <c r="P824" s="2">
        <f t="shared" si="28"/>
        <v>180.58200000000002</v>
      </c>
      <c r="Q824">
        <v>0</v>
      </c>
    </row>
    <row r="825" spans="1:17" x14ac:dyDescent="0.25">
      <c r="A825" s="15"/>
      <c r="B825" s="15"/>
      <c r="C825" s="3">
        <f t="shared" si="30"/>
        <v>10.966057441253264</v>
      </c>
      <c r="D825">
        <v>383</v>
      </c>
      <c r="E825">
        <v>42</v>
      </c>
      <c r="F825">
        <v>801.6</v>
      </c>
      <c r="G825">
        <v>868.4</v>
      </c>
      <c r="H825" s="7">
        <v>0</v>
      </c>
      <c r="I825">
        <v>0</v>
      </c>
      <c r="J825">
        <v>0</v>
      </c>
      <c r="K825">
        <v>0.3</v>
      </c>
      <c r="L825">
        <v>203</v>
      </c>
      <c r="M825">
        <v>90</v>
      </c>
      <c r="N825" s="10">
        <v>56</v>
      </c>
      <c r="O825" s="2">
        <f t="shared" si="29"/>
        <v>373.82620000000003</v>
      </c>
      <c r="P825" s="2">
        <f t="shared" si="28"/>
        <v>172.131</v>
      </c>
      <c r="Q825">
        <v>0</v>
      </c>
    </row>
    <row r="826" spans="1:17" x14ac:dyDescent="0.25">
      <c r="A826" s="15"/>
      <c r="B826" s="15"/>
      <c r="C826" s="3">
        <f t="shared" si="30"/>
        <v>5.2197802197802199</v>
      </c>
      <c r="D826">
        <v>364</v>
      </c>
      <c r="E826">
        <v>19</v>
      </c>
      <c r="F826">
        <v>828</v>
      </c>
      <c r="G826">
        <v>897</v>
      </c>
      <c r="H826" s="7">
        <v>0</v>
      </c>
      <c r="I826">
        <v>0</v>
      </c>
      <c r="J826">
        <v>0</v>
      </c>
      <c r="K826">
        <v>0</v>
      </c>
      <c r="L826">
        <v>203</v>
      </c>
      <c r="M826">
        <v>7</v>
      </c>
      <c r="N826" s="10">
        <v>27.6</v>
      </c>
      <c r="O826" s="2">
        <f t="shared" si="29"/>
        <v>356.76230000000004</v>
      </c>
      <c r="P826" s="2">
        <f t="shared" si="28"/>
        <v>165.48</v>
      </c>
      <c r="Q826">
        <v>0</v>
      </c>
    </row>
    <row r="827" spans="1:17" x14ac:dyDescent="0.25">
      <c r="A827" s="15"/>
      <c r="B827" s="15"/>
      <c r="C827" s="3">
        <f t="shared" si="30"/>
        <v>11.014492753623188</v>
      </c>
      <c r="D827">
        <v>345</v>
      </c>
      <c r="E827">
        <v>38</v>
      </c>
      <c r="F827">
        <v>828</v>
      </c>
      <c r="G827">
        <v>897</v>
      </c>
      <c r="H827" s="7">
        <v>0</v>
      </c>
      <c r="I827">
        <v>0</v>
      </c>
      <c r="J827">
        <v>0</v>
      </c>
      <c r="K827">
        <v>0</v>
      </c>
      <c r="L827">
        <v>203</v>
      </c>
      <c r="M827">
        <v>7</v>
      </c>
      <c r="N827" s="10">
        <v>28</v>
      </c>
      <c r="O827" s="2">
        <f t="shared" si="29"/>
        <v>342.95310000000001</v>
      </c>
      <c r="P827" s="2">
        <f t="shared" si="28"/>
        <v>158.35499999999999</v>
      </c>
      <c r="Q827">
        <v>0</v>
      </c>
    </row>
    <row r="828" spans="1:17" x14ac:dyDescent="0.25">
      <c r="A828" s="15"/>
      <c r="B828" s="15"/>
      <c r="C828" s="3">
        <f t="shared" si="30"/>
        <v>17.484662576687114</v>
      </c>
      <c r="D828">
        <v>326</v>
      </c>
      <c r="E828">
        <v>57</v>
      </c>
      <c r="F828">
        <v>828</v>
      </c>
      <c r="G828">
        <v>897</v>
      </c>
      <c r="H828" s="7">
        <v>0</v>
      </c>
      <c r="I828">
        <v>0</v>
      </c>
      <c r="J828">
        <v>0</v>
      </c>
      <c r="K828">
        <v>0</v>
      </c>
      <c r="L828">
        <v>203</v>
      </c>
      <c r="M828">
        <v>7</v>
      </c>
      <c r="N828" s="10">
        <v>29.3</v>
      </c>
      <c r="O828" s="2">
        <f t="shared" si="29"/>
        <v>329.14390000000003</v>
      </c>
      <c r="P828" s="2">
        <f t="shared" si="28"/>
        <v>151.22999999999999</v>
      </c>
      <c r="Q828">
        <v>0</v>
      </c>
    </row>
    <row r="829" spans="1:17" x14ac:dyDescent="0.25">
      <c r="A829" s="15"/>
      <c r="B829" s="15"/>
      <c r="C829" s="3">
        <f t="shared" si="30"/>
        <v>25.163398692810457</v>
      </c>
      <c r="D829">
        <v>306</v>
      </c>
      <c r="E829">
        <v>77</v>
      </c>
      <c r="F829">
        <v>828</v>
      </c>
      <c r="G829">
        <v>897</v>
      </c>
      <c r="H829" s="7">
        <v>0</v>
      </c>
      <c r="I829">
        <v>0</v>
      </c>
      <c r="J829">
        <v>0</v>
      </c>
      <c r="K829">
        <v>0</v>
      </c>
      <c r="L829">
        <v>203</v>
      </c>
      <c r="M829">
        <v>7</v>
      </c>
      <c r="N829" s="10">
        <v>29.7</v>
      </c>
      <c r="O829" s="2">
        <f t="shared" si="29"/>
        <v>314.60790000000003</v>
      </c>
      <c r="P829" s="2">
        <f t="shared" si="28"/>
        <v>143.72999999999999</v>
      </c>
      <c r="Q829">
        <v>0</v>
      </c>
    </row>
    <row r="830" spans="1:17" x14ac:dyDescent="0.25">
      <c r="A830" s="15"/>
      <c r="B830" s="15"/>
      <c r="C830" s="3">
        <f t="shared" si="30"/>
        <v>33.449477351916379</v>
      </c>
      <c r="D830">
        <v>287</v>
      </c>
      <c r="E830">
        <v>96</v>
      </c>
      <c r="F830">
        <v>828</v>
      </c>
      <c r="G830">
        <v>897</v>
      </c>
      <c r="H830" s="7">
        <v>0</v>
      </c>
      <c r="I830">
        <v>0</v>
      </c>
      <c r="J830">
        <v>0</v>
      </c>
      <c r="K830">
        <v>0</v>
      </c>
      <c r="L830">
        <v>203</v>
      </c>
      <c r="M830">
        <v>7</v>
      </c>
      <c r="N830" s="10">
        <v>28.7</v>
      </c>
      <c r="O830" s="2">
        <f t="shared" si="29"/>
        <v>300.7987</v>
      </c>
      <c r="P830" s="2">
        <f t="shared" si="28"/>
        <v>136.60499999999999</v>
      </c>
      <c r="Q830">
        <v>0</v>
      </c>
    </row>
    <row r="831" spans="1:17" x14ac:dyDescent="0.25">
      <c r="A831" s="15"/>
      <c r="B831" s="15"/>
      <c r="C831" s="3">
        <f t="shared" si="30"/>
        <v>42.910447761194028</v>
      </c>
      <c r="D831">
        <v>268</v>
      </c>
      <c r="E831">
        <v>115</v>
      </c>
      <c r="F831">
        <v>828</v>
      </c>
      <c r="G831">
        <v>897</v>
      </c>
      <c r="H831" s="7">
        <v>0</v>
      </c>
      <c r="I831">
        <v>0</v>
      </c>
      <c r="J831">
        <v>0</v>
      </c>
      <c r="K831">
        <v>0</v>
      </c>
      <c r="L831">
        <v>203</v>
      </c>
      <c r="M831">
        <v>7</v>
      </c>
      <c r="N831" s="10">
        <v>27.4</v>
      </c>
      <c r="O831" s="2">
        <f t="shared" si="29"/>
        <v>286.98949999999996</v>
      </c>
      <c r="P831" s="2">
        <f t="shared" si="28"/>
        <v>129.47999999999999</v>
      </c>
      <c r="Q831">
        <v>0</v>
      </c>
    </row>
    <row r="832" spans="1:17" x14ac:dyDescent="0.25">
      <c r="A832" s="15"/>
      <c r="B832" s="15"/>
      <c r="C832" s="3">
        <f t="shared" si="30"/>
        <v>53.815261044176708</v>
      </c>
      <c r="D832">
        <v>249</v>
      </c>
      <c r="E832">
        <v>134</v>
      </c>
      <c r="F832">
        <v>828</v>
      </c>
      <c r="G832">
        <v>897</v>
      </c>
      <c r="H832" s="7">
        <v>0</v>
      </c>
      <c r="I832">
        <v>0</v>
      </c>
      <c r="J832">
        <v>0</v>
      </c>
      <c r="K832">
        <v>0</v>
      </c>
      <c r="L832">
        <v>203</v>
      </c>
      <c r="M832">
        <v>7</v>
      </c>
      <c r="N832" s="10">
        <v>25.7</v>
      </c>
      <c r="O832" s="2">
        <f t="shared" si="29"/>
        <v>273.18029999999999</v>
      </c>
      <c r="P832" s="2">
        <f t="shared" si="28"/>
        <v>122.355</v>
      </c>
      <c r="Q832">
        <v>0</v>
      </c>
    </row>
    <row r="833" spans="1:17" x14ac:dyDescent="0.25">
      <c r="A833" s="15"/>
      <c r="B833" s="15"/>
      <c r="C833" s="3">
        <f t="shared" si="30"/>
        <v>5.2197802197802199</v>
      </c>
      <c r="D833">
        <v>364</v>
      </c>
      <c r="E833">
        <v>19</v>
      </c>
      <c r="F833">
        <v>828</v>
      </c>
      <c r="G833">
        <v>897</v>
      </c>
      <c r="H833" s="7">
        <v>0</v>
      </c>
      <c r="I833">
        <v>0</v>
      </c>
      <c r="J833">
        <v>0</v>
      </c>
      <c r="K833">
        <v>0</v>
      </c>
      <c r="L833">
        <v>203</v>
      </c>
      <c r="M833">
        <v>14</v>
      </c>
      <c r="N833" s="10">
        <v>34.200000000000003</v>
      </c>
      <c r="O833" s="2">
        <f t="shared" si="29"/>
        <v>356.76230000000004</v>
      </c>
      <c r="P833" s="2">
        <f t="shared" si="28"/>
        <v>165.48</v>
      </c>
      <c r="Q833">
        <v>0</v>
      </c>
    </row>
    <row r="834" spans="1:17" x14ac:dyDescent="0.25">
      <c r="A834" s="15"/>
      <c r="B834" s="15"/>
      <c r="C834" s="3">
        <f t="shared" si="30"/>
        <v>11.014492753623188</v>
      </c>
      <c r="D834">
        <v>345</v>
      </c>
      <c r="E834">
        <v>38</v>
      </c>
      <c r="F834">
        <v>828</v>
      </c>
      <c r="G834">
        <v>897</v>
      </c>
      <c r="H834" s="7">
        <v>0</v>
      </c>
      <c r="I834">
        <v>0</v>
      </c>
      <c r="J834">
        <v>0</v>
      </c>
      <c r="K834">
        <v>0</v>
      </c>
      <c r="L834">
        <v>203</v>
      </c>
      <c r="M834">
        <v>14</v>
      </c>
      <c r="N834" s="10">
        <v>35.299999999999997</v>
      </c>
      <c r="O834" s="2">
        <f t="shared" si="29"/>
        <v>342.95310000000001</v>
      </c>
      <c r="P834" s="2">
        <f t="shared" si="28"/>
        <v>158.35499999999999</v>
      </c>
      <c r="Q834">
        <v>0</v>
      </c>
    </row>
    <row r="835" spans="1:17" x14ac:dyDescent="0.25">
      <c r="A835" s="15"/>
      <c r="B835" s="15"/>
      <c r="C835" s="3">
        <f t="shared" si="30"/>
        <v>17.484662576687114</v>
      </c>
      <c r="D835">
        <v>326</v>
      </c>
      <c r="E835">
        <v>57</v>
      </c>
      <c r="F835">
        <v>828</v>
      </c>
      <c r="G835">
        <v>897</v>
      </c>
      <c r="H835" s="7">
        <v>0</v>
      </c>
      <c r="I835">
        <v>0</v>
      </c>
      <c r="J835">
        <v>0</v>
      </c>
      <c r="K835">
        <v>0</v>
      </c>
      <c r="L835">
        <v>203</v>
      </c>
      <c r="M835">
        <v>14</v>
      </c>
      <c r="N835" s="10">
        <v>36</v>
      </c>
      <c r="O835" s="2">
        <f t="shared" si="29"/>
        <v>329.14390000000003</v>
      </c>
      <c r="P835" s="2">
        <f t="shared" ref="P835:P898" si="31">SUM((D835*5)+((F835*0.25)+(G835*0.2)+(K835*20)))*0.075</f>
        <v>151.22999999999999</v>
      </c>
      <c r="Q835">
        <v>0</v>
      </c>
    </row>
    <row r="836" spans="1:17" x14ac:dyDescent="0.25">
      <c r="A836" s="15"/>
      <c r="B836" s="15"/>
      <c r="C836" s="3">
        <f t="shared" si="30"/>
        <v>25.163398692810457</v>
      </c>
      <c r="D836">
        <v>306</v>
      </c>
      <c r="E836">
        <v>77</v>
      </c>
      <c r="F836">
        <v>828</v>
      </c>
      <c r="G836">
        <v>897</v>
      </c>
      <c r="H836" s="7">
        <v>0</v>
      </c>
      <c r="I836">
        <v>0</v>
      </c>
      <c r="J836">
        <v>0</v>
      </c>
      <c r="K836">
        <v>0</v>
      </c>
      <c r="L836">
        <v>203</v>
      </c>
      <c r="M836">
        <v>14</v>
      </c>
      <c r="N836" s="10">
        <v>39.299999999999997</v>
      </c>
      <c r="O836" s="2">
        <f t="shared" si="29"/>
        <v>314.60790000000003</v>
      </c>
      <c r="P836" s="2">
        <f t="shared" si="31"/>
        <v>143.72999999999999</v>
      </c>
      <c r="Q836">
        <v>0</v>
      </c>
    </row>
    <row r="837" spans="1:17" x14ac:dyDescent="0.25">
      <c r="A837" s="15"/>
      <c r="B837" s="15"/>
      <c r="C837" s="3">
        <f t="shared" si="30"/>
        <v>33.449477351916379</v>
      </c>
      <c r="D837">
        <v>287</v>
      </c>
      <c r="E837">
        <v>96</v>
      </c>
      <c r="F837">
        <v>828</v>
      </c>
      <c r="G837">
        <v>897</v>
      </c>
      <c r="H837" s="7">
        <v>0</v>
      </c>
      <c r="I837">
        <v>0</v>
      </c>
      <c r="J837">
        <v>0</v>
      </c>
      <c r="K837">
        <v>0</v>
      </c>
      <c r="L837">
        <v>203</v>
      </c>
      <c r="M837">
        <v>14</v>
      </c>
      <c r="N837" s="10">
        <v>36.1</v>
      </c>
      <c r="O837" s="2">
        <f t="shared" si="29"/>
        <v>300.7987</v>
      </c>
      <c r="P837" s="2">
        <f t="shared" si="31"/>
        <v>136.60499999999999</v>
      </c>
      <c r="Q837">
        <v>0</v>
      </c>
    </row>
    <row r="838" spans="1:17" x14ac:dyDescent="0.25">
      <c r="A838" s="15"/>
      <c r="B838" s="15"/>
      <c r="C838" s="3">
        <f t="shared" si="30"/>
        <v>42.910447761194028</v>
      </c>
      <c r="D838">
        <v>268</v>
      </c>
      <c r="E838">
        <v>115</v>
      </c>
      <c r="F838">
        <v>828</v>
      </c>
      <c r="G838">
        <v>897</v>
      </c>
      <c r="H838" s="7">
        <v>0</v>
      </c>
      <c r="I838">
        <v>0</v>
      </c>
      <c r="J838">
        <v>0</v>
      </c>
      <c r="K838">
        <v>0</v>
      </c>
      <c r="L838">
        <v>203</v>
      </c>
      <c r="M838">
        <v>14</v>
      </c>
      <c r="N838" s="10">
        <v>33.5</v>
      </c>
      <c r="O838" s="2">
        <f t="shared" si="29"/>
        <v>286.98949999999996</v>
      </c>
      <c r="P838" s="2">
        <f t="shared" si="31"/>
        <v>129.47999999999999</v>
      </c>
      <c r="Q838">
        <v>0</v>
      </c>
    </row>
    <row r="839" spans="1:17" x14ac:dyDescent="0.25">
      <c r="A839" s="15"/>
      <c r="B839" s="15"/>
      <c r="C839" s="3">
        <f t="shared" si="30"/>
        <v>53.815261044176708</v>
      </c>
      <c r="D839">
        <v>249</v>
      </c>
      <c r="E839">
        <v>134</v>
      </c>
      <c r="F839">
        <v>828</v>
      </c>
      <c r="G839">
        <v>897</v>
      </c>
      <c r="H839" s="7">
        <v>0</v>
      </c>
      <c r="I839">
        <v>0</v>
      </c>
      <c r="J839">
        <v>0</v>
      </c>
      <c r="K839">
        <v>0</v>
      </c>
      <c r="L839">
        <v>203</v>
      </c>
      <c r="M839">
        <v>14</v>
      </c>
      <c r="N839" s="10">
        <v>31.1</v>
      </c>
      <c r="O839" s="2">
        <f t="shared" si="29"/>
        <v>273.18029999999999</v>
      </c>
      <c r="P839" s="2">
        <f t="shared" si="31"/>
        <v>122.355</v>
      </c>
      <c r="Q839">
        <v>0</v>
      </c>
    </row>
    <row r="840" spans="1:17" x14ac:dyDescent="0.25">
      <c r="A840" s="15"/>
      <c r="B840" s="15"/>
      <c r="C840" s="3">
        <f t="shared" si="30"/>
        <v>5.2197802197802199</v>
      </c>
      <c r="D840">
        <v>364</v>
      </c>
      <c r="E840">
        <v>19</v>
      </c>
      <c r="F840">
        <v>828</v>
      </c>
      <c r="G840">
        <v>897</v>
      </c>
      <c r="H840" s="7">
        <v>0</v>
      </c>
      <c r="I840">
        <v>0</v>
      </c>
      <c r="J840">
        <v>0</v>
      </c>
      <c r="K840">
        <v>0</v>
      </c>
      <c r="L840">
        <v>203</v>
      </c>
      <c r="M840">
        <v>28</v>
      </c>
      <c r="N840" s="10">
        <v>40</v>
      </c>
      <c r="O840" s="2">
        <f t="shared" si="29"/>
        <v>356.76230000000004</v>
      </c>
      <c r="P840" s="2">
        <f t="shared" si="31"/>
        <v>165.48</v>
      </c>
      <c r="Q840">
        <v>0</v>
      </c>
    </row>
    <row r="841" spans="1:17" x14ac:dyDescent="0.25">
      <c r="A841" s="15"/>
      <c r="B841" s="15"/>
      <c r="C841" s="3">
        <f t="shared" si="30"/>
        <v>11.014492753623188</v>
      </c>
      <c r="D841">
        <v>345</v>
      </c>
      <c r="E841">
        <v>38</v>
      </c>
      <c r="F841">
        <v>828</v>
      </c>
      <c r="G841">
        <v>897</v>
      </c>
      <c r="H841" s="7">
        <v>0</v>
      </c>
      <c r="I841">
        <v>0</v>
      </c>
      <c r="J841">
        <v>0</v>
      </c>
      <c r="K841">
        <v>0</v>
      </c>
      <c r="L841">
        <v>203</v>
      </c>
      <c r="M841">
        <v>28</v>
      </c>
      <c r="N841" s="10">
        <v>41.3</v>
      </c>
      <c r="O841" s="2">
        <f t="shared" si="29"/>
        <v>342.95310000000001</v>
      </c>
      <c r="P841" s="2">
        <f t="shared" si="31"/>
        <v>158.35499999999999</v>
      </c>
      <c r="Q841">
        <v>0</v>
      </c>
    </row>
    <row r="842" spans="1:17" x14ac:dyDescent="0.25">
      <c r="A842" s="15"/>
      <c r="B842" s="15"/>
      <c r="C842" s="3">
        <f t="shared" si="30"/>
        <v>17.484662576687114</v>
      </c>
      <c r="D842">
        <v>326</v>
      </c>
      <c r="E842">
        <v>57</v>
      </c>
      <c r="F842">
        <v>828</v>
      </c>
      <c r="G842">
        <v>897</v>
      </c>
      <c r="H842" s="7">
        <v>0</v>
      </c>
      <c r="I842">
        <v>0</v>
      </c>
      <c r="J842">
        <v>0</v>
      </c>
      <c r="K842">
        <v>0</v>
      </c>
      <c r="L842">
        <v>203</v>
      </c>
      <c r="M842">
        <v>28</v>
      </c>
      <c r="N842" s="10">
        <v>41.8</v>
      </c>
      <c r="O842" s="2">
        <f t="shared" si="29"/>
        <v>329.14390000000003</v>
      </c>
      <c r="P842" s="2">
        <f t="shared" si="31"/>
        <v>151.22999999999999</v>
      </c>
      <c r="Q842">
        <v>0</v>
      </c>
    </row>
    <row r="843" spans="1:17" x14ac:dyDescent="0.25">
      <c r="A843" s="15"/>
      <c r="B843" s="15"/>
      <c r="C843" s="3">
        <f t="shared" si="30"/>
        <v>25.163398692810457</v>
      </c>
      <c r="D843">
        <v>306</v>
      </c>
      <c r="E843">
        <v>77</v>
      </c>
      <c r="F843">
        <v>828</v>
      </c>
      <c r="G843">
        <v>897</v>
      </c>
      <c r="H843" s="7">
        <v>0</v>
      </c>
      <c r="I843">
        <v>0</v>
      </c>
      <c r="J843">
        <v>0</v>
      </c>
      <c r="K843">
        <v>0</v>
      </c>
      <c r="L843">
        <v>203</v>
      </c>
      <c r="M843">
        <v>28</v>
      </c>
      <c r="N843" s="10">
        <v>42.5</v>
      </c>
      <c r="O843" s="2">
        <f t="shared" si="29"/>
        <v>314.60790000000003</v>
      </c>
      <c r="P843" s="2">
        <f t="shared" si="31"/>
        <v>143.72999999999999</v>
      </c>
      <c r="Q843">
        <v>0</v>
      </c>
    </row>
    <row r="844" spans="1:17" x14ac:dyDescent="0.25">
      <c r="A844" s="15"/>
      <c r="B844" s="15"/>
      <c r="C844" s="3">
        <f t="shared" si="30"/>
        <v>33.449477351916379</v>
      </c>
      <c r="D844">
        <v>287</v>
      </c>
      <c r="E844">
        <v>96</v>
      </c>
      <c r="F844">
        <v>828</v>
      </c>
      <c r="G844">
        <v>897</v>
      </c>
      <c r="H844" s="7">
        <v>0</v>
      </c>
      <c r="I844">
        <v>0</v>
      </c>
      <c r="J844">
        <v>0</v>
      </c>
      <c r="K844">
        <v>0</v>
      </c>
      <c r="L844">
        <v>203</v>
      </c>
      <c r="M844">
        <v>28</v>
      </c>
      <c r="N844" s="10">
        <v>38.799999999999997</v>
      </c>
      <c r="O844" s="2">
        <f t="shared" si="29"/>
        <v>300.7987</v>
      </c>
      <c r="P844" s="2">
        <f t="shared" si="31"/>
        <v>136.60499999999999</v>
      </c>
      <c r="Q844">
        <v>0</v>
      </c>
    </row>
    <row r="845" spans="1:17" x14ac:dyDescent="0.25">
      <c r="A845" s="15"/>
      <c r="B845" s="15"/>
      <c r="C845" s="3">
        <f t="shared" si="30"/>
        <v>42.910447761194028</v>
      </c>
      <c r="D845">
        <v>268</v>
      </c>
      <c r="E845">
        <v>115</v>
      </c>
      <c r="F845">
        <v>828</v>
      </c>
      <c r="G845">
        <v>897</v>
      </c>
      <c r="H845" s="7">
        <v>0</v>
      </c>
      <c r="I845">
        <v>0</v>
      </c>
      <c r="J845">
        <v>0</v>
      </c>
      <c r="K845">
        <v>0</v>
      </c>
      <c r="L845">
        <v>203</v>
      </c>
      <c r="M845">
        <v>28</v>
      </c>
      <c r="N845" s="10">
        <v>37.6</v>
      </c>
      <c r="O845" s="2">
        <f t="shared" si="29"/>
        <v>286.98949999999996</v>
      </c>
      <c r="P845" s="2">
        <f t="shared" si="31"/>
        <v>129.47999999999999</v>
      </c>
      <c r="Q845">
        <v>0</v>
      </c>
    </row>
    <row r="846" spans="1:17" x14ac:dyDescent="0.25">
      <c r="A846" s="15"/>
      <c r="B846" s="15"/>
      <c r="C846" s="3">
        <f t="shared" si="30"/>
        <v>53.815261044176708</v>
      </c>
      <c r="D846">
        <v>249</v>
      </c>
      <c r="E846">
        <v>134</v>
      </c>
      <c r="F846">
        <v>828</v>
      </c>
      <c r="G846">
        <v>897</v>
      </c>
      <c r="H846" s="7">
        <v>0</v>
      </c>
      <c r="I846">
        <v>0</v>
      </c>
      <c r="J846">
        <v>0</v>
      </c>
      <c r="K846">
        <v>0</v>
      </c>
      <c r="L846">
        <v>203</v>
      </c>
      <c r="M846">
        <v>28</v>
      </c>
      <c r="N846" s="10">
        <v>35.1</v>
      </c>
      <c r="O846" s="2">
        <f t="shared" ref="O846:O909" si="32">SUM((D846*0.83)+(E846*0.1032)+(F846*0.0139)+(G846*0.0459)+(K846*2))</f>
        <v>273.18029999999999</v>
      </c>
      <c r="P846" s="2">
        <f t="shared" si="31"/>
        <v>122.355</v>
      </c>
      <c r="Q846">
        <v>0</v>
      </c>
    </row>
    <row r="847" spans="1:17" x14ac:dyDescent="0.25">
      <c r="A847" s="15"/>
      <c r="B847" s="15"/>
      <c r="C847" s="3">
        <f t="shared" si="30"/>
        <v>5.2197802197802199</v>
      </c>
      <c r="D847">
        <v>364</v>
      </c>
      <c r="E847">
        <v>19</v>
      </c>
      <c r="F847">
        <v>828</v>
      </c>
      <c r="G847">
        <v>897</v>
      </c>
      <c r="H847" s="7">
        <v>0</v>
      </c>
      <c r="I847">
        <v>0</v>
      </c>
      <c r="J847">
        <v>0</v>
      </c>
      <c r="K847">
        <v>0</v>
      </c>
      <c r="L847">
        <v>203</v>
      </c>
      <c r="M847">
        <v>90</v>
      </c>
      <c r="N847" s="10">
        <v>43.3</v>
      </c>
      <c r="O847" s="2">
        <f t="shared" si="32"/>
        <v>356.76230000000004</v>
      </c>
      <c r="P847" s="2">
        <f t="shared" si="31"/>
        <v>165.48</v>
      </c>
      <c r="Q847">
        <v>0</v>
      </c>
    </row>
    <row r="848" spans="1:17" x14ac:dyDescent="0.25">
      <c r="A848" s="15"/>
      <c r="B848" s="15"/>
      <c r="C848" s="3">
        <f t="shared" si="30"/>
        <v>11.014492753623188</v>
      </c>
      <c r="D848">
        <v>345</v>
      </c>
      <c r="E848">
        <v>38</v>
      </c>
      <c r="F848">
        <v>828</v>
      </c>
      <c r="G848">
        <v>897</v>
      </c>
      <c r="H848" s="7">
        <v>0</v>
      </c>
      <c r="I848">
        <v>0</v>
      </c>
      <c r="J848">
        <v>0</v>
      </c>
      <c r="K848">
        <v>0</v>
      </c>
      <c r="L848">
        <v>203</v>
      </c>
      <c r="M848">
        <v>90</v>
      </c>
      <c r="N848" s="10">
        <v>44.8</v>
      </c>
      <c r="O848" s="2">
        <f t="shared" si="32"/>
        <v>342.95310000000001</v>
      </c>
      <c r="P848" s="2">
        <f t="shared" si="31"/>
        <v>158.35499999999999</v>
      </c>
      <c r="Q848">
        <v>0</v>
      </c>
    </row>
    <row r="849" spans="1:17" x14ac:dyDescent="0.25">
      <c r="A849" s="15"/>
      <c r="B849" s="15"/>
      <c r="C849" s="3">
        <f t="shared" si="30"/>
        <v>17.484662576687114</v>
      </c>
      <c r="D849">
        <v>326</v>
      </c>
      <c r="E849">
        <v>57</v>
      </c>
      <c r="F849">
        <v>828</v>
      </c>
      <c r="G849">
        <v>897</v>
      </c>
      <c r="H849" s="7">
        <v>0</v>
      </c>
      <c r="I849">
        <v>0</v>
      </c>
      <c r="J849">
        <v>0</v>
      </c>
      <c r="K849">
        <v>0</v>
      </c>
      <c r="L849">
        <v>203</v>
      </c>
      <c r="M849">
        <v>90</v>
      </c>
      <c r="N849" s="10">
        <v>45.7</v>
      </c>
      <c r="O849" s="2">
        <f t="shared" si="32"/>
        <v>329.14390000000003</v>
      </c>
      <c r="P849" s="2">
        <f t="shared" si="31"/>
        <v>151.22999999999999</v>
      </c>
      <c r="Q849">
        <v>0</v>
      </c>
    </row>
    <row r="850" spans="1:17" x14ac:dyDescent="0.25">
      <c r="A850" s="15"/>
      <c r="B850" s="15"/>
      <c r="C850" s="3">
        <f t="shared" si="30"/>
        <v>25.163398692810457</v>
      </c>
      <c r="D850">
        <v>306</v>
      </c>
      <c r="E850">
        <v>77</v>
      </c>
      <c r="F850">
        <v>828</v>
      </c>
      <c r="G850">
        <v>897</v>
      </c>
      <c r="H850" s="7">
        <v>0</v>
      </c>
      <c r="I850">
        <v>0</v>
      </c>
      <c r="J850">
        <v>0</v>
      </c>
      <c r="K850">
        <v>0</v>
      </c>
      <c r="L850">
        <v>203</v>
      </c>
      <c r="M850">
        <v>90</v>
      </c>
      <c r="N850" s="10">
        <v>46</v>
      </c>
      <c r="O850" s="2">
        <f t="shared" si="32"/>
        <v>314.60790000000003</v>
      </c>
      <c r="P850" s="2">
        <f t="shared" si="31"/>
        <v>143.72999999999999</v>
      </c>
      <c r="Q850">
        <v>0</v>
      </c>
    </row>
    <row r="851" spans="1:17" x14ac:dyDescent="0.25">
      <c r="A851" s="15"/>
      <c r="B851" s="15"/>
      <c r="C851" s="3">
        <f t="shared" si="30"/>
        <v>33.449477351916379</v>
      </c>
      <c r="D851">
        <v>287</v>
      </c>
      <c r="E851">
        <v>96</v>
      </c>
      <c r="F851">
        <v>828</v>
      </c>
      <c r="G851">
        <v>897</v>
      </c>
      <c r="H851" s="7">
        <v>0</v>
      </c>
      <c r="I851">
        <v>0</v>
      </c>
      <c r="J851">
        <v>0</v>
      </c>
      <c r="K851">
        <v>0</v>
      </c>
      <c r="L851">
        <v>203</v>
      </c>
      <c r="M851">
        <v>90</v>
      </c>
      <c r="N851" s="10">
        <v>43</v>
      </c>
      <c r="O851" s="2">
        <f t="shared" si="32"/>
        <v>300.7987</v>
      </c>
      <c r="P851" s="2">
        <f t="shared" si="31"/>
        <v>136.60499999999999</v>
      </c>
      <c r="Q851">
        <v>0</v>
      </c>
    </row>
    <row r="852" spans="1:17" x14ac:dyDescent="0.25">
      <c r="A852" s="15"/>
      <c r="B852" s="15"/>
      <c r="C852" s="3">
        <f t="shared" si="30"/>
        <v>42.910447761194028</v>
      </c>
      <c r="D852">
        <v>268</v>
      </c>
      <c r="E852">
        <v>115</v>
      </c>
      <c r="F852">
        <v>828</v>
      </c>
      <c r="G852">
        <v>897</v>
      </c>
      <c r="H852" s="7">
        <v>0</v>
      </c>
      <c r="I852">
        <v>0</v>
      </c>
      <c r="J852">
        <v>0</v>
      </c>
      <c r="K852">
        <v>0</v>
      </c>
      <c r="L852">
        <v>203</v>
      </c>
      <c r="M852">
        <v>90</v>
      </c>
      <c r="N852" s="10">
        <v>38.700000000000003</v>
      </c>
      <c r="O852" s="2">
        <f t="shared" si="32"/>
        <v>286.98949999999996</v>
      </c>
      <c r="P852" s="2">
        <f t="shared" si="31"/>
        <v>129.47999999999999</v>
      </c>
      <c r="Q852">
        <v>0</v>
      </c>
    </row>
    <row r="853" spans="1:17" x14ac:dyDescent="0.25">
      <c r="A853" s="15"/>
      <c r="B853" s="15"/>
      <c r="C853" s="3">
        <f t="shared" si="30"/>
        <v>53.815261044176708</v>
      </c>
      <c r="D853">
        <v>249</v>
      </c>
      <c r="E853">
        <v>134</v>
      </c>
      <c r="F853">
        <v>828</v>
      </c>
      <c r="G853">
        <v>897</v>
      </c>
      <c r="H853" s="7">
        <v>0</v>
      </c>
      <c r="I853">
        <v>0</v>
      </c>
      <c r="J853">
        <v>0</v>
      </c>
      <c r="K853">
        <v>0</v>
      </c>
      <c r="L853">
        <v>203</v>
      </c>
      <c r="M853">
        <v>90</v>
      </c>
      <c r="N853" s="10">
        <v>37.200000000000003</v>
      </c>
      <c r="O853" s="2">
        <f t="shared" si="32"/>
        <v>273.18029999999999</v>
      </c>
      <c r="P853" s="2">
        <f t="shared" si="31"/>
        <v>122.355</v>
      </c>
      <c r="Q853">
        <v>0</v>
      </c>
    </row>
    <row r="854" spans="1:17" x14ac:dyDescent="0.25">
      <c r="A854" s="15" t="s">
        <v>349</v>
      </c>
      <c r="B854" s="15"/>
      <c r="C854" s="3">
        <f t="shared" si="30"/>
        <v>0</v>
      </c>
      <c r="D854">
        <v>375</v>
      </c>
      <c r="E854">
        <v>0</v>
      </c>
      <c r="F854">
        <v>886.5</v>
      </c>
      <c r="G854">
        <v>1083.5</v>
      </c>
      <c r="H854" s="7">
        <v>0</v>
      </c>
      <c r="I854">
        <v>0</v>
      </c>
      <c r="J854">
        <v>0</v>
      </c>
      <c r="K854">
        <v>0</v>
      </c>
      <c r="L854">
        <v>120</v>
      </c>
      <c r="M854">
        <v>7</v>
      </c>
      <c r="N854" s="10">
        <v>30</v>
      </c>
      <c r="O854" s="2">
        <f t="shared" si="32"/>
        <v>373.30500000000006</v>
      </c>
      <c r="P854" s="2">
        <f t="shared" si="31"/>
        <v>173.49937499999999</v>
      </c>
      <c r="Q854">
        <v>0</v>
      </c>
    </row>
    <row r="855" spans="1:17" x14ac:dyDescent="0.25">
      <c r="A855" s="15"/>
      <c r="B855" s="15"/>
      <c r="C855" s="3">
        <f t="shared" ref="C855:C873" si="33">SUM(E855/D855)*100</f>
        <v>5.2631578947368416</v>
      </c>
      <c r="D855">
        <v>356.25</v>
      </c>
      <c r="E855">
        <v>18.75</v>
      </c>
      <c r="F855">
        <v>886.5</v>
      </c>
      <c r="G855">
        <v>1083.5</v>
      </c>
      <c r="H855" s="7">
        <v>0</v>
      </c>
      <c r="I855">
        <v>0</v>
      </c>
      <c r="J855">
        <v>0</v>
      </c>
      <c r="K855">
        <v>0</v>
      </c>
      <c r="L855">
        <v>150</v>
      </c>
      <c r="M855">
        <v>7</v>
      </c>
      <c r="N855" s="10">
        <v>31.5</v>
      </c>
      <c r="O855" s="2">
        <f t="shared" si="32"/>
        <v>359.67750000000001</v>
      </c>
      <c r="P855" s="2">
        <f t="shared" si="31"/>
        <v>166.46812499999999</v>
      </c>
      <c r="Q855">
        <v>0</v>
      </c>
    </row>
    <row r="856" spans="1:17" x14ac:dyDescent="0.25">
      <c r="A856" s="15"/>
      <c r="B856" s="15"/>
      <c r="C856" s="3">
        <f t="shared" si="33"/>
        <v>11.111111111111111</v>
      </c>
      <c r="D856">
        <v>337.5</v>
      </c>
      <c r="E856">
        <v>37.5</v>
      </c>
      <c r="F856">
        <v>886.5</v>
      </c>
      <c r="G856">
        <v>1083.5</v>
      </c>
      <c r="H856" s="7">
        <v>0</v>
      </c>
      <c r="I856">
        <v>0</v>
      </c>
      <c r="J856">
        <v>0</v>
      </c>
      <c r="K856">
        <v>0</v>
      </c>
      <c r="L856">
        <v>142.5</v>
      </c>
      <c r="M856">
        <v>7</v>
      </c>
      <c r="N856" s="10">
        <v>32.5</v>
      </c>
      <c r="O856" s="2">
        <f t="shared" si="32"/>
        <v>346.05000000000007</v>
      </c>
      <c r="P856" s="2">
        <f t="shared" si="31"/>
        <v>159.43687499999999</v>
      </c>
      <c r="Q856">
        <v>0</v>
      </c>
    </row>
    <row r="857" spans="1:17" x14ac:dyDescent="0.25">
      <c r="A857" s="15"/>
      <c r="B857" s="15"/>
      <c r="C857" s="3">
        <f t="shared" si="33"/>
        <v>17.647058823529413</v>
      </c>
      <c r="D857">
        <v>318.75</v>
      </c>
      <c r="E857">
        <v>56.25</v>
      </c>
      <c r="F857">
        <v>886.5</v>
      </c>
      <c r="G857">
        <v>1083.5</v>
      </c>
      <c r="H857" s="7">
        <v>0</v>
      </c>
      <c r="I857">
        <v>0</v>
      </c>
      <c r="J857">
        <v>0</v>
      </c>
      <c r="K857">
        <v>0</v>
      </c>
      <c r="L857">
        <v>135</v>
      </c>
      <c r="M857">
        <v>7</v>
      </c>
      <c r="N857" s="10">
        <v>35.5</v>
      </c>
      <c r="O857" s="2">
        <f t="shared" si="32"/>
        <v>332.42250000000001</v>
      </c>
      <c r="P857" s="2">
        <f t="shared" si="31"/>
        <v>152.40562499999999</v>
      </c>
      <c r="Q857">
        <v>0</v>
      </c>
    </row>
    <row r="858" spans="1:17" x14ac:dyDescent="0.25">
      <c r="A858" s="15"/>
      <c r="B858" s="15"/>
      <c r="C858" s="3">
        <f t="shared" si="33"/>
        <v>25</v>
      </c>
      <c r="D858">
        <v>300</v>
      </c>
      <c r="E858">
        <v>75</v>
      </c>
      <c r="F858">
        <v>886.5</v>
      </c>
      <c r="G858">
        <v>1083.5</v>
      </c>
      <c r="H858" s="7">
        <v>0</v>
      </c>
      <c r="I858">
        <v>0</v>
      </c>
      <c r="J858">
        <v>0</v>
      </c>
      <c r="K858">
        <v>0</v>
      </c>
      <c r="L858">
        <v>127.5</v>
      </c>
      <c r="M858">
        <v>7</v>
      </c>
      <c r="N858" s="10">
        <v>31</v>
      </c>
      <c r="O858" s="2">
        <f t="shared" si="32"/>
        <v>318.79500000000007</v>
      </c>
      <c r="P858" s="2">
        <f t="shared" si="31"/>
        <v>145.37437499999999</v>
      </c>
      <c r="Q858">
        <v>0</v>
      </c>
    </row>
    <row r="859" spans="1:17" x14ac:dyDescent="0.25">
      <c r="A859" s="15"/>
      <c r="B859" s="15"/>
      <c r="C859" s="3">
        <f t="shared" si="33"/>
        <v>0</v>
      </c>
      <c r="D859">
        <v>375</v>
      </c>
      <c r="E859">
        <v>0</v>
      </c>
      <c r="F859">
        <v>886.5</v>
      </c>
      <c r="G859">
        <v>1083.5</v>
      </c>
      <c r="H859" s="7">
        <v>0</v>
      </c>
      <c r="I859">
        <v>0</v>
      </c>
      <c r="J859">
        <v>0</v>
      </c>
      <c r="K859">
        <v>0</v>
      </c>
      <c r="L859">
        <v>120</v>
      </c>
      <c r="M859">
        <v>28</v>
      </c>
      <c r="N859" s="10">
        <v>44.5</v>
      </c>
      <c r="O859" s="2">
        <f t="shared" si="32"/>
        <v>373.30500000000006</v>
      </c>
      <c r="P859" s="2">
        <f t="shared" si="31"/>
        <v>173.49937499999999</v>
      </c>
      <c r="Q859">
        <v>0</v>
      </c>
    </row>
    <row r="860" spans="1:17" x14ac:dyDescent="0.25">
      <c r="A860" s="15"/>
      <c r="B860" s="15"/>
      <c r="C860" s="3">
        <f t="shared" si="33"/>
        <v>5.2631578947368416</v>
      </c>
      <c r="D860">
        <v>356.25</v>
      </c>
      <c r="E860">
        <v>18.75</v>
      </c>
      <c r="F860">
        <v>886.5</v>
      </c>
      <c r="G860">
        <v>1083.5</v>
      </c>
      <c r="H860" s="7">
        <v>0</v>
      </c>
      <c r="I860">
        <v>0</v>
      </c>
      <c r="J860">
        <v>0</v>
      </c>
      <c r="K860">
        <v>0</v>
      </c>
      <c r="L860">
        <v>150</v>
      </c>
      <c r="M860">
        <v>28</v>
      </c>
      <c r="N860" s="10">
        <v>45.5</v>
      </c>
      <c r="O860" s="2">
        <f t="shared" si="32"/>
        <v>359.67750000000001</v>
      </c>
      <c r="P860" s="2">
        <f t="shared" si="31"/>
        <v>166.46812499999999</v>
      </c>
      <c r="Q860">
        <v>0</v>
      </c>
    </row>
    <row r="861" spans="1:17" x14ac:dyDescent="0.25">
      <c r="A861" s="15"/>
      <c r="B861" s="15"/>
      <c r="C861" s="3">
        <f t="shared" si="33"/>
        <v>11.111111111111111</v>
      </c>
      <c r="D861">
        <v>337.5</v>
      </c>
      <c r="E861">
        <v>37.5</v>
      </c>
      <c r="F861">
        <v>886.5</v>
      </c>
      <c r="G861">
        <v>1083.5</v>
      </c>
      <c r="H861" s="7">
        <v>0</v>
      </c>
      <c r="I861">
        <v>0</v>
      </c>
      <c r="J861">
        <v>0</v>
      </c>
      <c r="K861">
        <v>0</v>
      </c>
      <c r="L861">
        <v>142.5</v>
      </c>
      <c r="M861">
        <v>28</v>
      </c>
      <c r="N861" s="10">
        <v>49.5</v>
      </c>
      <c r="O861" s="2">
        <f t="shared" si="32"/>
        <v>346.05000000000007</v>
      </c>
      <c r="P861" s="2">
        <f t="shared" si="31"/>
        <v>159.43687499999999</v>
      </c>
      <c r="Q861">
        <v>0</v>
      </c>
    </row>
    <row r="862" spans="1:17" x14ac:dyDescent="0.25">
      <c r="A862" s="15"/>
      <c r="B862" s="15"/>
      <c r="C862" s="3">
        <f t="shared" si="33"/>
        <v>5.8823529411764701</v>
      </c>
      <c r="D862">
        <v>318.75</v>
      </c>
      <c r="E862">
        <v>18.75</v>
      </c>
      <c r="F862">
        <v>886.5</v>
      </c>
      <c r="G862">
        <v>1083.5</v>
      </c>
      <c r="H862" s="7">
        <v>0</v>
      </c>
      <c r="I862">
        <v>0</v>
      </c>
      <c r="J862">
        <v>0</v>
      </c>
      <c r="K862">
        <v>0</v>
      </c>
      <c r="L862">
        <v>135</v>
      </c>
      <c r="M862">
        <v>28</v>
      </c>
      <c r="N862" s="10">
        <v>50</v>
      </c>
      <c r="O862" s="2">
        <f t="shared" si="32"/>
        <v>328.55250000000001</v>
      </c>
      <c r="P862" s="2">
        <f t="shared" si="31"/>
        <v>152.40562499999999</v>
      </c>
      <c r="Q862">
        <v>0</v>
      </c>
    </row>
    <row r="863" spans="1:17" x14ac:dyDescent="0.25">
      <c r="A863" s="15"/>
      <c r="B863" s="15"/>
      <c r="C863" s="3">
        <f t="shared" si="33"/>
        <v>12.5</v>
      </c>
      <c r="D863">
        <v>300</v>
      </c>
      <c r="E863">
        <v>37.5</v>
      </c>
      <c r="F863">
        <v>886.5</v>
      </c>
      <c r="G863">
        <v>1083.5</v>
      </c>
      <c r="H863" s="7">
        <v>0</v>
      </c>
      <c r="I863">
        <v>0</v>
      </c>
      <c r="J863">
        <v>0</v>
      </c>
      <c r="K863">
        <v>0</v>
      </c>
      <c r="L863">
        <v>127.5</v>
      </c>
      <c r="M863">
        <v>28</v>
      </c>
      <c r="N863" s="10">
        <v>43</v>
      </c>
      <c r="O863" s="2">
        <f t="shared" si="32"/>
        <v>314.92500000000007</v>
      </c>
      <c r="P863" s="2">
        <f t="shared" si="31"/>
        <v>145.37437499999999</v>
      </c>
      <c r="Q863">
        <v>0</v>
      </c>
    </row>
    <row r="864" spans="1:17" x14ac:dyDescent="0.25">
      <c r="A864" s="15"/>
      <c r="B864" s="15"/>
      <c r="C864" s="3">
        <f t="shared" si="33"/>
        <v>15</v>
      </c>
      <c r="D864">
        <v>375</v>
      </c>
      <c r="E864">
        <v>56.25</v>
      </c>
      <c r="F864">
        <v>886.5</v>
      </c>
      <c r="G864">
        <v>1083.5</v>
      </c>
      <c r="H864" s="7">
        <v>0</v>
      </c>
      <c r="I864">
        <v>0</v>
      </c>
      <c r="J864">
        <v>0</v>
      </c>
      <c r="K864">
        <v>0</v>
      </c>
      <c r="L864">
        <v>120</v>
      </c>
      <c r="M864">
        <v>56</v>
      </c>
      <c r="N864" s="10">
        <v>51.5</v>
      </c>
      <c r="O864" s="2">
        <f t="shared" si="32"/>
        <v>379.11</v>
      </c>
      <c r="P864" s="2">
        <f t="shared" si="31"/>
        <v>173.49937499999999</v>
      </c>
      <c r="Q864">
        <v>0</v>
      </c>
    </row>
    <row r="865" spans="1:17" x14ac:dyDescent="0.25">
      <c r="A865" s="15"/>
      <c r="B865" s="15"/>
      <c r="C865" s="3">
        <f t="shared" si="33"/>
        <v>21.052631578947366</v>
      </c>
      <c r="D865">
        <v>356.25</v>
      </c>
      <c r="E865">
        <v>75</v>
      </c>
      <c r="F865">
        <v>886.5</v>
      </c>
      <c r="G865">
        <v>1083.5</v>
      </c>
      <c r="H865" s="7">
        <v>0</v>
      </c>
      <c r="I865">
        <v>0</v>
      </c>
      <c r="J865">
        <v>0</v>
      </c>
      <c r="K865">
        <v>0</v>
      </c>
      <c r="L865">
        <v>142.5</v>
      </c>
      <c r="M865">
        <v>56</v>
      </c>
      <c r="N865" s="10">
        <v>53.5</v>
      </c>
      <c r="O865" s="2">
        <f t="shared" si="32"/>
        <v>365.48250000000007</v>
      </c>
      <c r="P865" s="2">
        <f t="shared" si="31"/>
        <v>166.46812499999999</v>
      </c>
      <c r="Q865">
        <v>0</v>
      </c>
    </row>
    <row r="866" spans="1:17" x14ac:dyDescent="0.25">
      <c r="A866" s="15"/>
      <c r="B866" s="15"/>
      <c r="C866" s="3">
        <f t="shared" si="33"/>
        <v>0</v>
      </c>
      <c r="D866">
        <v>337.5</v>
      </c>
      <c r="E866">
        <v>0</v>
      </c>
      <c r="F866">
        <v>886.5</v>
      </c>
      <c r="G866">
        <v>1083.5</v>
      </c>
      <c r="H866" s="7">
        <v>0</v>
      </c>
      <c r="I866">
        <v>0</v>
      </c>
      <c r="J866">
        <v>0</v>
      </c>
      <c r="K866">
        <v>0</v>
      </c>
      <c r="L866">
        <v>135</v>
      </c>
      <c r="M866">
        <v>56</v>
      </c>
      <c r="N866" s="10">
        <v>56</v>
      </c>
      <c r="O866" s="2">
        <f t="shared" si="32"/>
        <v>342.18000000000006</v>
      </c>
      <c r="P866" s="2">
        <f t="shared" si="31"/>
        <v>159.43687499999999</v>
      </c>
      <c r="Q866">
        <v>0</v>
      </c>
    </row>
    <row r="867" spans="1:17" x14ac:dyDescent="0.25">
      <c r="A867" s="15"/>
      <c r="B867" s="15"/>
      <c r="C867" s="3">
        <f t="shared" si="33"/>
        <v>5.8823529411764701</v>
      </c>
      <c r="D867">
        <v>318.75</v>
      </c>
      <c r="E867">
        <v>18.75</v>
      </c>
      <c r="F867">
        <v>886.5</v>
      </c>
      <c r="G867">
        <v>1083.5</v>
      </c>
      <c r="H867" s="7">
        <v>0</v>
      </c>
      <c r="I867">
        <v>0</v>
      </c>
      <c r="J867">
        <v>0</v>
      </c>
      <c r="K867">
        <v>0</v>
      </c>
      <c r="L867">
        <v>127.5</v>
      </c>
      <c r="M867">
        <v>56</v>
      </c>
      <c r="N867" s="10">
        <v>59.5</v>
      </c>
      <c r="O867" s="2">
        <f t="shared" si="32"/>
        <v>328.55250000000001</v>
      </c>
      <c r="P867" s="2">
        <f t="shared" si="31"/>
        <v>152.40562499999999</v>
      </c>
      <c r="Q867">
        <v>0</v>
      </c>
    </row>
    <row r="868" spans="1:17" x14ac:dyDescent="0.25">
      <c r="A868" s="15"/>
      <c r="B868" s="15"/>
      <c r="C868" s="3">
        <f t="shared" si="33"/>
        <v>12.5</v>
      </c>
      <c r="D868">
        <v>300</v>
      </c>
      <c r="E868">
        <v>37.5</v>
      </c>
      <c r="F868">
        <v>886.5</v>
      </c>
      <c r="G868">
        <v>1083.5</v>
      </c>
      <c r="H868" s="7">
        <v>0</v>
      </c>
      <c r="I868">
        <v>0</v>
      </c>
      <c r="J868">
        <v>0</v>
      </c>
      <c r="K868">
        <v>0</v>
      </c>
      <c r="L868">
        <v>120</v>
      </c>
      <c r="M868">
        <v>56</v>
      </c>
      <c r="N868" s="10">
        <v>52</v>
      </c>
      <c r="O868" s="2">
        <f t="shared" si="32"/>
        <v>314.92500000000007</v>
      </c>
      <c r="P868" s="2">
        <f t="shared" si="31"/>
        <v>145.37437499999999</v>
      </c>
      <c r="Q868">
        <v>0</v>
      </c>
    </row>
    <row r="869" spans="1:17" x14ac:dyDescent="0.25">
      <c r="A869" s="15"/>
      <c r="B869" s="15"/>
      <c r="C869" s="3">
        <f t="shared" si="33"/>
        <v>15</v>
      </c>
      <c r="D869">
        <v>375</v>
      </c>
      <c r="E869">
        <v>56.25</v>
      </c>
      <c r="F869">
        <v>886.5</v>
      </c>
      <c r="G869">
        <v>1083.5</v>
      </c>
      <c r="H869" s="7">
        <v>0</v>
      </c>
      <c r="I869">
        <v>0</v>
      </c>
      <c r="J869">
        <v>0</v>
      </c>
      <c r="K869">
        <v>0</v>
      </c>
      <c r="L869">
        <v>150</v>
      </c>
      <c r="M869">
        <v>90</v>
      </c>
      <c r="N869" s="10">
        <v>55.5</v>
      </c>
      <c r="O869" s="2">
        <f t="shared" si="32"/>
        <v>379.11</v>
      </c>
      <c r="P869" s="2">
        <f t="shared" si="31"/>
        <v>173.49937499999999</v>
      </c>
      <c r="Q869">
        <v>0</v>
      </c>
    </row>
    <row r="870" spans="1:17" x14ac:dyDescent="0.25">
      <c r="A870" s="15"/>
      <c r="B870" s="15"/>
      <c r="C870" s="3">
        <f t="shared" si="33"/>
        <v>21.052631578947366</v>
      </c>
      <c r="D870">
        <v>356.25</v>
      </c>
      <c r="E870">
        <v>75</v>
      </c>
      <c r="F870">
        <v>886.5</v>
      </c>
      <c r="G870">
        <v>1083.5</v>
      </c>
      <c r="H870" s="7">
        <v>0</v>
      </c>
      <c r="I870">
        <v>0</v>
      </c>
      <c r="J870">
        <v>0</v>
      </c>
      <c r="K870">
        <v>0</v>
      </c>
      <c r="L870">
        <v>142.5</v>
      </c>
      <c r="M870">
        <v>90</v>
      </c>
      <c r="N870" s="10">
        <v>56.5</v>
      </c>
      <c r="O870" s="2">
        <f t="shared" si="32"/>
        <v>365.48250000000007</v>
      </c>
      <c r="P870" s="2">
        <f t="shared" si="31"/>
        <v>166.46812499999999</v>
      </c>
      <c r="Q870">
        <v>0</v>
      </c>
    </row>
    <row r="871" spans="1:17" x14ac:dyDescent="0.25">
      <c r="A871" s="15"/>
      <c r="B871" s="15"/>
      <c r="C871" s="3">
        <f t="shared" si="33"/>
        <v>16.666666666666664</v>
      </c>
      <c r="D871">
        <v>337.5</v>
      </c>
      <c r="E871">
        <v>56.25</v>
      </c>
      <c r="F871">
        <v>886.5</v>
      </c>
      <c r="G871">
        <v>1083.5</v>
      </c>
      <c r="H871" s="7">
        <v>0</v>
      </c>
      <c r="I871">
        <v>0</v>
      </c>
      <c r="J871">
        <v>0</v>
      </c>
      <c r="K871">
        <v>0</v>
      </c>
      <c r="L871">
        <v>135</v>
      </c>
      <c r="M871">
        <v>90</v>
      </c>
      <c r="N871" s="10">
        <v>63</v>
      </c>
      <c r="O871" s="2">
        <f t="shared" si="32"/>
        <v>347.98500000000001</v>
      </c>
      <c r="P871" s="2">
        <f t="shared" si="31"/>
        <v>159.43687499999999</v>
      </c>
      <c r="Q871">
        <v>0</v>
      </c>
    </row>
    <row r="872" spans="1:17" x14ac:dyDescent="0.25">
      <c r="A872" s="15"/>
      <c r="B872" s="15"/>
      <c r="C872" s="3">
        <f t="shared" si="33"/>
        <v>23.52941176470588</v>
      </c>
      <c r="D872">
        <v>318.75</v>
      </c>
      <c r="E872">
        <v>75</v>
      </c>
      <c r="F872">
        <v>886.5</v>
      </c>
      <c r="G872">
        <v>1083.5</v>
      </c>
      <c r="H872" s="7">
        <v>0</v>
      </c>
      <c r="I872">
        <v>0</v>
      </c>
      <c r="J872">
        <v>0</v>
      </c>
      <c r="K872">
        <v>0</v>
      </c>
      <c r="L872">
        <v>127.5</v>
      </c>
      <c r="M872">
        <v>90</v>
      </c>
      <c r="N872" s="10">
        <v>64</v>
      </c>
      <c r="O872" s="2">
        <f t="shared" si="32"/>
        <v>334.35750000000007</v>
      </c>
      <c r="P872" s="2">
        <f t="shared" si="31"/>
        <v>152.40562499999999</v>
      </c>
      <c r="Q872">
        <v>0</v>
      </c>
    </row>
    <row r="873" spans="1:17" x14ac:dyDescent="0.25">
      <c r="A873" s="15"/>
      <c r="B873" s="15"/>
      <c r="C873" s="3">
        <f t="shared" si="33"/>
        <v>0</v>
      </c>
      <c r="D873">
        <v>300</v>
      </c>
      <c r="E873">
        <v>0</v>
      </c>
      <c r="F873">
        <v>886.5</v>
      </c>
      <c r="G873">
        <v>1083.5</v>
      </c>
      <c r="H873" s="7">
        <v>0</v>
      </c>
      <c r="I873">
        <v>0</v>
      </c>
      <c r="J873">
        <v>0</v>
      </c>
      <c r="K873">
        <v>0</v>
      </c>
      <c r="L873">
        <v>150</v>
      </c>
      <c r="M873">
        <v>90</v>
      </c>
      <c r="N873" s="10">
        <v>61</v>
      </c>
      <c r="O873" s="2">
        <f t="shared" si="32"/>
        <v>311.05500000000006</v>
      </c>
      <c r="P873" s="2">
        <f t="shared" si="31"/>
        <v>145.37437499999999</v>
      </c>
      <c r="Q873">
        <v>0</v>
      </c>
    </row>
    <row r="874" spans="1:17" x14ac:dyDescent="0.25">
      <c r="A874" s="15" t="s">
        <v>351</v>
      </c>
      <c r="B874" s="15" t="s">
        <v>350</v>
      </c>
      <c r="C874">
        <v>0</v>
      </c>
      <c r="D874">
        <v>438</v>
      </c>
      <c r="E874">
        <v>0</v>
      </c>
      <c r="F874">
        <v>686.24</v>
      </c>
      <c r="G874">
        <v>1126</v>
      </c>
      <c r="H874" s="7">
        <v>0</v>
      </c>
      <c r="I874">
        <v>0</v>
      </c>
      <c r="J874">
        <v>0</v>
      </c>
      <c r="K874">
        <v>0</v>
      </c>
      <c r="L874">
        <v>197</v>
      </c>
      <c r="M874">
        <v>7</v>
      </c>
      <c r="N874" s="10">
        <v>26</v>
      </c>
      <c r="O874" s="2">
        <f t="shared" si="32"/>
        <v>424.76213599999994</v>
      </c>
      <c r="P874" s="2">
        <f t="shared" si="31"/>
        <v>194.00700000000001</v>
      </c>
      <c r="Q874">
        <v>0</v>
      </c>
    </row>
    <row r="875" spans="1:17" x14ac:dyDescent="0.25">
      <c r="A875" s="15"/>
      <c r="B875" s="15"/>
      <c r="C875">
        <v>0</v>
      </c>
      <c r="D875">
        <v>438</v>
      </c>
      <c r="E875">
        <v>0</v>
      </c>
      <c r="F875">
        <v>686.24</v>
      </c>
      <c r="G875">
        <v>1126</v>
      </c>
      <c r="H875" s="7">
        <v>0</v>
      </c>
      <c r="I875">
        <v>0</v>
      </c>
      <c r="J875">
        <v>0</v>
      </c>
      <c r="K875">
        <v>0</v>
      </c>
      <c r="L875">
        <v>197</v>
      </c>
      <c r="M875">
        <v>28</v>
      </c>
      <c r="N875" s="10">
        <v>29.7</v>
      </c>
      <c r="O875" s="2">
        <f t="shared" si="32"/>
        <v>424.76213599999994</v>
      </c>
      <c r="P875" s="2">
        <f t="shared" si="31"/>
        <v>194.00700000000001</v>
      </c>
      <c r="Q875">
        <v>0</v>
      </c>
    </row>
    <row r="876" spans="1:17" x14ac:dyDescent="0.25">
      <c r="A876" s="15"/>
      <c r="B876" s="15"/>
      <c r="C876">
        <v>10</v>
      </c>
      <c r="D876">
        <v>394.2</v>
      </c>
      <c r="E876">
        <v>43.8</v>
      </c>
      <c r="F876">
        <v>686.24</v>
      </c>
      <c r="G876">
        <v>1126</v>
      </c>
      <c r="H876" s="7">
        <v>0</v>
      </c>
      <c r="I876">
        <v>0</v>
      </c>
      <c r="J876">
        <v>0</v>
      </c>
      <c r="K876">
        <v>0</v>
      </c>
      <c r="L876">
        <v>197</v>
      </c>
      <c r="M876">
        <v>7</v>
      </c>
      <c r="N876" s="10">
        <v>21.9</v>
      </c>
      <c r="O876" s="2">
        <f t="shared" si="32"/>
        <v>392.92829599999993</v>
      </c>
      <c r="P876" s="2">
        <f t="shared" si="31"/>
        <v>177.58200000000002</v>
      </c>
      <c r="Q876">
        <v>0</v>
      </c>
    </row>
    <row r="877" spans="1:17" x14ac:dyDescent="0.25">
      <c r="A877" s="15"/>
      <c r="B877" s="15"/>
      <c r="C877">
        <v>10</v>
      </c>
      <c r="D877">
        <v>394.2</v>
      </c>
      <c r="E877">
        <v>43.8</v>
      </c>
      <c r="F877">
        <v>686.24</v>
      </c>
      <c r="G877">
        <v>1126</v>
      </c>
      <c r="H877" s="7">
        <v>0</v>
      </c>
      <c r="I877">
        <v>0</v>
      </c>
      <c r="J877">
        <v>0</v>
      </c>
      <c r="K877">
        <v>0</v>
      </c>
      <c r="L877">
        <v>197</v>
      </c>
      <c r="M877">
        <v>28</v>
      </c>
      <c r="N877" s="10">
        <v>25.8</v>
      </c>
      <c r="O877" s="2">
        <f t="shared" si="32"/>
        <v>392.92829599999993</v>
      </c>
      <c r="P877" s="2">
        <f t="shared" si="31"/>
        <v>177.58200000000002</v>
      </c>
      <c r="Q877">
        <v>0</v>
      </c>
    </row>
    <row r="878" spans="1:17" x14ac:dyDescent="0.25">
      <c r="A878" s="15"/>
      <c r="B878" s="15"/>
      <c r="C878">
        <v>20</v>
      </c>
      <c r="D878">
        <v>350.4</v>
      </c>
      <c r="E878">
        <v>87.6</v>
      </c>
      <c r="F878">
        <v>686.24</v>
      </c>
      <c r="G878">
        <v>1126</v>
      </c>
      <c r="H878" s="7">
        <v>0</v>
      </c>
      <c r="I878">
        <v>0</v>
      </c>
      <c r="J878">
        <v>0</v>
      </c>
      <c r="K878">
        <v>0</v>
      </c>
      <c r="L878">
        <v>197</v>
      </c>
      <c r="M878">
        <v>7</v>
      </c>
      <c r="N878" s="10">
        <v>21.4</v>
      </c>
      <c r="O878" s="2">
        <f t="shared" si="32"/>
        <v>361.09445600000004</v>
      </c>
      <c r="P878" s="2">
        <f t="shared" si="31"/>
        <v>161.15700000000001</v>
      </c>
      <c r="Q878">
        <v>0</v>
      </c>
    </row>
    <row r="879" spans="1:17" x14ac:dyDescent="0.25">
      <c r="A879" s="15"/>
      <c r="B879" s="15"/>
      <c r="C879">
        <v>20</v>
      </c>
      <c r="D879">
        <v>350.4</v>
      </c>
      <c r="E879">
        <v>87.6</v>
      </c>
      <c r="F879">
        <v>686.24</v>
      </c>
      <c r="G879">
        <v>1126</v>
      </c>
      <c r="H879" s="7">
        <v>0</v>
      </c>
      <c r="I879">
        <v>0</v>
      </c>
      <c r="J879">
        <v>0</v>
      </c>
      <c r="K879">
        <v>0</v>
      </c>
      <c r="L879">
        <v>197</v>
      </c>
      <c r="M879">
        <v>28</v>
      </c>
      <c r="N879" s="10">
        <v>22.8</v>
      </c>
      <c r="O879" s="2">
        <f t="shared" si="32"/>
        <v>361.09445600000004</v>
      </c>
      <c r="P879" s="2">
        <f t="shared" si="31"/>
        <v>161.15700000000001</v>
      </c>
      <c r="Q879">
        <v>0</v>
      </c>
    </row>
    <row r="880" spans="1:17" x14ac:dyDescent="0.25">
      <c r="A880" s="15"/>
      <c r="B880" s="15"/>
      <c r="C880">
        <v>30</v>
      </c>
      <c r="D880">
        <v>306.60000000000002</v>
      </c>
      <c r="E880">
        <v>131.4</v>
      </c>
      <c r="F880">
        <v>686.24</v>
      </c>
      <c r="G880">
        <v>1126</v>
      </c>
      <c r="H880" s="7">
        <v>0</v>
      </c>
      <c r="I880">
        <v>0</v>
      </c>
      <c r="J880">
        <v>0</v>
      </c>
      <c r="K880">
        <v>0</v>
      </c>
      <c r="L880">
        <v>197</v>
      </c>
      <c r="M880">
        <v>7</v>
      </c>
      <c r="N880" s="10">
        <v>20.6</v>
      </c>
      <c r="O880" s="2">
        <f t="shared" si="32"/>
        <v>329.26061600000003</v>
      </c>
      <c r="P880" s="2">
        <f t="shared" si="31"/>
        <v>144.732</v>
      </c>
      <c r="Q880">
        <v>0</v>
      </c>
    </row>
    <row r="881" spans="1:17" x14ac:dyDescent="0.25">
      <c r="A881" s="15"/>
      <c r="B881" s="15"/>
      <c r="C881">
        <v>30</v>
      </c>
      <c r="D881">
        <v>306.60000000000002</v>
      </c>
      <c r="E881">
        <v>131.4</v>
      </c>
      <c r="F881">
        <v>686.24</v>
      </c>
      <c r="G881">
        <v>1126</v>
      </c>
      <c r="H881" s="7">
        <v>0</v>
      </c>
      <c r="I881">
        <v>0</v>
      </c>
      <c r="J881">
        <v>0</v>
      </c>
      <c r="K881">
        <v>0</v>
      </c>
      <c r="L881">
        <v>197</v>
      </c>
      <c r="M881">
        <v>28</v>
      </c>
      <c r="N881" s="10">
        <v>18.899999999999999</v>
      </c>
      <c r="O881" s="2">
        <f t="shared" si="32"/>
        <v>329.26061600000003</v>
      </c>
      <c r="P881" s="2">
        <f t="shared" si="31"/>
        <v>144.732</v>
      </c>
      <c r="Q881">
        <v>0</v>
      </c>
    </row>
    <row r="882" spans="1:17" x14ac:dyDescent="0.25">
      <c r="A882" s="15" t="s">
        <v>353</v>
      </c>
      <c r="B882" s="15" t="s">
        <v>352</v>
      </c>
      <c r="C882">
        <v>0</v>
      </c>
      <c r="D882">
        <v>582</v>
      </c>
      <c r="E882">
        <v>0</v>
      </c>
      <c r="F882">
        <v>1269</v>
      </c>
      <c r="G882">
        <v>0</v>
      </c>
      <c r="H882" s="7">
        <v>0</v>
      </c>
      <c r="I882">
        <v>0</v>
      </c>
      <c r="J882">
        <v>0</v>
      </c>
      <c r="K882">
        <v>128.04</v>
      </c>
      <c r="L882">
        <v>268</v>
      </c>
      <c r="M882">
        <v>3</v>
      </c>
      <c r="N882" s="10">
        <v>16.100000000000001</v>
      </c>
      <c r="O882" s="2">
        <f t="shared" si="32"/>
        <v>756.77909999999997</v>
      </c>
      <c r="P882" s="2">
        <f t="shared" si="31"/>
        <v>434.10374999999993</v>
      </c>
      <c r="Q882">
        <v>0</v>
      </c>
    </row>
    <row r="883" spans="1:17" x14ac:dyDescent="0.25">
      <c r="A883" s="15"/>
      <c r="B883" s="15"/>
      <c r="C883">
        <v>0</v>
      </c>
      <c r="D883">
        <v>582</v>
      </c>
      <c r="E883">
        <v>0</v>
      </c>
      <c r="F883">
        <v>1269</v>
      </c>
      <c r="G883">
        <v>0</v>
      </c>
      <c r="H883" s="7">
        <v>0</v>
      </c>
      <c r="I883">
        <v>0</v>
      </c>
      <c r="J883">
        <v>0</v>
      </c>
      <c r="K883">
        <v>128.04</v>
      </c>
      <c r="L883">
        <v>268</v>
      </c>
      <c r="M883">
        <v>7</v>
      </c>
      <c r="N883" s="10">
        <v>23</v>
      </c>
      <c r="O883" s="2">
        <f t="shared" si="32"/>
        <v>756.77909999999997</v>
      </c>
      <c r="P883" s="2">
        <f t="shared" si="31"/>
        <v>434.10374999999993</v>
      </c>
      <c r="Q883">
        <v>0</v>
      </c>
    </row>
    <row r="884" spans="1:17" x14ac:dyDescent="0.25">
      <c r="A884" s="15"/>
      <c r="B884" s="15"/>
      <c r="C884">
        <v>0</v>
      </c>
      <c r="D884">
        <v>582</v>
      </c>
      <c r="E884">
        <v>0</v>
      </c>
      <c r="F884">
        <v>1269</v>
      </c>
      <c r="G884">
        <v>0</v>
      </c>
      <c r="H884" s="7">
        <v>0</v>
      </c>
      <c r="I884">
        <v>0</v>
      </c>
      <c r="J884">
        <v>0</v>
      </c>
      <c r="K884">
        <v>128.04</v>
      </c>
      <c r="L884">
        <v>268</v>
      </c>
      <c r="M884">
        <v>28</v>
      </c>
      <c r="N884" s="10">
        <v>33.9</v>
      </c>
      <c r="O884" s="2">
        <f t="shared" si="32"/>
        <v>756.77909999999997</v>
      </c>
      <c r="P884" s="2">
        <f t="shared" si="31"/>
        <v>434.10374999999993</v>
      </c>
      <c r="Q884">
        <v>0</v>
      </c>
    </row>
    <row r="885" spans="1:17" x14ac:dyDescent="0.25">
      <c r="A885" s="15"/>
      <c r="B885" s="15"/>
      <c r="C885">
        <v>0</v>
      </c>
      <c r="D885">
        <v>582</v>
      </c>
      <c r="E885">
        <v>0</v>
      </c>
      <c r="F885">
        <v>1269</v>
      </c>
      <c r="G885">
        <v>0</v>
      </c>
      <c r="H885" s="7">
        <v>0</v>
      </c>
      <c r="I885">
        <v>0</v>
      </c>
      <c r="J885">
        <v>0</v>
      </c>
      <c r="K885">
        <v>128.04</v>
      </c>
      <c r="L885">
        <v>268</v>
      </c>
      <c r="M885">
        <v>90</v>
      </c>
      <c r="N885" s="10">
        <v>40.9</v>
      </c>
      <c r="O885" s="2">
        <f t="shared" si="32"/>
        <v>756.77909999999997</v>
      </c>
      <c r="P885" s="2">
        <f t="shared" si="31"/>
        <v>434.10374999999993</v>
      </c>
      <c r="Q885">
        <v>0</v>
      </c>
    </row>
    <row r="886" spans="1:17" x14ac:dyDescent="0.25">
      <c r="A886" s="15"/>
      <c r="B886" s="15"/>
      <c r="C886">
        <v>2.5</v>
      </c>
      <c r="D886">
        <v>567.4</v>
      </c>
      <c r="E886">
        <v>14.55</v>
      </c>
      <c r="F886">
        <v>1269</v>
      </c>
      <c r="G886">
        <v>0</v>
      </c>
      <c r="H886" s="7">
        <v>0</v>
      </c>
      <c r="I886">
        <v>0</v>
      </c>
      <c r="J886">
        <v>0</v>
      </c>
      <c r="K886">
        <v>267.72000000000003</v>
      </c>
      <c r="L886">
        <v>268</v>
      </c>
      <c r="M886">
        <v>3</v>
      </c>
      <c r="N886" s="10">
        <v>18.2</v>
      </c>
      <c r="O886" s="2">
        <f t="shared" si="32"/>
        <v>1025.5226600000001</v>
      </c>
      <c r="P886" s="2">
        <f t="shared" si="31"/>
        <v>638.14875000000006</v>
      </c>
      <c r="Q886">
        <v>0</v>
      </c>
    </row>
    <row r="887" spans="1:17" x14ac:dyDescent="0.25">
      <c r="A887" s="15"/>
      <c r="B887" s="15"/>
      <c r="C887">
        <v>2.5</v>
      </c>
      <c r="D887">
        <v>567.4</v>
      </c>
      <c r="E887">
        <v>14.55</v>
      </c>
      <c r="F887">
        <v>1269</v>
      </c>
      <c r="G887">
        <v>0</v>
      </c>
      <c r="H887" s="7">
        <v>0</v>
      </c>
      <c r="I887">
        <v>0</v>
      </c>
      <c r="J887">
        <v>0</v>
      </c>
      <c r="K887">
        <v>267.72000000000003</v>
      </c>
      <c r="L887">
        <v>268</v>
      </c>
      <c r="M887">
        <v>7</v>
      </c>
      <c r="N887" s="10">
        <v>28.3</v>
      </c>
      <c r="O887" s="2">
        <f t="shared" si="32"/>
        <v>1025.5226600000001</v>
      </c>
      <c r="P887" s="2">
        <f t="shared" si="31"/>
        <v>638.14875000000006</v>
      </c>
      <c r="Q887">
        <v>0</v>
      </c>
    </row>
    <row r="888" spans="1:17" x14ac:dyDescent="0.25">
      <c r="A888" s="15"/>
      <c r="B888" s="15"/>
      <c r="C888">
        <v>2.5</v>
      </c>
      <c r="D888">
        <v>567.4</v>
      </c>
      <c r="E888">
        <v>14.55</v>
      </c>
      <c r="F888">
        <v>1269</v>
      </c>
      <c r="G888">
        <v>0</v>
      </c>
      <c r="H888" s="7">
        <v>0</v>
      </c>
      <c r="I888">
        <v>0</v>
      </c>
      <c r="J888">
        <v>0</v>
      </c>
      <c r="K888">
        <v>267.72000000000003</v>
      </c>
      <c r="L888">
        <v>268</v>
      </c>
      <c r="M888">
        <v>28</v>
      </c>
      <c r="N888" s="10">
        <v>39.9</v>
      </c>
      <c r="O888" s="2">
        <f t="shared" si="32"/>
        <v>1025.5226600000001</v>
      </c>
      <c r="P888" s="2">
        <f t="shared" si="31"/>
        <v>638.14875000000006</v>
      </c>
      <c r="Q888">
        <v>0</v>
      </c>
    </row>
    <row r="889" spans="1:17" x14ac:dyDescent="0.25">
      <c r="A889" s="15"/>
      <c r="B889" s="15"/>
      <c r="C889">
        <v>2.5</v>
      </c>
      <c r="D889">
        <v>567.4</v>
      </c>
      <c r="E889">
        <v>14.55</v>
      </c>
      <c r="F889">
        <v>1269</v>
      </c>
      <c r="G889">
        <v>0</v>
      </c>
      <c r="H889" s="7">
        <v>0</v>
      </c>
      <c r="I889">
        <v>0</v>
      </c>
      <c r="J889">
        <v>0</v>
      </c>
      <c r="K889">
        <v>267.72000000000003</v>
      </c>
      <c r="L889">
        <v>268</v>
      </c>
      <c r="M889">
        <v>90</v>
      </c>
      <c r="N889" s="10">
        <v>44</v>
      </c>
      <c r="O889" s="2">
        <f t="shared" si="32"/>
        <v>1025.5226600000001</v>
      </c>
      <c r="P889" s="2">
        <f t="shared" si="31"/>
        <v>638.14875000000006</v>
      </c>
      <c r="Q889">
        <v>0</v>
      </c>
    </row>
    <row r="890" spans="1:17" x14ac:dyDescent="0.25">
      <c r="A890" s="15"/>
      <c r="B890" s="15"/>
      <c r="C890">
        <v>7.5</v>
      </c>
      <c r="D890">
        <v>535.35</v>
      </c>
      <c r="E890">
        <v>43.65</v>
      </c>
      <c r="F890">
        <v>1269</v>
      </c>
      <c r="G890">
        <v>0</v>
      </c>
      <c r="H890" s="7">
        <v>0</v>
      </c>
      <c r="I890">
        <v>0</v>
      </c>
      <c r="J890">
        <v>0</v>
      </c>
      <c r="K890">
        <v>395.76</v>
      </c>
      <c r="L890">
        <v>268</v>
      </c>
      <c r="M890">
        <v>3</v>
      </c>
      <c r="N890" s="10">
        <v>14.9</v>
      </c>
      <c r="O890" s="2">
        <f t="shared" si="32"/>
        <v>1258.0042800000001</v>
      </c>
      <c r="P890" s="2">
        <f t="shared" si="31"/>
        <v>818.19</v>
      </c>
      <c r="Q890">
        <v>0</v>
      </c>
    </row>
    <row r="891" spans="1:17" x14ac:dyDescent="0.25">
      <c r="A891" s="15"/>
      <c r="B891" s="15"/>
      <c r="C891">
        <v>7.5</v>
      </c>
      <c r="D891">
        <v>535.35</v>
      </c>
      <c r="E891">
        <v>43.65</v>
      </c>
      <c r="F891">
        <v>1269</v>
      </c>
      <c r="G891">
        <v>0</v>
      </c>
      <c r="H891" s="7">
        <v>0</v>
      </c>
      <c r="I891">
        <v>0</v>
      </c>
      <c r="J891">
        <v>0</v>
      </c>
      <c r="K891">
        <v>395.76</v>
      </c>
      <c r="L891">
        <v>268</v>
      </c>
      <c r="M891">
        <v>7</v>
      </c>
      <c r="N891" s="10">
        <v>27.2</v>
      </c>
      <c r="O891" s="2">
        <f t="shared" si="32"/>
        <v>1258.0042800000001</v>
      </c>
      <c r="P891" s="2">
        <f t="shared" si="31"/>
        <v>818.19</v>
      </c>
      <c r="Q891">
        <v>0</v>
      </c>
    </row>
    <row r="892" spans="1:17" x14ac:dyDescent="0.25">
      <c r="A892" s="15"/>
      <c r="B892" s="15"/>
      <c r="C892">
        <v>7.5</v>
      </c>
      <c r="D892">
        <v>535.35</v>
      </c>
      <c r="E892">
        <v>43.65</v>
      </c>
      <c r="F892">
        <v>1269</v>
      </c>
      <c r="G892">
        <v>0</v>
      </c>
      <c r="H892" s="7">
        <v>0</v>
      </c>
      <c r="I892">
        <v>0</v>
      </c>
      <c r="J892">
        <v>0</v>
      </c>
      <c r="K892">
        <v>395.76</v>
      </c>
      <c r="L892">
        <v>268</v>
      </c>
      <c r="M892">
        <v>28</v>
      </c>
      <c r="N892" s="10">
        <v>44.7</v>
      </c>
      <c r="O892" s="2">
        <f t="shared" si="32"/>
        <v>1258.0042800000001</v>
      </c>
      <c r="P892" s="2">
        <f t="shared" si="31"/>
        <v>818.19</v>
      </c>
      <c r="Q892">
        <v>0</v>
      </c>
    </row>
    <row r="893" spans="1:17" x14ac:dyDescent="0.25">
      <c r="A893" s="15"/>
      <c r="B893" s="15"/>
      <c r="C893">
        <v>7.5</v>
      </c>
      <c r="D893">
        <v>535.35</v>
      </c>
      <c r="E893">
        <v>43.65</v>
      </c>
      <c r="F893">
        <v>1269</v>
      </c>
      <c r="G893">
        <v>0</v>
      </c>
      <c r="H893" s="7">
        <v>0</v>
      </c>
      <c r="I893">
        <v>0</v>
      </c>
      <c r="J893">
        <v>0</v>
      </c>
      <c r="K893">
        <v>395.76</v>
      </c>
      <c r="L893">
        <v>268</v>
      </c>
      <c r="M893">
        <v>90</v>
      </c>
      <c r="N893" s="10">
        <v>51.6</v>
      </c>
      <c r="O893" s="2">
        <f t="shared" si="32"/>
        <v>1258.0042800000001</v>
      </c>
      <c r="P893" s="2">
        <f t="shared" si="31"/>
        <v>818.19</v>
      </c>
      <c r="Q893">
        <v>0</v>
      </c>
    </row>
    <row r="894" spans="1:17" x14ac:dyDescent="0.25">
      <c r="A894" s="15"/>
      <c r="B894" s="15"/>
      <c r="C894">
        <v>7.5</v>
      </c>
      <c r="D894">
        <v>535.35</v>
      </c>
      <c r="E894">
        <v>43.65</v>
      </c>
      <c r="F894">
        <v>1269</v>
      </c>
      <c r="G894">
        <v>0</v>
      </c>
      <c r="H894" s="7">
        <v>0</v>
      </c>
      <c r="I894">
        <v>0</v>
      </c>
      <c r="J894">
        <v>0</v>
      </c>
      <c r="K894">
        <v>395.76</v>
      </c>
      <c r="L894">
        <v>268</v>
      </c>
      <c r="M894">
        <v>3</v>
      </c>
      <c r="N894" s="10">
        <v>14.5</v>
      </c>
      <c r="O894" s="2">
        <f t="shared" si="32"/>
        <v>1258.0042800000001</v>
      </c>
      <c r="P894" s="2">
        <f t="shared" si="31"/>
        <v>818.19</v>
      </c>
      <c r="Q894">
        <v>0</v>
      </c>
    </row>
    <row r="895" spans="1:17" x14ac:dyDescent="0.25">
      <c r="A895" s="15"/>
      <c r="B895" s="15"/>
      <c r="C895">
        <v>7.5</v>
      </c>
      <c r="D895">
        <v>535.35</v>
      </c>
      <c r="E895">
        <v>43.65</v>
      </c>
      <c r="F895">
        <v>1269</v>
      </c>
      <c r="G895">
        <v>0</v>
      </c>
      <c r="H895" s="7">
        <v>0</v>
      </c>
      <c r="I895">
        <v>0</v>
      </c>
      <c r="J895">
        <v>0</v>
      </c>
      <c r="K895">
        <v>395.76</v>
      </c>
      <c r="L895">
        <v>268</v>
      </c>
      <c r="M895">
        <v>7</v>
      </c>
      <c r="N895" s="10">
        <v>25.2</v>
      </c>
      <c r="O895" s="2">
        <f t="shared" si="32"/>
        <v>1258.0042800000001</v>
      </c>
      <c r="P895" s="2">
        <f t="shared" si="31"/>
        <v>818.19</v>
      </c>
      <c r="Q895">
        <v>0</v>
      </c>
    </row>
    <row r="896" spans="1:17" x14ac:dyDescent="0.25">
      <c r="A896" s="15"/>
      <c r="B896" s="15"/>
      <c r="C896">
        <v>7.5</v>
      </c>
      <c r="D896">
        <v>535.35</v>
      </c>
      <c r="E896">
        <v>43.65</v>
      </c>
      <c r="F896">
        <v>1269</v>
      </c>
      <c r="G896">
        <v>0</v>
      </c>
      <c r="H896" s="7">
        <v>0</v>
      </c>
      <c r="I896">
        <v>0</v>
      </c>
      <c r="J896">
        <v>0</v>
      </c>
      <c r="K896">
        <v>395.76</v>
      </c>
      <c r="L896">
        <v>268</v>
      </c>
      <c r="M896">
        <v>28</v>
      </c>
      <c r="N896" s="10">
        <v>39</v>
      </c>
      <c r="O896" s="2">
        <f t="shared" si="32"/>
        <v>1258.0042800000001</v>
      </c>
      <c r="P896" s="2">
        <f t="shared" si="31"/>
        <v>818.19</v>
      </c>
      <c r="Q896">
        <v>0</v>
      </c>
    </row>
    <row r="897" spans="1:17" x14ac:dyDescent="0.25">
      <c r="A897" s="15"/>
      <c r="B897" s="15"/>
      <c r="C897">
        <v>7.5</v>
      </c>
      <c r="D897">
        <v>535.35</v>
      </c>
      <c r="E897">
        <v>43.65</v>
      </c>
      <c r="F897">
        <v>1269</v>
      </c>
      <c r="G897">
        <v>0</v>
      </c>
      <c r="H897" s="7">
        <v>0</v>
      </c>
      <c r="I897">
        <v>0</v>
      </c>
      <c r="J897">
        <v>0</v>
      </c>
      <c r="K897">
        <v>395.76</v>
      </c>
      <c r="L897">
        <v>268</v>
      </c>
      <c r="M897">
        <v>90</v>
      </c>
      <c r="N897" s="10">
        <v>44.8</v>
      </c>
      <c r="O897" s="2">
        <f t="shared" si="32"/>
        <v>1258.0042800000001</v>
      </c>
      <c r="P897" s="2">
        <f t="shared" si="31"/>
        <v>818.19</v>
      </c>
      <c r="Q897">
        <v>0</v>
      </c>
    </row>
    <row r="898" spans="1:17" x14ac:dyDescent="0.25">
      <c r="A898" s="15"/>
      <c r="B898" s="15"/>
      <c r="C898">
        <v>12.5</v>
      </c>
      <c r="D898">
        <v>509.25</v>
      </c>
      <c r="E898">
        <v>72.75</v>
      </c>
      <c r="F898">
        <v>1269</v>
      </c>
      <c r="G898">
        <v>0</v>
      </c>
      <c r="H898" s="7">
        <v>0</v>
      </c>
      <c r="I898">
        <v>0</v>
      </c>
      <c r="J898">
        <v>0</v>
      </c>
      <c r="K898">
        <v>499.06</v>
      </c>
      <c r="L898">
        <v>268</v>
      </c>
      <c r="M898">
        <v>3</v>
      </c>
      <c r="N898" s="10">
        <v>14</v>
      </c>
      <c r="O898" s="2">
        <f t="shared" si="32"/>
        <v>1445.9443999999999</v>
      </c>
      <c r="P898" s="2">
        <f t="shared" si="31"/>
        <v>963.35249999999996</v>
      </c>
      <c r="Q898">
        <v>0</v>
      </c>
    </row>
    <row r="899" spans="1:17" x14ac:dyDescent="0.25">
      <c r="A899" s="15"/>
      <c r="B899" s="15"/>
      <c r="C899">
        <v>12.5</v>
      </c>
      <c r="D899">
        <v>509.25</v>
      </c>
      <c r="E899">
        <v>72.75</v>
      </c>
      <c r="F899">
        <v>1269</v>
      </c>
      <c r="G899">
        <v>0</v>
      </c>
      <c r="H899" s="7">
        <v>0</v>
      </c>
      <c r="I899">
        <v>0</v>
      </c>
      <c r="J899">
        <v>0</v>
      </c>
      <c r="K899">
        <v>499.06</v>
      </c>
      <c r="L899">
        <v>268</v>
      </c>
      <c r="M899">
        <v>7</v>
      </c>
      <c r="N899" s="10">
        <v>24.2</v>
      </c>
      <c r="O899" s="2">
        <f t="shared" si="32"/>
        <v>1445.9443999999999</v>
      </c>
      <c r="P899" s="2">
        <f t="shared" ref="P899:P941" si="34">SUM((D899*5)+((F899*0.25)+(G899*0.2)+(K899*20)))*0.075</f>
        <v>963.35249999999996</v>
      </c>
      <c r="Q899">
        <v>0</v>
      </c>
    </row>
    <row r="900" spans="1:17" x14ac:dyDescent="0.25">
      <c r="A900" s="15"/>
      <c r="B900" s="15"/>
      <c r="C900">
        <v>12.5</v>
      </c>
      <c r="D900">
        <v>509.25</v>
      </c>
      <c r="E900">
        <v>72.75</v>
      </c>
      <c r="F900">
        <v>1269</v>
      </c>
      <c r="G900">
        <v>0</v>
      </c>
      <c r="H900" s="7">
        <v>0</v>
      </c>
      <c r="I900">
        <v>0</v>
      </c>
      <c r="J900">
        <v>0</v>
      </c>
      <c r="K900">
        <v>499.06</v>
      </c>
      <c r="L900">
        <v>268</v>
      </c>
      <c r="M900">
        <v>28</v>
      </c>
      <c r="N900" s="10">
        <v>45.5</v>
      </c>
      <c r="O900" s="2">
        <f t="shared" si="32"/>
        <v>1445.9443999999999</v>
      </c>
      <c r="P900" s="2">
        <f t="shared" si="34"/>
        <v>963.35249999999996</v>
      </c>
      <c r="Q900">
        <v>0</v>
      </c>
    </row>
    <row r="901" spans="1:17" x14ac:dyDescent="0.25">
      <c r="A901" s="15"/>
      <c r="B901" s="15"/>
      <c r="C901">
        <v>12.5</v>
      </c>
      <c r="D901">
        <v>509.25</v>
      </c>
      <c r="E901">
        <v>72.75</v>
      </c>
      <c r="F901">
        <v>1269</v>
      </c>
      <c r="G901">
        <v>0</v>
      </c>
      <c r="H901" s="7">
        <v>0</v>
      </c>
      <c r="I901">
        <v>0</v>
      </c>
      <c r="J901">
        <v>0</v>
      </c>
      <c r="K901">
        <v>499.06</v>
      </c>
      <c r="L901">
        <v>268</v>
      </c>
      <c r="M901">
        <v>90</v>
      </c>
      <c r="N901" s="10">
        <v>52.1</v>
      </c>
      <c r="O901" s="2">
        <f t="shared" si="32"/>
        <v>1445.9443999999999</v>
      </c>
      <c r="P901" s="2">
        <f t="shared" si="34"/>
        <v>963.35249999999996</v>
      </c>
      <c r="Q901">
        <v>0</v>
      </c>
    </row>
    <row r="902" spans="1:17" x14ac:dyDescent="0.25">
      <c r="A902" s="15" t="s">
        <v>398</v>
      </c>
      <c r="B902" s="15" t="s">
        <v>396</v>
      </c>
      <c r="C902">
        <v>0</v>
      </c>
      <c r="D902">
        <v>440</v>
      </c>
      <c r="E902">
        <v>0</v>
      </c>
      <c r="F902">
        <v>731</v>
      </c>
      <c r="G902">
        <v>930</v>
      </c>
      <c r="H902" s="7">
        <v>0</v>
      </c>
      <c r="I902">
        <v>0</v>
      </c>
      <c r="J902">
        <v>0</v>
      </c>
      <c r="K902">
        <v>0</v>
      </c>
      <c r="L902">
        <v>198</v>
      </c>
      <c r="M902">
        <v>7</v>
      </c>
      <c r="N902" s="10">
        <v>31.5</v>
      </c>
      <c r="O902" s="2">
        <f t="shared" si="32"/>
        <v>418.04790000000003</v>
      </c>
      <c r="P902" s="2">
        <f t="shared" si="34"/>
        <v>192.65625</v>
      </c>
      <c r="Q902">
        <v>178</v>
      </c>
    </row>
    <row r="903" spans="1:17" x14ac:dyDescent="0.25">
      <c r="A903" s="15"/>
      <c r="B903" s="15"/>
      <c r="C903">
        <v>0</v>
      </c>
      <c r="D903">
        <v>440</v>
      </c>
      <c r="E903">
        <v>0</v>
      </c>
      <c r="F903">
        <v>731</v>
      </c>
      <c r="G903">
        <v>930</v>
      </c>
      <c r="H903" s="7">
        <v>0</v>
      </c>
      <c r="I903">
        <v>0</v>
      </c>
      <c r="J903">
        <v>0</v>
      </c>
      <c r="K903">
        <v>0</v>
      </c>
      <c r="L903">
        <v>198</v>
      </c>
      <c r="M903">
        <v>28</v>
      </c>
      <c r="N903" s="10">
        <v>42.2</v>
      </c>
      <c r="O903" s="2">
        <f t="shared" si="32"/>
        <v>418.04790000000003</v>
      </c>
      <c r="P903" s="2">
        <f t="shared" si="34"/>
        <v>192.65625</v>
      </c>
      <c r="Q903">
        <v>178</v>
      </c>
    </row>
    <row r="904" spans="1:17" x14ac:dyDescent="0.25">
      <c r="A904" s="15"/>
      <c r="B904" s="15"/>
      <c r="C904">
        <v>0</v>
      </c>
      <c r="D904">
        <v>440</v>
      </c>
      <c r="E904">
        <v>0</v>
      </c>
      <c r="F904">
        <v>731</v>
      </c>
      <c r="G904">
        <v>930</v>
      </c>
      <c r="H904" s="7">
        <v>0</v>
      </c>
      <c r="I904">
        <v>0</v>
      </c>
      <c r="J904">
        <v>0</v>
      </c>
      <c r="K904">
        <v>0</v>
      </c>
      <c r="L904">
        <v>198</v>
      </c>
      <c r="M904">
        <v>56</v>
      </c>
      <c r="N904" s="10">
        <v>48.8</v>
      </c>
      <c r="O904" s="2">
        <f t="shared" si="32"/>
        <v>418.04790000000003</v>
      </c>
      <c r="P904" s="2">
        <f t="shared" si="34"/>
        <v>192.65625</v>
      </c>
      <c r="Q904">
        <v>178</v>
      </c>
    </row>
    <row r="905" spans="1:17" x14ac:dyDescent="0.25">
      <c r="A905" s="15"/>
      <c r="B905" s="15"/>
      <c r="C905">
        <v>0</v>
      </c>
      <c r="D905">
        <v>440</v>
      </c>
      <c r="E905">
        <v>0</v>
      </c>
      <c r="F905">
        <v>731</v>
      </c>
      <c r="G905">
        <v>930</v>
      </c>
      <c r="H905" s="7">
        <v>0</v>
      </c>
      <c r="I905">
        <v>0</v>
      </c>
      <c r="J905">
        <v>0</v>
      </c>
      <c r="K905">
        <v>0</v>
      </c>
      <c r="L905">
        <v>198</v>
      </c>
      <c r="M905">
        <v>90</v>
      </c>
      <c r="N905" s="10">
        <v>51.1</v>
      </c>
      <c r="O905" s="2">
        <f t="shared" si="32"/>
        <v>418.04790000000003</v>
      </c>
      <c r="P905" s="2">
        <f t="shared" si="34"/>
        <v>192.65625</v>
      </c>
      <c r="Q905">
        <v>178</v>
      </c>
    </row>
    <row r="906" spans="1:17" x14ac:dyDescent="0.25">
      <c r="A906" s="15"/>
      <c r="B906" s="15"/>
      <c r="C906">
        <v>0</v>
      </c>
      <c r="D906">
        <v>440</v>
      </c>
      <c r="E906">
        <v>0</v>
      </c>
      <c r="F906">
        <v>731</v>
      </c>
      <c r="G906">
        <v>930</v>
      </c>
      <c r="H906" s="7">
        <v>0</v>
      </c>
      <c r="I906">
        <v>0</v>
      </c>
      <c r="J906">
        <v>0</v>
      </c>
      <c r="K906">
        <v>0</v>
      </c>
      <c r="L906">
        <v>198</v>
      </c>
      <c r="M906">
        <v>180</v>
      </c>
      <c r="N906" s="10">
        <v>51.5</v>
      </c>
      <c r="O906" s="2">
        <f t="shared" si="32"/>
        <v>418.04790000000003</v>
      </c>
      <c r="P906" s="2">
        <f t="shared" si="34"/>
        <v>192.65625</v>
      </c>
      <c r="Q906">
        <v>178</v>
      </c>
    </row>
    <row r="907" spans="1:17" x14ac:dyDescent="0.25">
      <c r="A907" s="15"/>
      <c r="B907" s="15"/>
      <c r="C907">
        <v>0</v>
      </c>
      <c r="D907">
        <v>440</v>
      </c>
      <c r="E907">
        <v>0</v>
      </c>
      <c r="F907">
        <v>731</v>
      </c>
      <c r="G907">
        <v>930.1</v>
      </c>
      <c r="H907" s="7">
        <v>0</v>
      </c>
      <c r="I907">
        <v>2.38</v>
      </c>
      <c r="J907">
        <v>0</v>
      </c>
      <c r="K907">
        <v>22</v>
      </c>
      <c r="L907">
        <v>198</v>
      </c>
      <c r="M907">
        <v>7</v>
      </c>
      <c r="N907" s="10">
        <v>35.299999999999997</v>
      </c>
      <c r="O907" s="2">
        <f t="shared" si="32"/>
        <v>462.05249000000003</v>
      </c>
      <c r="P907" s="2">
        <f t="shared" si="34"/>
        <v>225.65774999999999</v>
      </c>
      <c r="Q907">
        <v>178</v>
      </c>
    </row>
    <row r="908" spans="1:17" x14ac:dyDescent="0.25">
      <c r="A908" s="15"/>
      <c r="B908" s="15"/>
      <c r="C908">
        <v>0</v>
      </c>
      <c r="D908">
        <v>440</v>
      </c>
      <c r="E908">
        <v>0</v>
      </c>
      <c r="F908">
        <v>731</v>
      </c>
      <c r="G908">
        <v>930.1</v>
      </c>
      <c r="H908" s="7">
        <v>0</v>
      </c>
      <c r="I908">
        <v>2.38</v>
      </c>
      <c r="J908">
        <v>0</v>
      </c>
      <c r="K908">
        <v>22</v>
      </c>
      <c r="L908">
        <v>198</v>
      </c>
      <c r="M908">
        <v>28</v>
      </c>
      <c r="N908" s="10">
        <v>47.6</v>
      </c>
      <c r="O908" s="2">
        <f t="shared" si="32"/>
        <v>462.05249000000003</v>
      </c>
      <c r="P908" s="2">
        <f t="shared" si="34"/>
        <v>225.65774999999999</v>
      </c>
      <c r="Q908">
        <v>178</v>
      </c>
    </row>
    <row r="909" spans="1:17" x14ac:dyDescent="0.25">
      <c r="A909" s="15"/>
      <c r="B909" s="15"/>
      <c r="C909">
        <v>0</v>
      </c>
      <c r="D909">
        <v>440</v>
      </c>
      <c r="E909">
        <v>0</v>
      </c>
      <c r="F909">
        <v>731</v>
      </c>
      <c r="G909">
        <v>930.1</v>
      </c>
      <c r="H909" s="7">
        <v>0</v>
      </c>
      <c r="I909">
        <v>2.38</v>
      </c>
      <c r="J909">
        <v>0</v>
      </c>
      <c r="K909">
        <v>22</v>
      </c>
      <c r="L909">
        <v>198</v>
      </c>
      <c r="M909">
        <v>56</v>
      </c>
      <c r="N909" s="10">
        <v>54.7</v>
      </c>
      <c r="O909" s="2">
        <f t="shared" si="32"/>
        <v>462.05249000000003</v>
      </c>
      <c r="P909" s="2">
        <f t="shared" si="34"/>
        <v>225.65774999999999</v>
      </c>
      <c r="Q909">
        <v>178</v>
      </c>
    </row>
    <row r="910" spans="1:17" x14ac:dyDescent="0.25">
      <c r="A910" s="15"/>
      <c r="B910" s="15"/>
      <c r="C910">
        <v>0</v>
      </c>
      <c r="D910">
        <v>440</v>
      </c>
      <c r="E910">
        <v>0</v>
      </c>
      <c r="F910">
        <v>731</v>
      </c>
      <c r="G910">
        <v>930.1</v>
      </c>
      <c r="H910" s="7">
        <v>0</v>
      </c>
      <c r="I910">
        <v>2.38</v>
      </c>
      <c r="J910">
        <v>0</v>
      </c>
      <c r="K910">
        <v>22</v>
      </c>
      <c r="L910">
        <v>198</v>
      </c>
      <c r="M910">
        <v>90</v>
      </c>
      <c r="N910" s="10">
        <v>55.8</v>
      </c>
      <c r="O910" s="2">
        <f t="shared" ref="O910:O941" si="35">SUM((D910*0.83)+(E910*0.1032)+(F910*0.0139)+(G910*0.0459)+(K910*2))</f>
        <v>462.05249000000003</v>
      </c>
      <c r="P910" s="2">
        <f t="shared" si="34"/>
        <v>225.65774999999999</v>
      </c>
      <c r="Q910">
        <v>178</v>
      </c>
    </row>
    <row r="911" spans="1:17" x14ac:dyDescent="0.25">
      <c r="A911" s="15"/>
      <c r="B911" s="15"/>
      <c r="C911">
        <v>0</v>
      </c>
      <c r="D911">
        <v>440</v>
      </c>
      <c r="E911">
        <v>0</v>
      </c>
      <c r="F911">
        <v>731</v>
      </c>
      <c r="G911">
        <v>930.1</v>
      </c>
      <c r="H911" s="7">
        <v>0</v>
      </c>
      <c r="I911">
        <v>2.38</v>
      </c>
      <c r="J911">
        <v>0</v>
      </c>
      <c r="K911">
        <v>22</v>
      </c>
      <c r="L911">
        <v>198</v>
      </c>
      <c r="M911">
        <v>180</v>
      </c>
      <c r="N911" s="10">
        <v>56.6</v>
      </c>
      <c r="O911" s="2">
        <f t="shared" si="35"/>
        <v>462.05249000000003</v>
      </c>
      <c r="P911" s="2">
        <f t="shared" si="34"/>
        <v>225.65774999999999</v>
      </c>
      <c r="Q911">
        <v>178</v>
      </c>
    </row>
    <row r="912" spans="1:17" x14ac:dyDescent="0.25">
      <c r="A912" s="15"/>
      <c r="B912" s="15"/>
      <c r="C912">
        <v>10</v>
      </c>
      <c r="D912">
        <v>396</v>
      </c>
      <c r="E912">
        <v>44</v>
      </c>
      <c r="F912">
        <v>723.5</v>
      </c>
      <c r="G912">
        <v>921</v>
      </c>
      <c r="H912" s="7">
        <v>0</v>
      </c>
      <c r="I912">
        <v>0</v>
      </c>
      <c r="J912">
        <v>0</v>
      </c>
      <c r="K912">
        <v>138.6</v>
      </c>
      <c r="L912">
        <v>198</v>
      </c>
      <c r="M912">
        <v>7</v>
      </c>
      <c r="N912" s="10">
        <v>32.9</v>
      </c>
      <c r="O912" s="2">
        <f t="shared" si="35"/>
        <v>662.75135</v>
      </c>
      <c r="P912" s="2">
        <f t="shared" si="34"/>
        <v>383.78062499999999</v>
      </c>
      <c r="Q912">
        <v>127</v>
      </c>
    </row>
    <row r="913" spans="1:17" x14ac:dyDescent="0.25">
      <c r="A913" s="15"/>
      <c r="B913" s="15"/>
      <c r="C913">
        <v>10</v>
      </c>
      <c r="D913">
        <v>396</v>
      </c>
      <c r="E913">
        <v>44</v>
      </c>
      <c r="F913">
        <v>723.5</v>
      </c>
      <c r="G913">
        <v>921</v>
      </c>
      <c r="H913" s="7">
        <v>0</v>
      </c>
      <c r="I913">
        <v>0</v>
      </c>
      <c r="J913">
        <v>0</v>
      </c>
      <c r="K913">
        <v>138.6</v>
      </c>
      <c r="L913">
        <v>198</v>
      </c>
      <c r="M913">
        <v>28</v>
      </c>
      <c r="N913" s="10">
        <v>43.8</v>
      </c>
      <c r="O913" s="2">
        <f t="shared" si="35"/>
        <v>662.75135</v>
      </c>
      <c r="P913" s="2">
        <f t="shared" si="34"/>
        <v>383.78062499999999</v>
      </c>
      <c r="Q913">
        <v>127</v>
      </c>
    </row>
    <row r="914" spans="1:17" x14ac:dyDescent="0.25">
      <c r="A914" s="15"/>
      <c r="B914" s="15"/>
      <c r="C914">
        <v>10</v>
      </c>
      <c r="D914">
        <v>396</v>
      </c>
      <c r="E914">
        <v>44</v>
      </c>
      <c r="F914">
        <v>723.5</v>
      </c>
      <c r="G914">
        <v>921</v>
      </c>
      <c r="H914" s="7">
        <v>0</v>
      </c>
      <c r="I914">
        <v>0</v>
      </c>
      <c r="J914">
        <v>0</v>
      </c>
      <c r="K914">
        <v>138.6</v>
      </c>
      <c r="L914">
        <v>198</v>
      </c>
      <c r="M914">
        <v>56</v>
      </c>
      <c r="N914" s="10">
        <v>49.2</v>
      </c>
      <c r="O914" s="2">
        <f t="shared" si="35"/>
        <v>662.75135</v>
      </c>
      <c r="P914" s="2">
        <f t="shared" si="34"/>
        <v>383.78062499999999</v>
      </c>
      <c r="Q914">
        <v>127</v>
      </c>
    </row>
    <row r="915" spans="1:17" x14ac:dyDescent="0.25">
      <c r="A915" s="15"/>
      <c r="B915" s="15"/>
      <c r="C915">
        <v>10</v>
      </c>
      <c r="D915">
        <v>396</v>
      </c>
      <c r="E915">
        <v>44</v>
      </c>
      <c r="F915">
        <v>723.5</v>
      </c>
      <c r="G915">
        <v>921</v>
      </c>
      <c r="H915" s="7">
        <v>0</v>
      </c>
      <c r="I915">
        <v>0</v>
      </c>
      <c r="J915">
        <v>0</v>
      </c>
      <c r="K915">
        <v>138.6</v>
      </c>
      <c r="L915">
        <v>198</v>
      </c>
      <c r="M915">
        <v>90</v>
      </c>
      <c r="N915" s="10">
        <v>52.1</v>
      </c>
      <c r="O915" s="2">
        <f t="shared" si="35"/>
        <v>662.75135</v>
      </c>
      <c r="P915" s="2">
        <f t="shared" si="34"/>
        <v>383.78062499999999</v>
      </c>
      <c r="Q915">
        <v>127</v>
      </c>
    </row>
    <row r="916" spans="1:17" x14ac:dyDescent="0.25">
      <c r="A916" s="15"/>
      <c r="B916" s="15"/>
      <c r="C916">
        <v>10</v>
      </c>
      <c r="D916">
        <v>396</v>
      </c>
      <c r="E916">
        <v>44</v>
      </c>
      <c r="F916">
        <v>723.5</v>
      </c>
      <c r="G916">
        <v>921</v>
      </c>
      <c r="H916" s="7">
        <v>0</v>
      </c>
      <c r="I916">
        <v>0</v>
      </c>
      <c r="J916">
        <v>0</v>
      </c>
      <c r="K916">
        <v>138.6</v>
      </c>
      <c r="L916">
        <v>198</v>
      </c>
      <c r="M916">
        <v>180</v>
      </c>
      <c r="N916" s="10">
        <v>52.6</v>
      </c>
      <c r="O916" s="2">
        <f t="shared" si="35"/>
        <v>662.75135</v>
      </c>
      <c r="P916" s="2">
        <f t="shared" si="34"/>
        <v>383.78062499999999</v>
      </c>
      <c r="Q916">
        <v>127</v>
      </c>
    </row>
    <row r="917" spans="1:17" x14ac:dyDescent="0.25">
      <c r="A917" s="15"/>
      <c r="B917" s="15"/>
      <c r="C917">
        <v>10</v>
      </c>
      <c r="D917">
        <v>396</v>
      </c>
      <c r="E917">
        <v>44</v>
      </c>
      <c r="F917">
        <v>723.4</v>
      </c>
      <c r="G917">
        <v>920.6</v>
      </c>
      <c r="H917" s="7">
        <v>0</v>
      </c>
      <c r="I917">
        <v>2.38</v>
      </c>
      <c r="J917">
        <v>0</v>
      </c>
      <c r="K917">
        <v>146.5</v>
      </c>
      <c r="L917">
        <v>198</v>
      </c>
      <c r="M917">
        <v>7</v>
      </c>
      <c r="N917" s="10">
        <v>38.6</v>
      </c>
      <c r="O917" s="2">
        <f t="shared" si="35"/>
        <v>678.53160000000003</v>
      </c>
      <c r="P917" s="2">
        <f t="shared" si="34"/>
        <v>395.62275</v>
      </c>
      <c r="Q917">
        <v>127</v>
      </c>
    </row>
    <row r="918" spans="1:17" x14ac:dyDescent="0.25">
      <c r="A918" s="15"/>
      <c r="B918" s="15"/>
      <c r="C918">
        <v>10</v>
      </c>
      <c r="D918">
        <v>396</v>
      </c>
      <c r="E918">
        <v>44</v>
      </c>
      <c r="F918">
        <v>723.4</v>
      </c>
      <c r="G918">
        <v>920.6</v>
      </c>
      <c r="H918" s="7">
        <v>0</v>
      </c>
      <c r="I918">
        <v>2.38</v>
      </c>
      <c r="J918">
        <v>0</v>
      </c>
      <c r="K918">
        <v>146.5</v>
      </c>
      <c r="L918">
        <v>198</v>
      </c>
      <c r="M918">
        <v>28</v>
      </c>
      <c r="N918" s="10">
        <v>49.2</v>
      </c>
      <c r="O918" s="2">
        <f t="shared" si="35"/>
        <v>678.53160000000003</v>
      </c>
      <c r="P918" s="2">
        <f t="shared" si="34"/>
        <v>395.62275</v>
      </c>
      <c r="Q918">
        <v>127</v>
      </c>
    </row>
    <row r="919" spans="1:17" x14ac:dyDescent="0.25">
      <c r="A919" s="15"/>
      <c r="B919" s="15"/>
      <c r="C919">
        <v>10</v>
      </c>
      <c r="D919">
        <v>396</v>
      </c>
      <c r="E919">
        <v>44</v>
      </c>
      <c r="F919">
        <v>723.4</v>
      </c>
      <c r="G919">
        <v>920.6</v>
      </c>
      <c r="H919" s="7">
        <v>0</v>
      </c>
      <c r="I919">
        <v>2.38</v>
      </c>
      <c r="J919">
        <v>0</v>
      </c>
      <c r="K919">
        <v>146.5</v>
      </c>
      <c r="L919">
        <v>198</v>
      </c>
      <c r="M919">
        <v>56</v>
      </c>
      <c r="N919" s="10">
        <v>55.4</v>
      </c>
      <c r="O919" s="2">
        <f t="shared" si="35"/>
        <v>678.53160000000003</v>
      </c>
      <c r="P919" s="2">
        <f t="shared" si="34"/>
        <v>395.62275</v>
      </c>
      <c r="Q919">
        <v>127</v>
      </c>
    </row>
    <row r="920" spans="1:17" x14ac:dyDescent="0.25">
      <c r="A920" s="15"/>
      <c r="B920" s="15"/>
      <c r="C920">
        <v>10</v>
      </c>
      <c r="D920">
        <v>396</v>
      </c>
      <c r="E920">
        <v>44</v>
      </c>
      <c r="F920">
        <v>723.4</v>
      </c>
      <c r="G920">
        <v>920.6</v>
      </c>
      <c r="H920" s="7">
        <v>0</v>
      </c>
      <c r="I920">
        <v>2.38</v>
      </c>
      <c r="J920">
        <v>0</v>
      </c>
      <c r="K920">
        <v>146.5</v>
      </c>
      <c r="L920">
        <v>198</v>
      </c>
      <c r="M920">
        <v>90</v>
      </c>
      <c r="N920" s="10">
        <v>56.9</v>
      </c>
      <c r="O920" s="2">
        <f t="shared" si="35"/>
        <v>678.53160000000003</v>
      </c>
      <c r="P920" s="2">
        <f t="shared" si="34"/>
        <v>395.62275</v>
      </c>
      <c r="Q920">
        <v>127</v>
      </c>
    </row>
    <row r="921" spans="1:17" x14ac:dyDescent="0.25">
      <c r="A921" s="15"/>
      <c r="B921" s="15"/>
      <c r="C921">
        <v>10</v>
      </c>
      <c r="D921">
        <v>396</v>
      </c>
      <c r="E921">
        <v>44</v>
      </c>
      <c r="F921">
        <v>723.4</v>
      </c>
      <c r="G921">
        <v>920.6</v>
      </c>
      <c r="H921" s="7">
        <v>0</v>
      </c>
      <c r="I921">
        <v>2.38</v>
      </c>
      <c r="J921">
        <v>0</v>
      </c>
      <c r="K921">
        <v>146.5</v>
      </c>
      <c r="L921">
        <v>198</v>
      </c>
      <c r="M921">
        <v>180</v>
      </c>
      <c r="N921" s="10">
        <v>58</v>
      </c>
      <c r="O921" s="2">
        <f t="shared" si="35"/>
        <v>678.53160000000003</v>
      </c>
      <c r="P921" s="2">
        <f t="shared" si="34"/>
        <v>395.62275</v>
      </c>
      <c r="Q921">
        <v>127</v>
      </c>
    </row>
    <row r="922" spans="1:17" x14ac:dyDescent="0.25">
      <c r="A922" s="15"/>
      <c r="B922" s="15"/>
      <c r="C922">
        <v>10</v>
      </c>
      <c r="D922">
        <v>396</v>
      </c>
      <c r="E922">
        <v>0</v>
      </c>
      <c r="F922">
        <v>722.9</v>
      </c>
      <c r="G922">
        <v>920.1</v>
      </c>
      <c r="H922" s="7">
        <v>0</v>
      </c>
      <c r="I922">
        <v>0</v>
      </c>
      <c r="J922">
        <v>0</v>
      </c>
      <c r="K922">
        <v>150.5</v>
      </c>
      <c r="L922">
        <v>198</v>
      </c>
      <c r="M922">
        <v>7</v>
      </c>
      <c r="N922" s="10">
        <v>29.9</v>
      </c>
      <c r="O922" s="2">
        <f t="shared" si="35"/>
        <v>681.96090000000004</v>
      </c>
      <c r="P922" s="2">
        <f t="shared" si="34"/>
        <v>401.60587499999997</v>
      </c>
      <c r="Q922">
        <v>102</v>
      </c>
    </row>
    <row r="923" spans="1:17" x14ac:dyDescent="0.25">
      <c r="A923" s="15"/>
      <c r="B923" s="15"/>
      <c r="C923">
        <v>10</v>
      </c>
      <c r="D923">
        <v>396</v>
      </c>
      <c r="E923">
        <v>0</v>
      </c>
      <c r="F923">
        <v>722.9</v>
      </c>
      <c r="G923">
        <v>920.1</v>
      </c>
      <c r="H923" s="7">
        <v>0</v>
      </c>
      <c r="I923">
        <v>0</v>
      </c>
      <c r="J923">
        <v>0</v>
      </c>
      <c r="K923">
        <v>150.5</v>
      </c>
      <c r="L923">
        <v>198</v>
      </c>
      <c r="M923">
        <v>28</v>
      </c>
      <c r="N923" s="10">
        <v>40</v>
      </c>
      <c r="O923" s="2">
        <f t="shared" si="35"/>
        <v>681.96090000000004</v>
      </c>
      <c r="P923" s="2">
        <f t="shared" si="34"/>
        <v>401.60587499999997</v>
      </c>
      <c r="Q923">
        <v>102</v>
      </c>
    </row>
    <row r="924" spans="1:17" x14ac:dyDescent="0.25">
      <c r="A924" s="15"/>
      <c r="B924" s="15"/>
      <c r="C924">
        <v>10</v>
      </c>
      <c r="D924">
        <v>396</v>
      </c>
      <c r="E924">
        <v>0</v>
      </c>
      <c r="F924">
        <v>722.9</v>
      </c>
      <c r="G924">
        <v>920.1</v>
      </c>
      <c r="H924" s="7">
        <v>0</v>
      </c>
      <c r="I924">
        <v>0</v>
      </c>
      <c r="J924">
        <v>0</v>
      </c>
      <c r="K924">
        <v>150.5</v>
      </c>
      <c r="L924">
        <v>198</v>
      </c>
      <c r="M924">
        <v>56</v>
      </c>
      <c r="N924" s="10">
        <v>46.3</v>
      </c>
      <c r="O924" s="2">
        <f t="shared" si="35"/>
        <v>681.96090000000004</v>
      </c>
      <c r="P924" s="2">
        <f t="shared" si="34"/>
        <v>401.60587499999997</v>
      </c>
      <c r="Q924">
        <v>102</v>
      </c>
    </row>
    <row r="925" spans="1:17" x14ac:dyDescent="0.25">
      <c r="A925" s="15"/>
      <c r="B925" s="15"/>
      <c r="C925">
        <v>10</v>
      </c>
      <c r="D925">
        <v>396</v>
      </c>
      <c r="E925">
        <v>0</v>
      </c>
      <c r="F925">
        <v>722.9</v>
      </c>
      <c r="G925">
        <v>920.1</v>
      </c>
      <c r="H925" s="7">
        <v>0</v>
      </c>
      <c r="I925">
        <v>0</v>
      </c>
      <c r="J925">
        <v>0</v>
      </c>
      <c r="K925">
        <v>150.5</v>
      </c>
      <c r="L925">
        <v>198</v>
      </c>
      <c r="M925">
        <v>90</v>
      </c>
      <c r="N925" s="10">
        <v>48.9</v>
      </c>
      <c r="O925" s="2">
        <f t="shared" si="35"/>
        <v>681.96090000000004</v>
      </c>
      <c r="P925" s="2">
        <f t="shared" si="34"/>
        <v>401.60587499999997</v>
      </c>
      <c r="Q925">
        <v>102</v>
      </c>
    </row>
    <row r="926" spans="1:17" x14ac:dyDescent="0.25">
      <c r="A926" s="15"/>
      <c r="B926" s="15"/>
      <c r="C926">
        <v>10</v>
      </c>
      <c r="D926">
        <v>396</v>
      </c>
      <c r="E926">
        <v>0</v>
      </c>
      <c r="F926">
        <v>722.9</v>
      </c>
      <c r="G926">
        <v>920.1</v>
      </c>
      <c r="H926" s="7">
        <v>0</v>
      </c>
      <c r="I926">
        <v>0</v>
      </c>
      <c r="J926">
        <v>0</v>
      </c>
      <c r="K926">
        <v>150.5</v>
      </c>
      <c r="L926">
        <v>198</v>
      </c>
      <c r="M926">
        <v>180</v>
      </c>
      <c r="N926" s="10">
        <v>49.5</v>
      </c>
      <c r="O926" s="2">
        <f t="shared" si="35"/>
        <v>681.96090000000004</v>
      </c>
      <c r="P926" s="2">
        <f t="shared" si="34"/>
        <v>401.60587499999997</v>
      </c>
      <c r="Q926">
        <v>102</v>
      </c>
    </row>
    <row r="927" spans="1:17" x14ac:dyDescent="0.25">
      <c r="A927" s="15"/>
      <c r="B927" s="15"/>
      <c r="C927">
        <v>10</v>
      </c>
      <c r="D927">
        <v>396</v>
      </c>
      <c r="E927">
        <v>0</v>
      </c>
      <c r="F927">
        <v>723.3</v>
      </c>
      <c r="G927">
        <v>920.6</v>
      </c>
      <c r="H927" s="7">
        <v>0</v>
      </c>
      <c r="I927">
        <v>2.38</v>
      </c>
      <c r="J927">
        <v>0</v>
      </c>
      <c r="K927">
        <v>178.2</v>
      </c>
      <c r="L927">
        <v>198</v>
      </c>
      <c r="M927">
        <v>7</v>
      </c>
      <c r="N927" s="10">
        <v>33.9</v>
      </c>
      <c r="O927" s="2">
        <f t="shared" si="35"/>
        <v>737.38941</v>
      </c>
      <c r="P927" s="2">
        <f t="shared" si="34"/>
        <v>443.17087499999997</v>
      </c>
      <c r="Q927">
        <v>114</v>
      </c>
    </row>
    <row r="928" spans="1:17" x14ac:dyDescent="0.25">
      <c r="A928" s="15"/>
      <c r="B928" s="15"/>
      <c r="C928">
        <v>10</v>
      </c>
      <c r="D928">
        <v>396</v>
      </c>
      <c r="E928">
        <v>0</v>
      </c>
      <c r="F928">
        <v>723.3</v>
      </c>
      <c r="G928">
        <v>920.6</v>
      </c>
      <c r="H928" s="7">
        <v>0</v>
      </c>
      <c r="I928">
        <v>2.38</v>
      </c>
      <c r="J928">
        <v>0</v>
      </c>
      <c r="K928">
        <v>178.2</v>
      </c>
      <c r="L928">
        <v>198</v>
      </c>
      <c r="M928">
        <v>28</v>
      </c>
      <c r="N928" s="10">
        <v>46.4</v>
      </c>
      <c r="O928" s="2">
        <f t="shared" si="35"/>
        <v>737.38941</v>
      </c>
      <c r="P928" s="2">
        <f t="shared" si="34"/>
        <v>443.17087499999997</v>
      </c>
      <c r="Q928">
        <v>114</v>
      </c>
    </row>
    <row r="929" spans="1:17" x14ac:dyDescent="0.25">
      <c r="A929" s="15"/>
      <c r="B929" s="15"/>
      <c r="C929">
        <v>10</v>
      </c>
      <c r="D929">
        <v>396</v>
      </c>
      <c r="E929">
        <v>0</v>
      </c>
      <c r="F929">
        <v>723.3</v>
      </c>
      <c r="G929">
        <v>920.6</v>
      </c>
      <c r="H929" s="7">
        <v>0</v>
      </c>
      <c r="I929">
        <v>2.38</v>
      </c>
      <c r="J929">
        <v>0</v>
      </c>
      <c r="K929">
        <v>178.2</v>
      </c>
      <c r="L929">
        <v>198</v>
      </c>
      <c r="M929">
        <v>56</v>
      </c>
      <c r="N929" s="10">
        <v>52</v>
      </c>
      <c r="O929" s="2">
        <f t="shared" si="35"/>
        <v>737.38941</v>
      </c>
      <c r="P929" s="2">
        <f t="shared" si="34"/>
        <v>443.17087499999997</v>
      </c>
      <c r="Q929">
        <v>114</v>
      </c>
    </row>
    <row r="930" spans="1:17" x14ac:dyDescent="0.25">
      <c r="A930" s="15"/>
      <c r="B930" s="15"/>
      <c r="C930">
        <v>10</v>
      </c>
      <c r="D930">
        <v>396</v>
      </c>
      <c r="E930">
        <v>0</v>
      </c>
      <c r="F930">
        <v>723.3</v>
      </c>
      <c r="G930">
        <v>920.6</v>
      </c>
      <c r="H930" s="7">
        <v>0</v>
      </c>
      <c r="I930">
        <v>2.38</v>
      </c>
      <c r="J930">
        <v>0</v>
      </c>
      <c r="K930">
        <v>178.2</v>
      </c>
      <c r="L930">
        <v>198</v>
      </c>
      <c r="M930">
        <v>90</v>
      </c>
      <c r="N930" s="10">
        <v>54.1</v>
      </c>
      <c r="O930" s="2">
        <f t="shared" si="35"/>
        <v>737.38941</v>
      </c>
      <c r="P930" s="2">
        <f t="shared" si="34"/>
        <v>443.17087499999997</v>
      </c>
      <c r="Q930">
        <v>114</v>
      </c>
    </row>
    <row r="931" spans="1:17" x14ac:dyDescent="0.25">
      <c r="A931" s="15"/>
      <c r="B931" s="15"/>
      <c r="C931">
        <v>10</v>
      </c>
      <c r="D931">
        <v>396</v>
      </c>
      <c r="E931">
        <v>0</v>
      </c>
      <c r="F931">
        <v>723.3</v>
      </c>
      <c r="G931">
        <v>920.6</v>
      </c>
      <c r="H931" s="7">
        <v>0</v>
      </c>
      <c r="I931">
        <v>2.38</v>
      </c>
      <c r="J931">
        <v>0</v>
      </c>
      <c r="K931">
        <v>178.2</v>
      </c>
      <c r="L931">
        <v>198</v>
      </c>
      <c r="M931">
        <v>180</v>
      </c>
      <c r="N931" s="10">
        <v>55.3</v>
      </c>
      <c r="O931" s="2">
        <f t="shared" si="35"/>
        <v>737.38941</v>
      </c>
      <c r="P931" s="2">
        <f t="shared" si="34"/>
        <v>443.17087499999997</v>
      </c>
      <c r="Q931">
        <v>114</v>
      </c>
    </row>
    <row r="932" spans="1:17" x14ac:dyDescent="0.25">
      <c r="A932" s="15"/>
      <c r="B932" s="15"/>
      <c r="C932">
        <v>10</v>
      </c>
      <c r="D932">
        <v>396</v>
      </c>
      <c r="E932">
        <v>0</v>
      </c>
      <c r="F932">
        <v>724.2</v>
      </c>
      <c r="G932">
        <v>921.8</v>
      </c>
      <c r="H932">
        <v>44</v>
      </c>
      <c r="I932">
        <v>0</v>
      </c>
      <c r="J932">
        <v>0</v>
      </c>
      <c r="K932">
        <v>79.2</v>
      </c>
      <c r="L932">
        <v>198</v>
      </c>
      <c r="M932">
        <v>7</v>
      </c>
      <c r="N932" s="10">
        <v>32.6</v>
      </c>
      <c r="O932" s="2">
        <f t="shared" si="35"/>
        <v>539.45699999999999</v>
      </c>
      <c r="P932" s="2">
        <f t="shared" si="34"/>
        <v>294.70574999999997</v>
      </c>
      <c r="Q932">
        <v>102</v>
      </c>
    </row>
    <row r="933" spans="1:17" x14ac:dyDescent="0.25">
      <c r="A933" s="15"/>
      <c r="B933" s="15"/>
      <c r="C933">
        <v>10</v>
      </c>
      <c r="D933">
        <v>396</v>
      </c>
      <c r="E933">
        <v>0</v>
      </c>
      <c r="F933">
        <v>724.2</v>
      </c>
      <c r="G933">
        <v>921.8</v>
      </c>
      <c r="H933">
        <v>44</v>
      </c>
      <c r="I933">
        <v>0</v>
      </c>
      <c r="J933">
        <v>0</v>
      </c>
      <c r="K933">
        <v>79.2</v>
      </c>
      <c r="L933">
        <v>198</v>
      </c>
      <c r="M933">
        <v>28</v>
      </c>
      <c r="N933" s="10">
        <v>41.4</v>
      </c>
      <c r="O933" s="2">
        <f t="shared" si="35"/>
        <v>539.45699999999999</v>
      </c>
      <c r="P933" s="2">
        <f t="shared" si="34"/>
        <v>294.70574999999997</v>
      </c>
      <c r="Q933">
        <v>102</v>
      </c>
    </row>
    <row r="934" spans="1:17" x14ac:dyDescent="0.25">
      <c r="A934" s="15"/>
      <c r="B934" s="15"/>
      <c r="C934">
        <v>10</v>
      </c>
      <c r="D934">
        <v>396</v>
      </c>
      <c r="E934">
        <v>0</v>
      </c>
      <c r="F934">
        <v>724.2</v>
      </c>
      <c r="G934">
        <v>921.8</v>
      </c>
      <c r="H934">
        <v>44</v>
      </c>
      <c r="I934">
        <v>0</v>
      </c>
      <c r="J934">
        <v>0</v>
      </c>
      <c r="K934">
        <v>79.2</v>
      </c>
      <c r="L934">
        <v>198</v>
      </c>
      <c r="M934">
        <v>56</v>
      </c>
      <c r="N934" s="10">
        <v>47</v>
      </c>
      <c r="O934" s="2">
        <f t="shared" si="35"/>
        <v>539.45699999999999</v>
      </c>
      <c r="P934" s="2">
        <f t="shared" si="34"/>
        <v>294.70574999999997</v>
      </c>
      <c r="Q934">
        <v>102</v>
      </c>
    </row>
    <row r="935" spans="1:17" x14ac:dyDescent="0.25">
      <c r="A935" s="15"/>
      <c r="B935" s="15"/>
      <c r="C935">
        <v>10</v>
      </c>
      <c r="D935">
        <v>396</v>
      </c>
      <c r="E935">
        <v>0</v>
      </c>
      <c r="F935">
        <v>724.2</v>
      </c>
      <c r="G935">
        <v>921.8</v>
      </c>
      <c r="H935">
        <v>44</v>
      </c>
      <c r="I935">
        <v>0</v>
      </c>
      <c r="J935">
        <v>0</v>
      </c>
      <c r="K935">
        <v>79.2</v>
      </c>
      <c r="L935">
        <v>198</v>
      </c>
      <c r="M935">
        <v>90</v>
      </c>
      <c r="N935" s="10">
        <v>49.4</v>
      </c>
      <c r="O935" s="2">
        <f t="shared" si="35"/>
        <v>539.45699999999999</v>
      </c>
      <c r="P935" s="2">
        <f t="shared" si="34"/>
        <v>294.70574999999997</v>
      </c>
      <c r="Q935">
        <v>102</v>
      </c>
    </row>
    <row r="936" spans="1:17" x14ac:dyDescent="0.25">
      <c r="A936" s="15"/>
      <c r="B936" s="15"/>
      <c r="C936">
        <v>10</v>
      </c>
      <c r="D936">
        <v>396</v>
      </c>
      <c r="E936">
        <v>0</v>
      </c>
      <c r="F936">
        <v>724.2</v>
      </c>
      <c r="G936">
        <v>921.8</v>
      </c>
      <c r="H936">
        <v>44</v>
      </c>
      <c r="I936">
        <v>0</v>
      </c>
      <c r="J936">
        <v>0</v>
      </c>
      <c r="K936">
        <v>79.2</v>
      </c>
      <c r="L936">
        <v>198</v>
      </c>
      <c r="M936">
        <v>180</v>
      </c>
      <c r="N936" s="10">
        <v>50.3</v>
      </c>
      <c r="O936" s="2">
        <f t="shared" si="35"/>
        <v>539.45699999999999</v>
      </c>
      <c r="P936" s="2">
        <f t="shared" si="34"/>
        <v>294.70574999999997</v>
      </c>
      <c r="Q936">
        <v>102</v>
      </c>
    </row>
    <row r="937" spans="1:17" x14ac:dyDescent="0.25">
      <c r="A937" s="15"/>
      <c r="B937" s="15"/>
      <c r="C937">
        <v>10</v>
      </c>
      <c r="D937">
        <v>396</v>
      </c>
      <c r="E937">
        <v>0</v>
      </c>
      <c r="F937">
        <v>724.5</v>
      </c>
      <c r="G937">
        <v>922.06</v>
      </c>
      <c r="H937">
        <v>44</v>
      </c>
      <c r="I937">
        <v>2.38</v>
      </c>
      <c r="J937">
        <v>0</v>
      </c>
      <c r="K937">
        <v>99</v>
      </c>
      <c r="L937">
        <v>198</v>
      </c>
      <c r="M937">
        <v>7</v>
      </c>
      <c r="N937" s="10">
        <v>37.799999999999997</v>
      </c>
      <c r="O937" s="2">
        <f t="shared" si="35"/>
        <v>579.07310400000006</v>
      </c>
      <c r="P937" s="2">
        <f t="shared" si="34"/>
        <v>324.41527500000001</v>
      </c>
      <c r="Q937">
        <v>102</v>
      </c>
    </row>
    <row r="938" spans="1:17" x14ac:dyDescent="0.25">
      <c r="A938" s="15"/>
      <c r="B938" s="15"/>
      <c r="C938">
        <v>10</v>
      </c>
      <c r="D938">
        <v>396</v>
      </c>
      <c r="E938">
        <v>0</v>
      </c>
      <c r="F938">
        <v>724.5</v>
      </c>
      <c r="G938">
        <v>922.06</v>
      </c>
      <c r="H938">
        <v>44</v>
      </c>
      <c r="I938">
        <v>2.38</v>
      </c>
      <c r="J938">
        <v>0</v>
      </c>
      <c r="K938">
        <v>99</v>
      </c>
      <c r="L938">
        <v>198</v>
      </c>
      <c r="M938">
        <v>28</v>
      </c>
      <c r="N938" s="10">
        <v>48.2</v>
      </c>
      <c r="O938" s="2">
        <f t="shared" si="35"/>
        <v>579.07310400000006</v>
      </c>
      <c r="P938" s="2">
        <f t="shared" si="34"/>
        <v>324.41527500000001</v>
      </c>
      <c r="Q938">
        <v>102</v>
      </c>
    </row>
    <row r="939" spans="1:17" x14ac:dyDescent="0.25">
      <c r="A939" s="15"/>
      <c r="B939" s="15"/>
      <c r="C939">
        <v>10</v>
      </c>
      <c r="D939">
        <v>396</v>
      </c>
      <c r="E939">
        <v>0</v>
      </c>
      <c r="F939">
        <v>724.5</v>
      </c>
      <c r="G939">
        <v>922.06</v>
      </c>
      <c r="H939">
        <v>44</v>
      </c>
      <c r="I939">
        <v>2.38</v>
      </c>
      <c r="J939">
        <v>0</v>
      </c>
      <c r="K939">
        <v>99</v>
      </c>
      <c r="L939">
        <v>198</v>
      </c>
      <c r="M939">
        <v>56</v>
      </c>
      <c r="N939" s="10">
        <v>54.4</v>
      </c>
      <c r="O939" s="2">
        <f t="shared" si="35"/>
        <v>579.07310400000006</v>
      </c>
      <c r="P939" s="2">
        <f t="shared" si="34"/>
        <v>324.41527500000001</v>
      </c>
      <c r="Q939">
        <v>102</v>
      </c>
    </row>
    <row r="940" spans="1:17" x14ac:dyDescent="0.25">
      <c r="A940" s="15"/>
      <c r="B940" s="15"/>
      <c r="C940">
        <v>10</v>
      </c>
      <c r="D940">
        <v>396</v>
      </c>
      <c r="E940">
        <v>0</v>
      </c>
      <c r="F940">
        <v>724.5</v>
      </c>
      <c r="G940">
        <v>922.06</v>
      </c>
      <c r="H940">
        <v>44</v>
      </c>
      <c r="I940">
        <v>2.38</v>
      </c>
      <c r="J940">
        <v>0</v>
      </c>
      <c r="K940">
        <v>99</v>
      </c>
      <c r="L940">
        <v>198</v>
      </c>
      <c r="M940">
        <v>90</v>
      </c>
      <c r="N940" s="10">
        <v>55.1</v>
      </c>
      <c r="O940" s="2">
        <f t="shared" si="35"/>
        <v>579.07310400000006</v>
      </c>
      <c r="P940" s="2">
        <f t="shared" si="34"/>
        <v>324.41527500000001</v>
      </c>
      <c r="Q940">
        <v>102</v>
      </c>
    </row>
    <row r="941" spans="1:17" x14ac:dyDescent="0.25">
      <c r="A941" s="15"/>
      <c r="B941" s="15"/>
      <c r="C941">
        <v>10</v>
      </c>
      <c r="D941">
        <v>396</v>
      </c>
      <c r="E941">
        <v>0</v>
      </c>
      <c r="F941">
        <v>724.5</v>
      </c>
      <c r="G941">
        <v>922.06</v>
      </c>
      <c r="H941">
        <v>44</v>
      </c>
      <c r="I941">
        <v>2.38</v>
      </c>
      <c r="J941">
        <v>0</v>
      </c>
      <c r="K941">
        <v>99</v>
      </c>
      <c r="L941">
        <v>198</v>
      </c>
      <c r="M941">
        <v>180</v>
      </c>
      <c r="N941" s="10">
        <v>56.5</v>
      </c>
      <c r="O941" s="2">
        <f t="shared" si="35"/>
        <v>579.07310400000006</v>
      </c>
      <c r="P941" s="2">
        <f t="shared" si="34"/>
        <v>324.41527500000001</v>
      </c>
      <c r="Q941">
        <v>102</v>
      </c>
    </row>
  </sheetData>
  <mergeCells count="48">
    <mergeCell ref="A426:A437"/>
    <mergeCell ref="A382:A425"/>
    <mergeCell ref="A338:A381"/>
    <mergeCell ref="A250:A293"/>
    <mergeCell ref="A2:A37"/>
    <mergeCell ref="A38:A81"/>
    <mergeCell ref="A82:A129"/>
    <mergeCell ref="A130:A161"/>
    <mergeCell ref="A162:A205"/>
    <mergeCell ref="A206:A249"/>
    <mergeCell ref="B206:B249"/>
    <mergeCell ref="B250:B293"/>
    <mergeCell ref="B294:B337"/>
    <mergeCell ref="B338:B381"/>
    <mergeCell ref="A294:A337"/>
    <mergeCell ref="B382:B425"/>
    <mergeCell ref="B2:B37"/>
    <mergeCell ref="B82:B129"/>
    <mergeCell ref="B38:B81"/>
    <mergeCell ref="B130:B161"/>
    <mergeCell ref="B162:B205"/>
    <mergeCell ref="B426:B437"/>
    <mergeCell ref="B438:B449"/>
    <mergeCell ref="B650:B661"/>
    <mergeCell ref="B554:B613"/>
    <mergeCell ref="B494:B553"/>
    <mergeCell ref="B450:B461"/>
    <mergeCell ref="B882:B901"/>
    <mergeCell ref="A874:A881"/>
    <mergeCell ref="A882:A901"/>
    <mergeCell ref="A662:A853"/>
    <mergeCell ref="B662:B853"/>
    <mergeCell ref="A438:A449"/>
    <mergeCell ref="B902:B941"/>
    <mergeCell ref="A902:A941"/>
    <mergeCell ref="A554:A613"/>
    <mergeCell ref="A494:A553"/>
    <mergeCell ref="B462:B493"/>
    <mergeCell ref="A462:A493"/>
    <mergeCell ref="A450:A461"/>
    <mergeCell ref="A650:A661"/>
    <mergeCell ref="A854:A873"/>
    <mergeCell ref="B854:B873"/>
    <mergeCell ref="B614:B625"/>
    <mergeCell ref="A614:A625"/>
    <mergeCell ref="B626:B649"/>
    <mergeCell ref="A626:A649"/>
    <mergeCell ref="B874:B881"/>
  </mergeCells>
  <phoneticPr fontId="9" type="noConversion"/>
  <hyperlinks>
    <hyperlink ref="B438" r:id="rId1" xr:uid="{390971EB-95E0-4300-88B1-4A9F0E160077}"/>
    <hyperlink ref="B554" r:id="rId2" xr:uid="{CBE23251-0B99-423D-88CA-A86B4731F135}"/>
  </hyperlinks>
  <pageMargins left="0.75" right="0.75" top="1" bottom="1" header="0.5" footer="0.5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42"/>
  <sheetViews>
    <sheetView topLeftCell="A619" workbookViewId="0">
      <selection activeCell="E283" sqref="E283"/>
    </sheetView>
  </sheetViews>
  <sheetFormatPr defaultRowHeight="15" x14ac:dyDescent="0.25"/>
  <cols>
    <col min="2" max="2" width="16" customWidth="1"/>
    <col min="3" max="3" width="17.7109375" customWidth="1"/>
    <col min="4" max="4" width="15.42578125" customWidth="1"/>
    <col min="5" max="5" width="12" customWidth="1"/>
    <col min="8" max="8" width="20" customWidth="1"/>
    <col min="10" max="10" width="12.7109375" customWidth="1"/>
    <col min="11" max="11" width="14.42578125" customWidth="1"/>
    <col min="12" max="12" width="28.85546875" style="10" customWidth="1"/>
    <col min="13" max="13" width="19.5703125" customWidth="1"/>
    <col min="14" max="14" width="19.140625" customWidth="1"/>
    <col min="15" max="15" width="11.71093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54</v>
      </c>
      <c r="I1" s="1" t="s">
        <v>7</v>
      </c>
      <c r="J1" s="1" t="s">
        <v>8</v>
      </c>
      <c r="K1" s="1" t="s">
        <v>9</v>
      </c>
      <c r="L1" s="11" t="s">
        <v>10</v>
      </c>
      <c r="M1" s="14" t="s">
        <v>407</v>
      </c>
      <c r="N1" s="1" t="s">
        <v>406</v>
      </c>
      <c r="O1" s="1" t="s">
        <v>11</v>
      </c>
    </row>
    <row r="2" spans="1:15" x14ac:dyDescent="0.25">
      <c r="A2" s="19" t="s">
        <v>55</v>
      </c>
      <c r="B2" s="19" t="s">
        <v>56</v>
      </c>
      <c r="C2">
        <v>0</v>
      </c>
      <c r="D2">
        <v>430</v>
      </c>
      <c r="E2">
        <v>0</v>
      </c>
      <c r="F2">
        <v>645</v>
      </c>
      <c r="G2">
        <v>1088</v>
      </c>
      <c r="H2">
        <v>0</v>
      </c>
      <c r="I2">
        <v>53.75</v>
      </c>
      <c r="J2">
        <v>215</v>
      </c>
      <c r="K2">
        <v>7</v>
      </c>
      <c r="L2" s="10">
        <v>12.83</v>
      </c>
      <c r="M2" s="2">
        <f t="shared" ref="M2:M65" si="0">SUM((D2*0.83)+(E2*0.11)+(F2*0.0139)+(G2*0.0459)+(I2*2))</f>
        <v>523.30470000000003</v>
      </c>
      <c r="N2" s="2">
        <f>SUM((D2*5)+((F2*0.25)+(G2*0.2)+(I2*20)))*0.075</f>
        <v>270.28874999999999</v>
      </c>
      <c r="O2">
        <v>0</v>
      </c>
    </row>
    <row r="3" spans="1:15" x14ac:dyDescent="0.25">
      <c r="A3" s="15"/>
      <c r="B3" s="15"/>
      <c r="C3">
        <v>0</v>
      </c>
      <c r="D3">
        <v>430</v>
      </c>
      <c r="E3">
        <v>0</v>
      </c>
      <c r="F3">
        <v>645</v>
      </c>
      <c r="G3">
        <v>1088</v>
      </c>
      <c r="H3">
        <v>0</v>
      </c>
      <c r="I3">
        <v>53.75</v>
      </c>
      <c r="J3">
        <v>215</v>
      </c>
      <c r="K3">
        <v>14</v>
      </c>
      <c r="L3" s="10">
        <v>19.2</v>
      </c>
      <c r="M3" s="2">
        <f t="shared" si="0"/>
        <v>523.30470000000003</v>
      </c>
      <c r="N3" s="2">
        <f t="shared" ref="N3:N66" si="1">SUM((D3*5)+((F3*0.25)+(G3*0.2)+(I3*20)))*0.075</f>
        <v>270.28874999999999</v>
      </c>
      <c r="O3">
        <v>0</v>
      </c>
    </row>
    <row r="4" spans="1:15" x14ac:dyDescent="0.25">
      <c r="A4" s="15"/>
      <c r="B4" s="15"/>
      <c r="C4">
        <v>0</v>
      </c>
      <c r="D4">
        <v>430</v>
      </c>
      <c r="E4">
        <v>0</v>
      </c>
      <c r="F4">
        <v>645</v>
      </c>
      <c r="G4">
        <v>1088</v>
      </c>
      <c r="H4">
        <v>0</v>
      </c>
      <c r="I4">
        <v>53.75</v>
      </c>
      <c r="J4">
        <v>215</v>
      </c>
      <c r="K4">
        <v>56</v>
      </c>
      <c r="L4" s="10">
        <v>24.9</v>
      </c>
      <c r="M4" s="2">
        <f t="shared" si="0"/>
        <v>523.30470000000003</v>
      </c>
      <c r="N4" s="2">
        <f t="shared" si="1"/>
        <v>270.28874999999999</v>
      </c>
      <c r="O4">
        <v>0</v>
      </c>
    </row>
    <row r="5" spans="1:15" x14ac:dyDescent="0.25">
      <c r="A5" s="15"/>
      <c r="B5" s="15"/>
      <c r="C5">
        <v>0</v>
      </c>
      <c r="D5">
        <v>430</v>
      </c>
      <c r="E5">
        <v>0</v>
      </c>
      <c r="F5">
        <v>645</v>
      </c>
      <c r="G5">
        <v>1088</v>
      </c>
      <c r="H5">
        <v>0</v>
      </c>
      <c r="I5">
        <v>53.75</v>
      </c>
      <c r="J5">
        <v>215</v>
      </c>
      <c r="K5">
        <v>90</v>
      </c>
      <c r="L5" s="10">
        <v>26.11</v>
      </c>
      <c r="M5" s="2">
        <f t="shared" si="0"/>
        <v>523.30470000000003</v>
      </c>
      <c r="N5" s="2">
        <f t="shared" si="1"/>
        <v>270.28874999999999</v>
      </c>
      <c r="O5">
        <v>0</v>
      </c>
    </row>
    <row r="6" spans="1:15" x14ac:dyDescent="0.25">
      <c r="A6" s="15"/>
      <c r="B6" s="15"/>
      <c r="C6">
        <v>5</v>
      </c>
      <c r="D6">
        <v>408.5</v>
      </c>
      <c r="E6">
        <v>21.5</v>
      </c>
      <c r="F6">
        <v>645</v>
      </c>
      <c r="G6">
        <v>1088</v>
      </c>
      <c r="H6">
        <v>0</v>
      </c>
      <c r="I6">
        <v>53.75</v>
      </c>
      <c r="J6">
        <v>215</v>
      </c>
      <c r="K6">
        <v>7</v>
      </c>
      <c r="L6" s="10">
        <v>18.53</v>
      </c>
      <c r="M6" s="2">
        <f t="shared" si="0"/>
        <v>507.82470000000006</v>
      </c>
      <c r="N6" s="2">
        <f t="shared" si="1"/>
        <v>262.22624999999999</v>
      </c>
      <c r="O6">
        <v>0</v>
      </c>
    </row>
    <row r="7" spans="1:15" x14ac:dyDescent="0.25">
      <c r="A7" s="15"/>
      <c r="B7" s="15"/>
      <c r="C7">
        <v>5</v>
      </c>
      <c r="D7">
        <v>408.5</v>
      </c>
      <c r="E7">
        <v>21.5</v>
      </c>
      <c r="F7">
        <v>645</v>
      </c>
      <c r="G7">
        <v>1088</v>
      </c>
      <c r="H7">
        <v>0</v>
      </c>
      <c r="I7">
        <v>53.75</v>
      </c>
      <c r="J7">
        <v>215</v>
      </c>
      <c r="K7">
        <v>14</v>
      </c>
      <c r="L7" s="10">
        <v>20.94</v>
      </c>
      <c r="M7" s="2">
        <f t="shared" si="0"/>
        <v>507.82470000000006</v>
      </c>
      <c r="N7" s="2">
        <f t="shared" si="1"/>
        <v>262.22624999999999</v>
      </c>
      <c r="O7">
        <v>0</v>
      </c>
    </row>
    <row r="8" spans="1:15" x14ac:dyDescent="0.25">
      <c r="A8" s="15"/>
      <c r="B8" s="15"/>
      <c r="C8">
        <v>5</v>
      </c>
      <c r="D8">
        <v>408.5</v>
      </c>
      <c r="E8">
        <v>21.5</v>
      </c>
      <c r="F8">
        <v>645</v>
      </c>
      <c r="G8">
        <v>1088</v>
      </c>
      <c r="H8">
        <v>0</v>
      </c>
      <c r="I8">
        <v>53.75</v>
      </c>
      <c r="J8">
        <v>215</v>
      </c>
      <c r="K8">
        <v>56</v>
      </c>
      <c r="L8" s="10">
        <v>21.14</v>
      </c>
      <c r="M8" s="2">
        <f t="shared" si="0"/>
        <v>507.82470000000006</v>
      </c>
      <c r="N8" s="2">
        <f t="shared" si="1"/>
        <v>262.22624999999999</v>
      </c>
      <c r="O8">
        <v>0</v>
      </c>
    </row>
    <row r="9" spans="1:15" x14ac:dyDescent="0.25">
      <c r="A9" s="15"/>
      <c r="B9" s="15"/>
      <c r="C9">
        <v>5</v>
      </c>
      <c r="D9">
        <v>408.5</v>
      </c>
      <c r="E9">
        <v>21.5</v>
      </c>
      <c r="F9">
        <v>645</v>
      </c>
      <c r="G9">
        <v>1088</v>
      </c>
      <c r="H9">
        <v>0</v>
      </c>
      <c r="I9">
        <v>53.75</v>
      </c>
      <c r="J9">
        <v>215</v>
      </c>
      <c r="K9">
        <v>90</v>
      </c>
      <c r="L9" s="10">
        <v>23.76</v>
      </c>
      <c r="M9" s="2">
        <f t="shared" si="0"/>
        <v>507.82470000000006</v>
      </c>
      <c r="N9" s="2">
        <f t="shared" si="1"/>
        <v>262.22624999999999</v>
      </c>
      <c r="O9">
        <v>0</v>
      </c>
    </row>
    <row r="10" spans="1:15" x14ac:dyDescent="0.25">
      <c r="A10" s="15"/>
      <c r="B10" s="15"/>
      <c r="C10">
        <v>10</v>
      </c>
      <c r="D10">
        <v>387</v>
      </c>
      <c r="E10">
        <v>43</v>
      </c>
      <c r="F10">
        <v>645</v>
      </c>
      <c r="G10">
        <v>1088</v>
      </c>
      <c r="H10">
        <v>0</v>
      </c>
      <c r="I10">
        <v>53.75</v>
      </c>
      <c r="J10">
        <v>215</v>
      </c>
      <c r="K10">
        <v>7</v>
      </c>
      <c r="L10" s="10">
        <v>14.46</v>
      </c>
      <c r="M10" s="2">
        <f t="shared" si="0"/>
        <v>492.34470000000005</v>
      </c>
      <c r="N10" s="2">
        <f t="shared" si="1"/>
        <v>254.16374999999999</v>
      </c>
      <c r="O10">
        <v>0</v>
      </c>
    </row>
    <row r="11" spans="1:15" x14ac:dyDescent="0.25">
      <c r="A11" s="15"/>
      <c r="B11" s="15"/>
      <c r="C11">
        <v>10</v>
      </c>
      <c r="D11">
        <v>387</v>
      </c>
      <c r="E11">
        <v>43</v>
      </c>
      <c r="F11">
        <v>645</v>
      </c>
      <c r="G11">
        <v>1088</v>
      </c>
      <c r="H11">
        <v>0</v>
      </c>
      <c r="I11">
        <v>53.75</v>
      </c>
      <c r="J11">
        <v>215</v>
      </c>
      <c r="K11">
        <v>14</v>
      </c>
      <c r="L11" s="10">
        <v>13.71</v>
      </c>
      <c r="M11" s="2">
        <f t="shared" si="0"/>
        <v>492.34470000000005</v>
      </c>
      <c r="N11" s="2">
        <f t="shared" si="1"/>
        <v>254.16374999999999</v>
      </c>
      <c r="O11">
        <v>0</v>
      </c>
    </row>
    <row r="12" spans="1:15" x14ac:dyDescent="0.25">
      <c r="A12" s="15"/>
      <c r="B12" s="15"/>
      <c r="C12">
        <v>10</v>
      </c>
      <c r="D12">
        <v>387</v>
      </c>
      <c r="E12">
        <v>43</v>
      </c>
      <c r="F12">
        <v>645</v>
      </c>
      <c r="G12">
        <v>1088</v>
      </c>
      <c r="H12">
        <v>0</v>
      </c>
      <c r="I12">
        <v>53.75</v>
      </c>
      <c r="J12">
        <v>215</v>
      </c>
      <c r="K12">
        <v>56</v>
      </c>
      <c r="L12" s="10">
        <v>19.95</v>
      </c>
      <c r="M12" s="2">
        <f t="shared" si="0"/>
        <v>492.34470000000005</v>
      </c>
      <c r="N12" s="2">
        <f t="shared" si="1"/>
        <v>254.16374999999999</v>
      </c>
      <c r="O12">
        <v>0</v>
      </c>
    </row>
    <row r="13" spans="1:15" x14ac:dyDescent="0.25">
      <c r="A13" s="15"/>
      <c r="B13" s="15"/>
      <c r="C13">
        <v>10</v>
      </c>
      <c r="D13">
        <v>387</v>
      </c>
      <c r="E13">
        <v>43</v>
      </c>
      <c r="F13">
        <v>645</v>
      </c>
      <c r="G13">
        <v>1088</v>
      </c>
      <c r="H13">
        <v>0</v>
      </c>
      <c r="I13">
        <v>53.75</v>
      </c>
      <c r="J13">
        <v>215</v>
      </c>
      <c r="K13">
        <v>90</v>
      </c>
      <c r="L13" s="10">
        <v>21.46</v>
      </c>
      <c r="M13" s="2" t="s">
        <v>316</v>
      </c>
      <c r="N13" s="2">
        <f t="shared" si="1"/>
        <v>254.16374999999999</v>
      </c>
      <c r="O13">
        <v>0</v>
      </c>
    </row>
    <row r="14" spans="1:15" x14ac:dyDescent="0.25">
      <c r="A14" s="15"/>
      <c r="B14" s="15"/>
      <c r="C14">
        <v>15</v>
      </c>
      <c r="D14">
        <v>365.5</v>
      </c>
      <c r="E14">
        <v>64.5</v>
      </c>
      <c r="F14">
        <v>645</v>
      </c>
      <c r="G14">
        <v>1088</v>
      </c>
      <c r="H14">
        <v>0</v>
      </c>
      <c r="I14">
        <v>53.75</v>
      </c>
      <c r="J14">
        <v>215</v>
      </c>
      <c r="K14">
        <v>7</v>
      </c>
      <c r="L14" s="10">
        <v>9.9499999999999993</v>
      </c>
      <c r="M14" s="2">
        <f t="shared" si="0"/>
        <v>476.86470000000008</v>
      </c>
      <c r="N14" s="2">
        <f t="shared" si="1"/>
        <v>246.10124999999999</v>
      </c>
      <c r="O14">
        <v>0</v>
      </c>
    </row>
    <row r="15" spans="1:15" x14ac:dyDescent="0.25">
      <c r="A15" s="15"/>
      <c r="B15" s="15"/>
      <c r="C15">
        <v>15</v>
      </c>
      <c r="D15">
        <v>365.5</v>
      </c>
      <c r="E15">
        <v>64.5</v>
      </c>
      <c r="F15">
        <v>645</v>
      </c>
      <c r="G15">
        <v>1088</v>
      </c>
      <c r="H15">
        <v>0</v>
      </c>
      <c r="I15">
        <v>53.75</v>
      </c>
      <c r="J15">
        <v>215</v>
      </c>
      <c r="K15">
        <v>14</v>
      </c>
      <c r="L15" s="10">
        <v>16.98</v>
      </c>
      <c r="M15" s="2">
        <f t="shared" si="0"/>
        <v>476.86470000000008</v>
      </c>
      <c r="N15" s="2">
        <f t="shared" si="1"/>
        <v>246.10124999999999</v>
      </c>
      <c r="O15">
        <v>0</v>
      </c>
    </row>
    <row r="16" spans="1:15" x14ac:dyDescent="0.25">
      <c r="A16" s="15"/>
      <c r="B16" s="15"/>
      <c r="C16">
        <v>15</v>
      </c>
      <c r="D16">
        <v>365.5</v>
      </c>
      <c r="E16">
        <v>64.5</v>
      </c>
      <c r="F16">
        <v>645</v>
      </c>
      <c r="G16">
        <v>1088</v>
      </c>
      <c r="H16">
        <v>0</v>
      </c>
      <c r="I16">
        <v>53.75</v>
      </c>
      <c r="J16">
        <v>215</v>
      </c>
      <c r="K16">
        <v>56</v>
      </c>
      <c r="L16" s="10">
        <v>23.76</v>
      </c>
      <c r="M16" s="2">
        <f t="shared" si="0"/>
        <v>476.86470000000008</v>
      </c>
      <c r="N16" s="2">
        <f t="shared" si="1"/>
        <v>246.10124999999999</v>
      </c>
      <c r="O16">
        <v>0</v>
      </c>
    </row>
    <row r="17" spans="1:15" x14ac:dyDescent="0.25">
      <c r="A17" s="15"/>
      <c r="B17" s="15"/>
      <c r="C17">
        <v>15</v>
      </c>
      <c r="D17">
        <v>365.5</v>
      </c>
      <c r="E17">
        <v>64.5</v>
      </c>
      <c r="F17">
        <v>645</v>
      </c>
      <c r="G17">
        <v>1088</v>
      </c>
      <c r="H17">
        <v>0</v>
      </c>
      <c r="I17">
        <v>53.75</v>
      </c>
      <c r="J17">
        <v>215</v>
      </c>
      <c r="K17">
        <v>90</v>
      </c>
      <c r="L17" s="10">
        <v>22.92</v>
      </c>
      <c r="M17" s="2">
        <f t="shared" si="0"/>
        <v>476.86470000000008</v>
      </c>
      <c r="N17" s="2">
        <f t="shared" si="1"/>
        <v>246.10124999999999</v>
      </c>
      <c r="O17">
        <v>0</v>
      </c>
    </row>
    <row r="18" spans="1:15" x14ac:dyDescent="0.25">
      <c r="A18" s="15"/>
      <c r="B18" s="15"/>
      <c r="C18">
        <v>20</v>
      </c>
      <c r="D18">
        <v>344</v>
      </c>
      <c r="E18">
        <v>86</v>
      </c>
      <c r="F18">
        <v>645</v>
      </c>
      <c r="G18">
        <v>1088</v>
      </c>
      <c r="H18">
        <v>0</v>
      </c>
      <c r="I18">
        <v>53.75</v>
      </c>
      <c r="J18">
        <v>215</v>
      </c>
      <c r="K18">
        <v>7</v>
      </c>
      <c r="L18" s="10">
        <v>17.64</v>
      </c>
      <c r="M18" s="2">
        <f t="shared" si="0"/>
        <v>461.38470000000001</v>
      </c>
      <c r="N18" s="2">
        <f t="shared" si="1"/>
        <v>238.03874999999999</v>
      </c>
      <c r="O18">
        <v>0</v>
      </c>
    </row>
    <row r="19" spans="1:15" x14ac:dyDescent="0.25">
      <c r="A19" s="15"/>
      <c r="B19" s="15"/>
      <c r="C19">
        <v>20</v>
      </c>
      <c r="D19">
        <v>344</v>
      </c>
      <c r="E19">
        <v>86</v>
      </c>
      <c r="F19">
        <v>645</v>
      </c>
      <c r="G19">
        <v>1088</v>
      </c>
      <c r="H19">
        <v>0</v>
      </c>
      <c r="I19">
        <v>53.75</v>
      </c>
      <c r="J19">
        <v>215</v>
      </c>
      <c r="K19">
        <v>14</v>
      </c>
      <c r="L19" s="10">
        <v>15.15</v>
      </c>
      <c r="M19" s="2">
        <f t="shared" si="0"/>
        <v>461.38470000000001</v>
      </c>
      <c r="N19" s="2">
        <f t="shared" si="1"/>
        <v>238.03874999999999</v>
      </c>
      <c r="O19">
        <v>0</v>
      </c>
    </row>
    <row r="20" spans="1:15" x14ac:dyDescent="0.25">
      <c r="A20" s="15"/>
      <c r="B20" s="15"/>
      <c r="C20">
        <v>20</v>
      </c>
      <c r="D20">
        <v>344</v>
      </c>
      <c r="E20">
        <v>86</v>
      </c>
      <c r="F20">
        <v>645</v>
      </c>
      <c r="G20">
        <v>1088</v>
      </c>
      <c r="H20">
        <v>0</v>
      </c>
      <c r="I20">
        <v>53.75</v>
      </c>
      <c r="J20">
        <v>215</v>
      </c>
      <c r="K20">
        <v>56</v>
      </c>
      <c r="L20" s="10">
        <v>20.49</v>
      </c>
      <c r="M20" s="2">
        <f t="shared" si="0"/>
        <v>461.38470000000001</v>
      </c>
      <c r="N20" s="2">
        <f t="shared" si="1"/>
        <v>238.03874999999999</v>
      </c>
      <c r="O20">
        <v>0</v>
      </c>
    </row>
    <row r="21" spans="1:15" x14ac:dyDescent="0.25">
      <c r="A21" s="15"/>
      <c r="B21" s="15"/>
      <c r="C21">
        <v>20</v>
      </c>
      <c r="D21">
        <v>344</v>
      </c>
      <c r="E21">
        <v>86</v>
      </c>
      <c r="F21">
        <v>645</v>
      </c>
      <c r="G21">
        <v>1088</v>
      </c>
      <c r="H21">
        <v>0</v>
      </c>
      <c r="I21">
        <v>53.75</v>
      </c>
      <c r="J21">
        <v>215</v>
      </c>
      <c r="K21">
        <v>90</v>
      </c>
      <c r="L21" s="10">
        <v>19.59</v>
      </c>
      <c r="M21" s="2">
        <f t="shared" si="0"/>
        <v>461.38470000000001</v>
      </c>
      <c r="N21" s="2">
        <f t="shared" si="1"/>
        <v>238.03874999999999</v>
      </c>
      <c r="O21">
        <v>0</v>
      </c>
    </row>
    <row r="22" spans="1:15" x14ac:dyDescent="0.25">
      <c r="A22" s="15"/>
      <c r="B22" s="15"/>
      <c r="C22">
        <v>25</v>
      </c>
      <c r="D22">
        <v>322.5</v>
      </c>
      <c r="E22">
        <v>107.5</v>
      </c>
      <c r="F22">
        <v>645</v>
      </c>
      <c r="G22">
        <v>1088</v>
      </c>
      <c r="H22">
        <v>0</v>
      </c>
      <c r="I22">
        <v>53.75</v>
      </c>
      <c r="J22">
        <v>215</v>
      </c>
      <c r="K22">
        <v>7</v>
      </c>
      <c r="L22" s="10">
        <v>16.27</v>
      </c>
      <c r="M22" s="2">
        <f t="shared" si="0"/>
        <v>445.90470000000005</v>
      </c>
      <c r="N22" s="2">
        <f t="shared" si="1"/>
        <v>229.97624999999999</v>
      </c>
      <c r="O22">
        <v>0</v>
      </c>
    </row>
    <row r="23" spans="1:15" x14ac:dyDescent="0.25">
      <c r="A23" s="15"/>
      <c r="B23" s="15"/>
      <c r="C23">
        <v>25</v>
      </c>
      <c r="D23">
        <v>322.5</v>
      </c>
      <c r="E23">
        <v>107.5</v>
      </c>
      <c r="F23">
        <v>645</v>
      </c>
      <c r="G23">
        <v>1088</v>
      </c>
      <c r="H23">
        <v>0</v>
      </c>
      <c r="I23">
        <v>53.75</v>
      </c>
      <c r="J23">
        <v>215</v>
      </c>
      <c r="K23">
        <v>14</v>
      </c>
      <c r="L23" s="10">
        <v>10.23</v>
      </c>
      <c r="M23" s="2">
        <f t="shared" si="0"/>
        <v>445.90470000000005</v>
      </c>
      <c r="N23" s="2">
        <f t="shared" si="1"/>
        <v>229.97624999999999</v>
      </c>
      <c r="O23">
        <v>0</v>
      </c>
    </row>
    <row r="24" spans="1:15" x14ac:dyDescent="0.25">
      <c r="A24" s="15"/>
      <c r="B24" s="15"/>
      <c r="C24">
        <v>25</v>
      </c>
      <c r="D24">
        <v>322.5</v>
      </c>
      <c r="E24">
        <v>107.5</v>
      </c>
      <c r="F24">
        <v>645</v>
      </c>
      <c r="G24">
        <v>1088</v>
      </c>
      <c r="H24">
        <v>0</v>
      </c>
      <c r="I24">
        <v>53.75</v>
      </c>
      <c r="J24">
        <v>215</v>
      </c>
      <c r="K24">
        <v>56</v>
      </c>
      <c r="L24" s="10">
        <v>16.53</v>
      </c>
      <c r="M24" s="2">
        <f t="shared" si="0"/>
        <v>445.90470000000005</v>
      </c>
      <c r="N24" s="2">
        <f t="shared" si="1"/>
        <v>229.97624999999999</v>
      </c>
      <c r="O24">
        <v>0</v>
      </c>
    </row>
    <row r="25" spans="1:15" x14ac:dyDescent="0.25">
      <c r="A25" s="15"/>
      <c r="B25" s="15"/>
      <c r="C25">
        <v>25</v>
      </c>
      <c r="D25">
        <v>322.5</v>
      </c>
      <c r="E25">
        <v>107.5</v>
      </c>
      <c r="F25">
        <v>645</v>
      </c>
      <c r="G25">
        <v>1088</v>
      </c>
      <c r="H25">
        <v>0</v>
      </c>
      <c r="I25">
        <v>53.75</v>
      </c>
      <c r="J25">
        <v>215</v>
      </c>
      <c r="K25">
        <v>90</v>
      </c>
      <c r="L25" s="10">
        <v>14.3</v>
      </c>
      <c r="M25" s="2">
        <f t="shared" si="0"/>
        <v>445.90470000000005</v>
      </c>
      <c r="N25" s="2">
        <f t="shared" si="1"/>
        <v>229.97624999999999</v>
      </c>
      <c r="O25">
        <v>0</v>
      </c>
    </row>
    <row r="26" spans="1:15" x14ac:dyDescent="0.25">
      <c r="A26" s="15"/>
      <c r="B26" s="15"/>
      <c r="C26">
        <v>30</v>
      </c>
      <c r="D26">
        <v>301</v>
      </c>
      <c r="E26">
        <v>129</v>
      </c>
      <c r="F26">
        <v>645</v>
      </c>
      <c r="G26">
        <v>1088</v>
      </c>
      <c r="H26">
        <v>0</v>
      </c>
      <c r="I26">
        <v>53.75</v>
      </c>
      <c r="J26">
        <v>215</v>
      </c>
      <c r="K26">
        <v>7</v>
      </c>
      <c r="L26" s="10">
        <v>14.34</v>
      </c>
      <c r="M26" s="2">
        <f t="shared" si="0"/>
        <v>430.42470000000003</v>
      </c>
      <c r="N26" s="2">
        <f t="shared" si="1"/>
        <v>221.91374999999999</v>
      </c>
      <c r="O26">
        <v>0</v>
      </c>
    </row>
    <row r="27" spans="1:15" x14ac:dyDescent="0.25">
      <c r="A27" s="15"/>
      <c r="B27" s="15"/>
      <c r="C27">
        <v>30</v>
      </c>
      <c r="D27">
        <v>301</v>
      </c>
      <c r="E27">
        <v>129</v>
      </c>
      <c r="F27">
        <v>645</v>
      </c>
      <c r="G27">
        <v>1088</v>
      </c>
      <c r="H27">
        <v>0</v>
      </c>
      <c r="I27">
        <v>53.75</v>
      </c>
      <c r="J27">
        <v>215</v>
      </c>
      <c r="K27">
        <v>14</v>
      </c>
      <c r="L27" s="10">
        <v>18.27</v>
      </c>
      <c r="M27" s="2">
        <f t="shared" si="0"/>
        <v>430.42470000000003</v>
      </c>
      <c r="N27" s="2">
        <f t="shared" si="1"/>
        <v>221.91374999999999</v>
      </c>
      <c r="O27">
        <v>0</v>
      </c>
    </row>
    <row r="28" spans="1:15" x14ac:dyDescent="0.25">
      <c r="A28" s="15"/>
      <c r="B28" s="15"/>
      <c r="C28">
        <v>30</v>
      </c>
      <c r="D28">
        <v>301</v>
      </c>
      <c r="E28">
        <v>129</v>
      </c>
      <c r="F28">
        <v>645</v>
      </c>
      <c r="G28">
        <v>1088</v>
      </c>
      <c r="H28">
        <v>0</v>
      </c>
      <c r="I28">
        <v>53.75</v>
      </c>
      <c r="J28">
        <v>215</v>
      </c>
      <c r="K28">
        <v>56</v>
      </c>
      <c r="L28" s="10">
        <v>21.53</v>
      </c>
      <c r="M28" s="2">
        <f t="shared" si="0"/>
        <v>430.42470000000003</v>
      </c>
      <c r="N28" s="2">
        <f t="shared" si="1"/>
        <v>221.91374999999999</v>
      </c>
      <c r="O28">
        <v>0</v>
      </c>
    </row>
    <row r="29" spans="1:15" x14ac:dyDescent="0.25">
      <c r="A29" s="15"/>
      <c r="B29" s="15"/>
      <c r="C29">
        <v>30</v>
      </c>
      <c r="D29">
        <v>301</v>
      </c>
      <c r="E29">
        <v>129</v>
      </c>
      <c r="F29">
        <v>645</v>
      </c>
      <c r="G29">
        <v>1088</v>
      </c>
      <c r="H29">
        <v>0</v>
      </c>
      <c r="I29">
        <v>53.75</v>
      </c>
      <c r="J29">
        <v>215</v>
      </c>
      <c r="K29">
        <v>90</v>
      </c>
      <c r="L29" s="10">
        <v>19.190000000000001</v>
      </c>
      <c r="M29" s="2">
        <f t="shared" si="0"/>
        <v>430.42470000000003</v>
      </c>
      <c r="N29" s="2">
        <f t="shared" si="1"/>
        <v>221.91374999999999</v>
      </c>
      <c r="O29">
        <v>0</v>
      </c>
    </row>
    <row r="30" spans="1:15" x14ac:dyDescent="0.25">
      <c r="A30" s="15"/>
      <c r="B30" s="15"/>
      <c r="C30">
        <v>35</v>
      </c>
      <c r="D30">
        <v>279.5</v>
      </c>
      <c r="E30">
        <v>150.5</v>
      </c>
      <c r="F30">
        <v>645</v>
      </c>
      <c r="G30">
        <v>1088</v>
      </c>
      <c r="H30">
        <v>0</v>
      </c>
      <c r="I30">
        <v>53.75</v>
      </c>
      <c r="J30">
        <v>215</v>
      </c>
      <c r="K30">
        <v>7</v>
      </c>
      <c r="L30" s="10">
        <v>13.11</v>
      </c>
      <c r="M30" s="2">
        <f t="shared" si="0"/>
        <v>414.94470000000001</v>
      </c>
      <c r="N30" s="2">
        <f t="shared" si="1"/>
        <v>213.85124999999999</v>
      </c>
      <c r="O30">
        <v>0</v>
      </c>
    </row>
    <row r="31" spans="1:15" x14ac:dyDescent="0.25">
      <c r="A31" s="15"/>
      <c r="B31" s="15"/>
      <c r="C31">
        <v>35</v>
      </c>
      <c r="D31">
        <v>279.5</v>
      </c>
      <c r="E31">
        <v>150.5</v>
      </c>
      <c r="F31">
        <v>645</v>
      </c>
      <c r="G31">
        <v>1088</v>
      </c>
      <c r="H31">
        <v>0</v>
      </c>
      <c r="I31">
        <v>53.75</v>
      </c>
      <c r="J31">
        <v>215</v>
      </c>
      <c r="K31">
        <v>14</v>
      </c>
      <c r="L31" s="10">
        <v>16.170000000000002</v>
      </c>
      <c r="M31" s="2">
        <f t="shared" si="0"/>
        <v>414.94470000000001</v>
      </c>
      <c r="N31" s="2">
        <f t="shared" si="1"/>
        <v>213.85124999999999</v>
      </c>
      <c r="O31">
        <v>0</v>
      </c>
    </row>
    <row r="32" spans="1:15" x14ac:dyDescent="0.25">
      <c r="A32" s="15"/>
      <c r="B32" s="15"/>
      <c r="C32">
        <v>35</v>
      </c>
      <c r="D32">
        <v>279.5</v>
      </c>
      <c r="E32">
        <v>150.5</v>
      </c>
      <c r="F32">
        <v>645</v>
      </c>
      <c r="G32">
        <v>1088</v>
      </c>
      <c r="H32">
        <v>0</v>
      </c>
      <c r="I32">
        <v>53.75</v>
      </c>
      <c r="J32">
        <v>215</v>
      </c>
      <c r="K32">
        <v>56</v>
      </c>
      <c r="L32" s="10">
        <v>18.87</v>
      </c>
      <c r="M32" s="2">
        <f t="shared" si="0"/>
        <v>414.94470000000001</v>
      </c>
      <c r="N32" s="2">
        <f t="shared" si="1"/>
        <v>213.85124999999999</v>
      </c>
      <c r="O32">
        <v>0</v>
      </c>
    </row>
    <row r="33" spans="1:15" x14ac:dyDescent="0.25">
      <c r="A33" s="15"/>
      <c r="B33" s="15"/>
      <c r="C33">
        <v>35</v>
      </c>
      <c r="D33">
        <v>279.5</v>
      </c>
      <c r="E33">
        <v>150.5</v>
      </c>
      <c r="F33">
        <v>645</v>
      </c>
      <c r="G33">
        <v>1088</v>
      </c>
      <c r="H33">
        <v>0</v>
      </c>
      <c r="I33">
        <v>53.75</v>
      </c>
      <c r="J33">
        <v>215</v>
      </c>
      <c r="K33">
        <v>90</v>
      </c>
      <c r="L33" s="10">
        <v>22.86</v>
      </c>
      <c r="M33" s="2">
        <f t="shared" si="0"/>
        <v>414.94470000000001</v>
      </c>
      <c r="N33" s="2">
        <f t="shared" si="1"/>
        <v>213.85124999999999</v>
      </c>
      <c r="O33">
        <v>0</v>
      </c>
    </row>
    <row r="34" spans="1:15" x14ac:dyDescent="0.25">
      <c r="A34" s="15"/>
      <c r="B34" s="15"/>
      <c r="C34">
        <v>40</v>
      </c>
      <c r="D34">
        <v>258</v>
      </c>
      <c r="E34">
        <v>172</v>
      </c>
      <c r="F34">
        <v>645</v>
      </c>
      <c r="G34">
        <v>1088</v>
      </c>
      <c r="H34">
        <v>0</v>
      </c>
      <c r="I34">
        <v>53.75</v>
      </c>
      <c r="J34">
        <v>215</v>
      </c>
      <c r="K34">
        <v>7</v>
      </c>
      <c r="L34" s="10">
        <v>11.17</v>
      </c>
      <c r="M34" s="2">
        <f t="shared" si="0"/>
        <v>399.46469999999999</v>
      </c>
      <c r="N34" s="2">
        <f t="shared" si="1"/>
        <v>205.78874999999999</v>
      </c>
      <c r="O34">
        <v>0</v>
      </c>
    </row>
    <row r="35" spans="1:15" x14ac:dyDescent="0.25">
      <c r="A35" s="15"/>
      <c r="B35" s="15"/>
      <c r="C35">
        <v>40</v>
      </c>
      <c r="D35">
        <v>258</v>
      </c>
      <c r="E35">
        <v>172</v>
      </c>
      <c r="F35">
        <v>645</v>
      </c>
      <c r="G35">
        <v>1088</v>
      </c>
      <c r="H35">
        <v>0</v>
      </c>
      <c r="I35">
        <v>53.75</v>
      </c>
      <c r="J35">
        <v>215</v>
      </c>
      <c r="K35">
        <v>14</v>
      </c>
      <c r="L35" s="10">
        <v>12.75</v>
      </c>
      <c r="M35" s="2">
        <f t="shared" si="0"/>
        <v>399.46469999999999</v>
      </c>
      <c r="N35" s="2">
        <f t="shared" si="1"/>
        <v>205.78874999999999</v>
      </c>
      <c r="O35">
        <v>0</v>
      </c>
    </row>
    <row r="36" spans="1:15" x14ac:dyDescent="0.25">
      <c r="A36" s="15"/>
      <c r="B36" s="15"/>
      <c r="C36">
        <v>40</v>
      </c>
      <c r="D36">
        <v>258</v>
      </c>
      <c r="E36">
        <v>172</v>
      </c>
      <c r="F36">
        <v>645</v>
      </c>
      <c r="G36">
        <v>1088</v>
      </c>
      <c r="H36">
        <v>0</v>
      </c>
      <c r="I36">
        <v>53.75</v>
      </c>
      <c r="J36">
        <v>215</v>
      </c>
      <c r="K36">
        <v>56</v>
      </c>
      <c r="L36" s="10">
        <v>16.39</v>
      </c>
      <c r="M36" s="2">
        <f t="shared" si="0"/>
        <v>399.46469999999999</v>
      </c>
      <c r="N36" s="2">
        <f t="shared" si="1"/>
        <v>205.78874999999999</v>
      </c>
      <c r="O36">
        <v>0</v>
      </c>
    </row>
    <row r="37" spans="1:15" x14ac:dyDescent="0.25">
      <c r="A37" s="15"/>
      <c r="B37" s="15"/>
      <c r="C37">
        <v>40</v>
      </c>
      <c r="D37">
        <v>258</v>
      </c>
      <c r="E37">
        <v>172</v>
      </c>
      <c r="F37">
        <v>645</v>
      </c>
      <c r="G37">
        <v>1088</v>
      </c>
      <c r="H37">
        <v>0</v>
      </c>
      <c r="I37">
        <v>53.75</v>
      </c>
      <c r="J37">
        <v>215</v>
      </c>
      <c r="K37">
        <v>90</v>
      </c>
      <c r="L37" s="10">
        <v>16.91</v>
      </c>
      <c r="M37" s="2">
        <f t="shared" si="0"/>
        <v>399.46469999999999</v>
      </c>
      <c r="N37" s="2">
        <f t="shared" si="1"/>
        <v>205.78874999999999</v>
      </c>
      <c r="O37">
        <v>0</v>
      </c>
    </row>
    <row r="38" spans="1:15" x14ac:dyDescent="0.25">
      <c r="A38" s="15"/>
      <c r="B38" s="15"/>
      <c r="C38">
        <v>45</v>
      </c>
      <c r="D38">
        <v>236.5</v>
      </c>
      <c r="E38">
        <v>193.5</v>
      </c>
      <c r="F38">
        <v>645</v>
      </c>
      <c r="G38">
        <v>1088</v>
      </c>
      <c r="H38">
        <v>0</v>
      </c>
      <c r="I38">
        <v>53.75</v>
      </c>
      <c r="J38">
        <v>215</v>
      </c>
      <c r="K38">
        <v>7</v>
      </c>
      <c r="L38" s="10">
        <v>12.22</v>
      </c>
      <c r="M38" s="2">
        <f t="shared" si="0"/>
        <v>383.98469999999998</v>
      </c>
      <c r="N38" s="2">
        <f t="shared" si="1"/>
        <v>197.72624999999999</v>
      </c>
      <c r="O38">
        <v>0</v>
      </c>
    </row>
    <row r="39" spans="1:15" x14ac:dyDescent="0.25">
      <c r="A39" s="15"/>
      <c r="B39" s="15"/>
      <c r="C39">
        <v>45</v>
      </c>
      <c r="D39">
        <v>236.5</v>
      </c>
      <c r="E39">
        <v>193.5</v>
      </c>
      <c r="F39">
        <v>645</v>
      </c>
      <c r="G39">
        <v>1088</v>
      </c>
      <c r="H39">
        <v>0</v>
      </c>
      <c r="I39">
        <v>53.75</v>
      </c>
      <c r="J39">
        <v>215</v>
      </c>
      <c r="K39">
        <v>14</v>
      </c>
      <c r="L39" s="10">
        <v>17.12</v>
      </c>
      <c r="M39" s="2">
        <f t="shared" si="0"/>
        <v>383.98469999999998</v>
      </c>
      <c r="N39" s="2">
        <f t="shared" si="1"/>
        <v>197.72624999999999</v>
      </c>
      <c r="O39">
        <v>0</v>
      </c>
    </row>
    <row r="40" spans="1:15" x14ac:dyDescent="0.25">
      <c r="A40" s="15"/>
      <c r="B40" s="15"/>
      <c r="C40">
        <v>45</v>
      </c>
      <c r="D40">
        <v>236.5</v>
      </c>
      <c r="E40">
        <v>193.5</v>
      </c>
      <c r="F40">
        <v>645</v>
      </c>
      <c r="G40">
        <v>1088</v>
      </c>
      <c r="H40">
        <v>0</v>
      </c>
      <c r="I40">
        <v>53.75</v>
      </c>
      <c r="J40">
        <v>215</v>
      </c>
      <c r="K40">
        <v>56</v>
      </c>
      <c r="L40" s="10">
        <v>16.36</v>
      </c>
      <c r="M40" s="2">
        <f t="shared" si="0"/>
        <v>383.98469999999998</v>
      </c>
      <c r="N40" s="2">
        <f t="shared" si="1"/>
        <v>197.72624999999999</v>
      </c>
      <c r="O40">
        <v>0</v>
      </c>
    </row>
    <row r="41" spans="1:15" x14ac:dyDescent="0.25">
      <c r="A41" s="15"/>
      <c r="B41" s="15"/>
      <c r="C41">
        <v>45</v>
      </c>
      <c r="D41">
        <v>236.5</v>
      </c>
      <c r="E41">
        <v>193.5</v>
      </c>
      <c r="F41">
        <v>645</v>
      </c>
      <c r="G41">
        <v>1088</v>
      </c>
      <c r="H41">
        <v>0</v>
      </c>
      <c r="I41">
        <v>53.75</v>
      </c>
      <c r="J41">
        <v>215</v>
      </c>
      <c r="K41">
        <v>90</v>
      </c>
      <c r="L41" s="10">
        <v>13.88</v>
      </c>
      <c r="M41" s="2">
        <f t="shared" si="0"/>
        <v>383.98469999999998</v>
      </c>
      <c r="N41" s="2">
        <f t="shared" si="1"/>
        <v>197.72624999999999</v>
      </c>
      <c r="O41">
        <v>0</v>
      </c>
    </row>
    <row r="42" spans="1:15" x14ac:dyDescent="0.25">
      <c r="A42" s="15"/>
      <c r="B42" s="15"/>
      <c r="C42">
        <v>50</v>
      </c>
      <c r="D42">
        <v>215</v>
      </c>
      <c r="E42">
        <v>215</v>
      </c>
      <c r="F42">
        <v>645</v>
      </c>
      <c r="G42">
        <v>1088</v>
      </c>
      <c r="H42">
        <v>0</v>
      </c>
      <c r="I42">
        <v>53.75</v>
      </c>
      <c r="J42">
        <v>215</v>
      </c>
      <c r="K42">
        <v>7</v>
      </c>
      <c r="L42" s="10">
        <v>9.91</v>
      </c>
      <c r="M42" s="2">
        <f t="shared" si="0"/>
        <v>368.50470000000001</v>
      </c>
      <c r="N42" s="2">
        <f t="shared" si="1"/>
        <v>189.66374999999999</v>
      </c>
      <c r="O42">
        <v>0</v>
      </c>
    </row>
    <row r="43" spans="1:15" x14ac:dyDescent="0.25">
      <c r="A43" s="15"/>
      <c r="B43" s="15"/>
      <c r="C43">
        <v>50</v>
      </c>
      <c r="D43">
        <v>215</v>
      </c>
      <c r="E43">
        <v>215</v>
      </c>
      <c r="F43">
        <v>645</v>
      </c>
      <c r="G43">
        <v>1088</v>
      </c>
      <c r="H43">
        <v>0</v>
      </c>
      <c r="I43">
        <v>53.75</v>
      </c>
      <c r="J43">
        <v>215</v>
      </c>
      <c r="K43">
        <v>14</v>
      </c>
      <c r="L43" s="10">
        <v>11.3</v>
      </c>
      <c r="M43" s="2">
        <f t="shared" si="0"/>
        <v>368.50470000000001</v>
      </c>
      <c r="N43" s="2">
        <f t="shared" si="1"/>
        <v>189.66374999999999</v>
      </c>
      <c r="O43">
        <v>0</v>
      </c>
    </row>
    <row r="44" spans="1:15" x14ac:dyDescent="0.25">
      <c r="A44" s="15"/>
      <c r="B44" s="15"/>
      <c r="C44">
        <v>50</v>
      </c>
      <c r="D44">
        <v>215</v>
      </c>
      <c r="E44">
        <v>215</v>
      </c>
      <c r="F44">
        <v>645</v>
      </c>
      <c r="G44">
        <v>1088</v>
      </c>
      <c r="H44">
        <v>0</v>
      </c>
      <c r="I44">
        <v>53.75</v>
      </c>
      <c r="J44">
        <v>215</v>
      </c>
      <c r="K44">
        <v>56</v>
      </c>
      <c r="L44" s="10">
        <v>17.829999999999998</v>
      </c>
      <c r="M44" s="2">
        <f t="shared" si="0"/>
        <v>368.50470000000001</v>
      </c>
      <c r="N44" s="2">
        <f t="shared" si="1"/>
        <v>189.66374999999999</v>
      </c>
      <c r="O44">
        <v>0</v>
      </c>
    </row>
    <row r="45" spans="1:15" x14ac:dyDescent="0.25">
      <c r="A45" s="15"/>
      <c r="B45" s="15"/>
      <c r="C45">
        <v>50</v>
      </c>
      <c r="D45">
        <v>215</v>
      </c>
      <c r="E45">
        <v>215</v>
      </c>
      <c r="F45">
        <v>645</v>
      </c>
      <c r="G45">
        <v>1088</v>
      </c>
      <c r="H45">
        <v>0</v>
      </c>
      <c r="I45">
        <v>53.75</v>
      </c>
      <c r="J45">
        <v>215</v>
      </c>
      <c r="K45">
        <v>90</v>
      </c>
      <c r="L45" s="10">
        <v>16.940000000000001</v>
      </c>
      <c r="M45" s="2">
        <f t="shared" si="0"/>
        <v>368.50470000000001</v>
      </c>
      <c r="N45" s="2">
        <f t="shared" si="1"/>
        <v>189.66374999999999</v>
      </c>
      <c r="O45">
        <v>0</v>
      </c>
    </row>
    <row r="46" spans="1:15" x14ac:dyDescent="0.25">
      <c r="A46" s="15" t="s">
        <v>57</v>
      </c>
      <c r="B46" s="15" t="s">
        <v>58</v>
      </c>
      <c r="C46">
        <v>0</v>
      </c>
      <c r="D46">
        <v>358</v>
      </c>
      <c r="E46">
        <v>0</v>
      </c>
      <c r="F46">
        <v>829.1</v>
      </c>
      <c r="G46">
        <v>1076.0999999999999</v>
      </c>
      <c r="H46">
        <v>0</v>
      </c>
      <c r="I46">
        <v>0</v>
      </c>
      <c r="J46">
        <v>136.80000000000001</v>
      </c>
      <c r="K46">
        <v>14</v>
      </c>
      <c r="L46" s="10">
        <v>27.9</v>
      </c>
      <c r="M46" s="2">
        <f t="shared" si="0"/>
        <v>358.05748</v>
      </c>
      <c r="N46" s="2">
        <f t="shared" si="1"/>
        <v>165.93712499999998</v>
      </c>
      <c r="O46">
        <v>0</v>
      </c>
    </row>
    <row r="47" spans="1:15" x14ac:dyDescent="0.25">
      <c r="A47" s="15"/>
      <c r="B47" s="15"/>
      <c r="C47">
        <v>0</v>
      </c>
      <c r="D47">
        <v>358</v>
      </c>
      <c r="E47">
        <v>0</v>
      </c>
      <c r="F47">
        <v>829.1</v>
      </c>
      <c r="G47">
        <v>1076.0999999999999</v>
      </c>
      <c r="H47">
        <v>0</v>
      </c>
      <c r="I47">
        <v>0</v>
      </c>
      <c r="J47">
        <v>136.80000000000001</v>
      </c>
      <c r="K47">
        <v>56</v>
      </c>
      <c r="L47" s="10">
        <v>32.92</v>
      </c>
      <c r="M47" s="2">
        <f t="shared" si="0"/>
        <v>358.05748</v>
      </c>
      <c r="N47" s="2">
        <f t="shared" si="1"/>
        <v>165.93712499999998</v>
      </c>
      <c r="O47">
        <v>0</v>
      </c>
    </row>
    <row r="48" spans="1:15" x14ac:dyDescent="0.25">
      <c r="A48" s="15"/>
      <c r="B48" s="15"/>
      <c r="C48">
        <v>0</v>
      </c>
      <c r="D48">
        <v>358</v>
      </c>
      <c r="E48">
        <v>0</v>
      </c>
      <c r="F48">
        <v>829.1</v>
      </c>
      <c r="G48">
        <v>1076.0999999999999</v>
      </c>
      <c r="H48">
        <v>0</v>
      </c>
      <c r="I48">
        <v>0</v>
      </c>
      <c r="J48">
        <v>136.80000000000001</v>
      </c>
      <c r="K48">
        <v>90</v>
      </c>
      <c r="L48" s="10">
        <v>37.46</v>
      </c>
      <c r="M48" s="2">
        <f t="shared" si="0"/>
        <v>358.05748</v>
      </c>
      <c r="N48" s="2">
        <f t="shared" si="1"/>
        <v>165.93712499999998</v>
      </c>
      <c r="O48">
        <v>0</v>
      </c>
    </row>
    <row r="49" spans="1:15" x14ac:dyDescent="0.25">
      <c r="A49" s="15"/>
      <c r="B49" s="15"/>
      <c r="C49">
        <v>5</v>
      </c>
      <c r="D49">
        <v>340.1</v>
      </c>
      <c r="E49">
        <v>17.899999999999999</v>
      </c>
      <c r="F49">
        <v>829.1</v>
      </c>
      <c r="G49">
        <v>1076.0999999999999</v>
      </c>
      <c r="H49">
        <v>0</v>
      </c>
      <c r="I49">
        <v>0</v>
      </c>
      <c r="J49">
        <v>136.80000000000001</v>
      </c>
      <c r="K49">
        <v>14</v>
      </c>
      <c r="L49" s="10">
        <v>26.28</v>
      </c>
      <c r="M49" s="2">
        <f t="shared" si="0"/>
        <v>345.16948000000002</v>
      </c>
      <c r="N49" s="2">
        <f t="shared" si="1"/>
        <v>159.22462499999997</v>
      </c>
      <c r="O49">
        <v>0</v>
      </c>
    </row>
    <row r="50" spans="1:15" x14ac:dyDescent="0.25">
      <c r="A50" s="15"/>
      <c r="B50" s="15"/>
      <c r="C50">
        <v>5</v>
      </c>
      <c r="D50">
        <v>340.1</v>
      </c>
      <c r="E50">
        <v>17.899999999999999</v>
      </c>
      <c r="F50">
        <v>829.1</v>
      </c>
      <c r="G50">
        <v>1076.0999999999999</v>
      </c>
      <c r="H50">
        <v>0</v>
      </c>
      <c r="I50">
        <v>0</v>
      </c>
      <c r="J50">
        <v>136.80000000000001</v>
      </c>
      <c r="K50">
        <v>56</v>
      </c>
      <c r="L50" s="10">
        <v>32.33</v>
      </c>
      <c r="M50" s="2">
        <f t="shared" si="0"/>
        <v>345.16948000000002</v>
      </c>
      <c r="N50" s="2">
        <f t="shared" si="1"/>
        <v>159.22462499999997</v>
      </c>
      <c r="O50">
        <v>0</v>
      </c>
    </row>
    <row r="51" spans="1:15" x14ac:dyDescent="0.25">
      <c r="A51" s="15"/>
      <c r="B51" s="15"/>
      <c r="C51">
        <v>5</v>
      </c>
      <c r="D51">
        <v>340.1</v>
      </c>
      <c r="E51">
        <v>17.899999999999999</v>
      </c>
      <c r="F51">
        <v>829.1</v>
      </c>
      <c r="G51">
        <v>1076.0999999999999</v>
      </c>
      <c r="H51">
        <v>0</v>
      </c>
      <c r="I51">
        <v>0</v>
      </c>
      <c r="J51">
        <v>136.80000000000001</v>
      </c>
      <c r="K51">
        <v>90</v>
      </c>
      <c r="L51" s="10">
        <v>35.53</v>
      </c>
      <c r="M51" s="2">
        <f t="shared" si="0"/>
        <v>345.16948000000002</v>
      </c>
      <c r="N51" s="2">
        <f t="shared" si="1"/>
        <v>159.22462499999997</v>
      </c>
      <c r="O51">
        <v>0</v>
      </c>
    </row>
    <row r="52" spans="1:15" x14ac:dyDescent="0.25">
      <c r="A52" s="15"/>
      <c r="B52" s="15"/>
      <c r="C52">
        <v>10</v>
      </c>
      <c r="D52">
        <v>322.2</v>
      </c>
      <c r="E52">
        <v>35.799999999999997</v>
      </c>
      <c r="F52">
        <v>829.1</v>
      </c>
      <c r="G52">
        <v>1076.0999999999999</v>
      </c>
      <c r="H52">
        <v>0</v>
      </c>
      <c r="I52">
        <v>0</v>
      </c>
      <c r="J52">
        <v>136.80000000000001</v>
      </c>
      <c r="K52">
        <v>14</v>
      </c>
      <c r="L52" s="10">
        <v>28.36</v>
      </c>
      <c r="M52" s="2">
        <f t="shared" si="0"/>
        <v>332.28147999999999</v>
      </c>
      <c r="N52" s="2">
        <f t="shared" si="1"/>
        <v>152.512125</v>
      </c>
      <c r="O52">
        <v>0</v>
      </c>
    </row>
    <row r="53" spans="1:15" x14ac:dyDescent="0.25">
      <c r="A53" s="15"/>
      <c r="B53" s="15"/>
      <c r="C53">
        <v>10</v>
      </c>
      <c r="D53">
        <v>322.2</v>
      </c>
      <c r="E53">
        <v>35.799999999999997</v>
      </c>
      <c r="F53">
        <v>829.1</v>
      </c>
      <c r="G53">
        <v>1076.0999999999999</v>
      </c>
      <c r="H53">
        <v>0</v>
      </c>
      <c r="I53">
        <v>0</v>
      </c>
      <c r="J53">
        <v>136.80000000000001</v>
      </c>
      <c r="K53">
        <v>56</v>
      </c>
      <c r="L53" s="10">
        <v>31.86</v>
      </c>
      <c r="M53" s="2">
        <f t="shared" si="0"/>
        <v>332.28147999999999</v>
      </c>
      <c r="N53" s="2">
        <f t="shared" si="1"/>
        <v>152.512125</v>
      </c>
      <c r="O53">
        <v>0</v>
      </c>
    </row>
    <row r="54" spans="1:15" x14ac:dyDescent="0.25">
      <c r="A54" s="15"/>
      <c r="B54" s="15"/>
      <c r="C54">
        <v>10</v>
      </c>
      <c r="D54">
        <v>322.2</v>
      </c>
      <c r="E54">
        <v>35.799999999999997</v>
      </c>
      <c r="F54">
        <v>829.1</v>
      </c>
      <c r="G54">
        <v>1076.0999999999999</v>
      </c>
      <c r="H54">
        <v>0</v>
      </c>
      <c r="I54">
        <v>0</v>
      </c>
      <c r="J54">
        <v>136.80000000000001</v>
      </c>
      <c r="K54">
        <v>90</v>
      </c>
      <c r="L54" s="10">
        <v>36.5</v>
      </c>
      <c r="M54" s="2">
        <f t="shared" si="0"/>
        <v>332.28147999999999</v>
      </c>
      <c r="N54" s="2">
        <f t="shared" si="1"/>
        <v>152.512125</v>
      </c>
      <c r="O54">
        <v>0</v>
      </c>
    </row>
    <row r="55" spans="1:15" x14ac:dyDescent="0.25">
      <c r="A55" s="15"/>
      <c r="B55" s="15"/>
      <c r="C55">
        <v>15</v>
      </c>
      <c r="D55">
        <v>304.3</v>
      </c>
      <c r="E55">
        <v>53.7</v>
      </c>
      <c r="F55">
        <v>829.1</v>
      </c>
      <c r="G55">
        <v>1076.0999999999999</v>
      </c>
      <c r="H55">
        <v>0</v>
      </c>
      <c r="I55">
        <v>0</v>
      </c>
      <c r="J55">
        <v>136.80000000000001</v>
      </c>
      <c r="K55">
        <v>14</v>
      </c>
      <c r="L55" s="10">
        <v>25.5</v>
      </c>
      <c r="M55" s="2">
        <f t="shared" si="0"/>
        <v>319.39348000000001</v>
      </c>
      <c r="N55" s="2">
        <f t="shared" si="1"/>
        <v>145.79962499999999</v>
      </c>
      <c r="O55">
        <v>0</v>
      </c>
    </row>
    <row r="56" spans="1:15" x14ac:dyDescent="0.25">
      <c r="A56" s="15"/>
      <c r="B56" s="15"/>
      <c r="C56">
        <v>15</v>
      </c>
      <c r="D56">
        <v>304.3</v>
      </c>
      <c r="E56">
        <v>53.7</v>
      </c>
      <c r="F56">
        <v>829.1</v>
      </c>
      <c r="G56">
        <v>1076.0999999999999</v>
      </c>
      <c r="H56">
        <v>0</v>
      </c>
      <c r="I56">
        <v>0</v>
      </c>
      <c r="J56">
        <v>136.80000000000001</v>
      </c>
      <c r="K56">
        <v>56</v>
      </c>
      <c r="L56" s="10">
        <v>28.34</v>
      </c>
      <c r="M56" s="2">
        <f t="shared" si="0"/>
        <v>319.39348000000001</v>
      </c>
      <c r="N56" s="2">
        <f t="shared" si="1"/>
        <v>145.79962499999999</v>
      </c>
      <c r="O56">
        <v>0</v>
      </c>
    </row>
    <row r="57" spans="1:15" x14ac:dyDescent="0.25">
      <c r="A57" s="15"/>
      <c r="B57" s="15"/>
      <c r="C57">
        <v>15</v>
      </c>
      <c r="D57">
        <v>304.3</v>
      </c>
      <c r="E57">
        <v>53.7</v>
      </c>
      <c r="F57">
        <v>829.1</v>
      </c>
      <c r="G57">
        <v>1076.0999999999999</v>
      </c>
      <c r="H57">
        <v>0</v>
      </c>
      <c r="I57">
        <v>0</v>
      </c>
      <c r="J57">
        <v>136.80000000000001</v>
      </c>
      <c r="K57">
        <v>90</v>
      </c>
      <c r="L57" s="10">
        <v>34.03</v>
      </c>
      <c r="M57" s="2">
        <f t="shared" si="0"/>
        <v>319.39348000000001</v>
      </c>
      <c r="N57" s="2">
        <f t="shared" si="1"/>
        <v>145.79962499999999</v>
      </c>
      <c r="O57">
        <v>0</v>
      </c>
    </row>
    <row r="58" spans="1:15" x14ac:dyDescent="0.25">
      <c r="A58" s="15"/>
      <c r="B58" s="15"/>
      <c r="C58">
        <v>20</v>
      </c>
      <c r="D58">
        <v>286.39999999999998</v>
      </c>
      <c r="E58">
        <v>71.599999999999994</v>
      </c>
      <c r="F58">
        <v>829.1</v>
      </c>
      <c r="G58">
        <v>1076.0999999999999</v>
      </c>
      <c r="H58">
        <v>0</v>
      </c>
      <c r="I58">
        <v>0</v>
      </c>
      <c r="J58">
        <v>136.80000000000001</v>
      </c>
      <c r="K58">
        <v>14</v>
      </c>
      <c r="L58" s="10">
        <v>25.31</v>
      </c>
      <c r="M58" s="2">
        <f t="shared" si="0"/>
        <v>306.50547999999998</v>
      </c>
      <c r="N58" s="2">
        <f t="shared" si="1"/>
        <v>139.08712499999999</v>
      </c>
      <c r="O58">
        <v>0</v>
      </c>
    </row>
    <row r="59" spans="1:15" x14ac:dyDescent="0.25">
      <c r="A59" s="15"/>
      <c r="B59" s="15"/>
      <c r="C59">
        <v>20</v>
      </c>
      <c r="D59">
        <v>286.39999999999998</v>
      </c>
      <c r="E59">
        <v>71.599999999999994</v>
      </c>
      <c r="F59">
        <v>829.1</v>
      </c>
      <c r="G59">
        <v>1076.0999999999999</v>
      </c>
      <c r="H59">
        <v>0</v>
      </c>
      <c r="I59">
        <v>0</v>
      </c>
      <c r="J59">
        <v>136.80000000000001</v>
      </c>
      <c r="K59">
        <v>56</v>
      </c>
      <c r="L59" s="10">
        <v>29.23</v>
      </c>
      <c r="M59" s="2">
        <f t="shared" si="0"/>
        <v>306.50547999999998</v>
      </c>
      <c r="N59" s="2">
        <f t="shared" si="1"/>
        <v>139.08712499999999</v>
      </c>
      <c r="O59">
        <v>0</v>
      </c>
    </row>
    <row r="60" spans="1:15" x14ac:dyDescent="0.25">
      <c r="A60" s="15"/>
      <c r="B60" s="15"/>
      <c r="C60">
        <v>20</v>
      </c>
      <c r="D60">
        <v>286.39999999999998</v>
      </c>
      <c r="E60">
        <v>71.599999999999994</v>
      </c>
      <c r="F60">
        <v>829.1</v>
      </c>
      <c r="G60">
        <v>1076.0999999999999</v>
      </c>
      <c r="H60">
        <v>0</v>
      </c>
      <c r="I60">
        <v>0</v>
      </c>
      <c r="J60">
        <v>136.80000000000001</v>
      </c>
      <c r="K60">
        <v>90</v>
      </c>
      <c r="L60" s="10">
        <v>31.71</v>
      </c>
      <c r="M60" s="2">
        <f t="shared" si="0"/>
        <v>306.50547999999998</v>
      </c>
      <c r="N60" s="2">
        <f t="shared" si="1"/>
        <v>139.08712499999999</v>
      </c>
      <c r="O60">
        <v>0</v>
      </c>
    </row>
    <row r="61" spans="1:15" x14ac:dyDescent="0.25">
      <c r="A61" s="15"/>
      <c r="B61" s="15"/>
      <c r="C61">
        <v>25</v>
      </c>
      <c r="D61">
        <v>268.5</v>
      </c>
      <c r="E61">
        <v>89.5</v>
      </c>
      <c r="F61">
        <v>829.1</v>
      </c>
      <c r="G61">
        <v>1076.0999999999999</v>
      </c>
      <c r="H61">
        <v>0</v>
      </c>
      <c r="I61">
        <v>0</v>
      </c>
      <c r="J61">
        <v>136.80000000000001</v>
      </c>
      <c r="K61">
        <v>14</v>
      </c>
      <c r="L61" s="10">
        <v>25.88</v>
      </c>
      <c r="M61" s="2">
        <f t="shared" si="0"/>
        <v>293.61748</v>
      </c>
      <c r="N61" s="2">
        <f t="shared" si="1"/>
        <v>132.37462499999998</v>
      </c>
      <c r="O61">
        <v>0</v>
      </c>
    </row>
    <row r="62" spans="1:15" x14ac:dyDescent="0.25">
      <c r="A62" s="15"/>
      <c r="B62" s="15"/>
      <c r="C62">
        <v>25</v>
      </c>
      <c r="D62">
        <v>268.5</v>
      </c>
      <c r="E62">
        <v>89.5</v>
      </c>
      <c r="F62">
        <v>829.1</v>
      </c>
      <c r="G62">
        <v>1076.0999999999999</v>
      </c>
      <c r="H62">
        <v>0</v>
      </c>
      <c r="I62">
        <v>0</v>
      </c>
      <c r="J62">
        <v>136.80000000000001</v>
      </c>
      <c r="K62">
        <v>56</v>
      </c>
      <c r="L62" s="10">
        <v>29.89</v>
      </c>
      <c r="M62" s="2">
        <f t="shared" si="0"/>
        <v>293.61748</v>
      </c>
      <c r="N62" s="2">
        <f t="shared" si="1"/>
        <v>132.37462499999998</v>
      </c>
      <c r="O62">
        <v>0</v>
      </c>
    </row>
    <row r="63" spans="1:15" x14ac:dyDescent="0.25">
      <c r="A63" s="15"/>
      <c r="B63" s="15"/>
      <c r="C63">
        <v>25</v>
      </c>
      <c r="D63">
        <v>268.5</v>
      </c>
      <c r="E63">
        <v>89.5</v>
      </c>
      <c r="F63">
        <v>829.1</v>
      </c>
      <c r="G63">
        <v>1076.0999999999999</v>
      </c>
      <c r="H63">
        <v>0</v>
      </c>
      <c r="I63">
        <v>0</v>
      </c>
      <c r="J63">
        <v>136.80000000000001</v>
      </c>
      <c r="K63">
        <v>90</v>
      </c>
      <c r="L63" s="10">
        <v>30.63</v>
      </c>
      <c r="M63" s="2">
        <f t="shared" si="0"/>
        <v>293.61748</v>
      </c>
      <c r="N63" s="2">
        <f t="shared" si="1"/>
        <v>132.37462499999998</v>
      </c>
      <c r="O63">
        <v>0</v>
      </c>
    </row>
    <row r="64" spans="1:15" x14ac:dyDescent="0.25">
      <c r="A64" s="15"/>
      <c r="B64" s="15"/>
      <c r="C64">
        <v>30</v>
      </c>
      <c r="D64">
        <v>250.6</v>
      </c>
      <c r="E64">
        <v>107.4</v>
      </c>
      <c r="F64">
        <v>829.1</v>
      </c>
      <c r="G64">
        <v>1076.0999999999999</v>
      </c>
      <c r="H64">
        <v>0</v>
      </c>
      <c r="I64">
        <v>0</v>
      </c>
      <c r="J64">
        <v>136.80000000000001</v>
      </c>
      <c r="K64">
        <v>14</v>
      </c>
      <c r="L64" s="10">
        <v>26.19</v>
      </c>
      <c r="M64" s="2">
        <f t="shared" si="0"/>
        <v>280.72947999999997</v>
      </c>
      <c r="N64" s="2">
        <f t="shared" si="1"/>
        <v>125.66212499999999</v>
      </c>
      <c r="O64">
        <v>0</v>
      </c>
    </row>
    <row r="65" spans="1:15" x14ac:dyDescent="0.25">
      <c r="A65" s="15"/>
      <c r="B65" s="15"/>
      <c r="C65">
        <v>30</v>
      </c>
      <c r="D65">
        <v>250.6</v>
      </c>
      <c r="E65">
        <v>107.4</v>
      </c>
      <c r="F65">
        <v>829.1</v>
      </c>
      <c r="G65">
        <v>1076.0999999999999</v>
      </c>
      <c r="H65">
        <v>0</v>
      </c>
      <c r="I65">
        <v>0</v>
      </c>
      <c r="J65">
        <v>136.80000000000001</v>
      </c>
      <c r="K65">
        <v>56</v>
      </c>
      <c r="L65" s="10">
        <v>28.37</v>
      </c>
      <c r="M65" s="2">
        <f t="shared" si="0"/>
        <v>280.72947999999997</v>
      </c>
      <c r="N65" s="2">
        <f t="shared" si="1"/>
        <v>125.66212499999999</v>
      </c>
      <c r="O65">
        <v>0</v>
      </c>
    </row>
    <row r="66" spans="1:15" x14ac:dyDescent="0.25">
      <c r="A66" s="15"/>
      <c r="B66" s="15"/>
      <c r="C66">
        <v>30</v>
      </c>
      <c r="D66">
        <v>250.6</v>
      </c>
      <c r="E66">
        <v>107.4</v>
      </c>
      <c r="F66">
        <v>829.1</v>
      </c>
      <c r="G66">
        <v>1076.0999999999999</v>
      </c>
      <c r="H66">
        <v>0</v>
      </c>
      <c r="I66">
        <v>0</v>
      </c>
      <c r="J66">
        <v>136.80000000000001</v>
      </c>
      <c r="K66">
        <v>90</v>
      </c>
      <c r="L66" s="10">
        <v>30.66</v>
      </c>
      <c r="M66" s="2">
        <f t="shared" ref="M66:M129" si="2">SUM((D66*0.83)+(E66*0.11)+(F66*0.0139)+(G66*0.0459)+(I66*2))</f>
        <v>280.72947999999997</v>
      </c>
      <c r="N66" s="2">
        <f t="shared" si="1"/>
        <v>125.66212499999999</v>
      </c>
      <c r="O66">
        <v>0</v>
      </c>
    </row>
    <row r="67" spans="1:15" x14ac:dyDescent="0.25">
      <c r="A67" s="15"/>
      <c r="B67" s="15"/>
      <c r="C67">
        <v>35</v>
      </c>
      <c r="D67">
        <v>232.7</v>
      </c>
      <c r="E67">
        <v>125.3</v>
      </c>
      <c r="F67">
        <v>829.1</v>
      </c>
      <c r="G67">
        <v>1076.0999999999999</v>
      </c>
      <c r="H67">
        <v>0</v>
      </c>
      <c r="I67">
        <v>0</v>
      </c>
      <c r="J67">
        <v>136.80000000000001</v>
      </c>
      <c r="K67">
        <v>14</v>
      </c>
      <c r="L67" s="10">
        <v>22.34</v>
      </c>
      <c r="M67" s="2">
        <f t="shared" si="2"/>
        <v>267.84147999999999</v>
      </c>
      <c r="N67" s="2">
        <f t="shared" ref="N67:N130" si="3">SUM((D67*5)+((F67*0.25)+(G67*0.2)+(I67*20)))*0.075</f>
        <v>118.94962499999998</v>
      </c>
      <c r="O67">
        <v>0</v>
      </c>
    </row>
    <row r="68" spans="1:15" x14ac:dyDescent="0.25">
      <c r="A68" s="15"/>
      <c r="B68" s="15"/>
      <c r="C68">
        <v>35</v>
      </c>
      <c r="D68">
        <v>232.7</v>
      </c>
      <c r="E68">
        <v>125.3</v>
      </c>
      <c r="F68">
        <v>829.1</v>
      </c>
      <c r="G68">
        <v>1076.0999999999999</v>
      </c>
      <c r="H68">
        <v>0</v>
      </c>
      <c r="I68">
        <v>0</v>
      </c>
      <c r="J68">
        <v>136.80000000000001</v>
      </c>
      <c r="K68">
        <v>56</v>
      </c>
      <c r="L68" s="10">
        <v>20.77</v>
      </c>
      <c r="M68" s="2">
        <f t="shared" si="2"/>
        <v>267.84147999999999</v>
      </c>
      <c r="N68" s="2">
        <f t="shared" si="3"/>
        <v>118.94962499999998</v>
      </c>
      <c r="O68">
        <v>0</v>
      </c>
    </row>
    <row r="69" spans="1:15" x14ac:dyDescent="0.25">
      <c r="A69" s="15"/>
      <c r="B69" s="15"/>
      <c r="C69">
        <v>35</v>
      </c>
      <c r="D69">
        <v>232.7</v>
      </c>
      <c r="E69">
        <v>125.3</v>
      </c>
      <c r="F69">
        <v>829.1</v>
      </c>
      <c r="G69">
        <v>1076.0999999999999</v>
      </c>
      <c r="H69">
        <v>0</v>
      </c>
      <c r="I69">
        <v>0</v>
      </c>
      <c r="J69">
        <v>136.80000000000001</v>
      </c>
      <c r="K69">
        <v>90</v>
      </c>
      <c r="L69" s="10">
        <v>27.56</v>
      </c>
      <c r="M69" s="2">
        <f t="shared" si="2"/>
        <v>267.84147999999999</v>
      </c>
      <c r="N69" s="2">
        <f t="shared" si="3"/>
        <v>118.94962499999998</v>
      </c>
      <c r="O69">
        <v>0</v>
      </c>
    </row>
    <row r="70" spans="1:15" x14ac:dyDescent="0.25">
      <c r="A70" s="15"/>
      <c r="B70" s="15"/>
      <c r="C70">
        <v>40</v>
      </c>
      <c r="D70">
        <v>214.8</v>
      </c>
      <c r="E70">
        <v>143.19999999999999</v>
      </c>
      <c r="F70">
        <v>829.1</v>
      </c>
      <c r="G70">
        <v>1076.0999999999999</v>
      </c>
      <c r="H70">
        <v>0</v>
      </c>
      <c r="I70">
        <v>0</v>
      </c>
      <c r="J70">
        <v>136.80000000000001</v>
      </c>
      <c r="K70">
        <v>14</v>
      </c>
      <c r="L70" s="10">
        <v>22.12</v>
      </c>
      <c r="M70" s="2">
        <f t="shared" si="2"/>
        <v>254.95348000000001</v>
      </c>
      <c r="N70" s="2">
        <f t="shared" si="3"/>
        <v>112.23712499999999</v>
      </c>
      <c r="O70">
        <v>0</v>
      </c>
    </row>
    <row r="71" spans="1:15" x14ac:dyDescent="0.25">
      <c r="A71" s="15"/>
      <c r="B71" s="15"/>
      <c r="C71">
        <v>40</v>
      </c>
      <c r="D71">
        <v>214.8</v>
      </c>
      <c r="E71">
        <v>143.19999999999999</v>
      </c>
      <c r="F71">
        <v>829.1</v>
      </c>
      <c r="G71">
        <v>1076.0999999999999</v>
      </c>
      <c r="H71">
        <v>0</v>
      </c>
      <c r="I71">
        <v>0</v>
      </c>
      <c r="J71">
        <v>136.80000000000001</v>
      </c>
      <c r="K71">
        <v>56</v>
      </c>
      <c r="L71" s="10">
        <v>25.98</v>
      </c>
      <c r="M71" s="2">
        <f t="shared" si="2"/>
        <v>254.95348000000001</v>
      </c>
      <c r="N71" s="2">
        <f t="shared" si="3"/>
        <v>112.23712499999999</v>
      </c>
      <c r="O71">
        <v>0</v>
      </c>
    </row>
    <row r="72" spans="1:15" x14ac:dyDescent="0.25">
      <c r="A72" s="15"/>
      <c r="B72" s="15"/>
      <c r="C72">
        <v>40</v>
      </c>
      <c r="D72">
        <v>214.8</v>
      </c>
      <c r="E72">
        <v>143.19999999999999</v>
      </c>
      <c r="F72">
        <v>829.1</v>
      </c>
      <c r="G72">
        <v>1076.0999999999999</v>
      </c>
      <c r="H72">
        <v>0</v>
      </c>
      <c r="I72">
        <v>0</v>
      </c>
      <c r="J72">
        <v>136.80000000000001</v>
      </c>
      <c r="K72">
        <v>90</v>
      </c>
      <c r="L72" s="10">
        <v>28.4</v>
      </c>
      <c r="M72" s="2">
        <f t="shared" si="2"/>
        <v>254.95348000000001</v>
      </c>
      <c r="N72" s="2">
        <f t="shared" si="3"/>
        <v>112.23712499999999</v>
      </c>
      <c r="O72">
        <v>0</v>
      </c>
    </row>
    <row r="73" spans="1:15" x14ac:dyDescent="0.25">
      <c r="A73" s="15"/>
      <c r="B73" s="15"/>
      <c r="C73">
        <v>45</v>
      </c>
      <c r="D73">
        <v>196.9</v>
      </c>
      <c r="E73">
        <v>161.1</v>
      </c>
      <c r="F73">
        <v>829.1</v>
      </c>
      <c r="G73">
        <v>1076.0999999999999</v>
      </c>
      <c r="H73">
        <v>0</v>
      </c>
      <c r="I73">
        <v>0</v>
      </c>
      <c r="J73">
        <v>136.80000000000001</v>
      </c>
      <c r="K73">
        <v>14</v>
      </c>
      <c r="L73" s="10">
        <v>23.12</v>
      </c>
      <c r="M73" s="2">
        <f t="shared" si="2"/>
        <v>242.06547999999998</v>
      </c>
      <c r="N73" s="2">
        <f t="shared" si="3"/>
        <v>105.52462499999999</v>
      </c>
      <c r="O73">
        <v>0</v>
      </c>
    </row>
    <row r="74" spans="1:15" x14ac:dyDescent="0.25">
      <c r="A74" s="15"/>
      <c r="B74" s="15"/>
      <c r="C74">
        <v>45</v>
      </c>
      <c r="D74">
        <v>196.9</v>
      </c>
      <c r="E74">
        <v>161.1</v>
      </c>
      <c r="F74">
        <v>829.1</v>
      </c>
      <c r="G74">
        <v>1076.0999999999999</v>
      </c>
      <c r="H74">
        <v>0</v>
      </c>
      <c r="I74">
        <v>0</v>
      </c>
      <c r="J74">
        <v>136.80000000000001</v>
      </c>
      <c r="K74">
        <v>56</v>
      </c>
      <c r="L74" s="10">
        <v>25.12</v>
      </c>
      <c r="M74" s="2">
        <f t="shared" si="2"/>
        <v>242.06547999999998</v>
      </c>
      <c r="N74" s="2">
        <f t="shared" si="3"/>
        <v>105.52462499999999</v>
      </c>
      <c r="O74">
        <v>0</v>
      </c>
    </row>
    <row r="75" spans="1:15" x14ac:dyDescent="0.25">
      <c r="A75" s="15"/>
      <c r="B75" s="15"/>
      <c r="C75">
        <v>45</v>
      </c>
      <c r="D75">
        <v>196.9</v>
      </c>
      <c r="E75">
        <v>161.1</v>
      </c>
      <c r="F75">
        <v>829.1</v>
      </c>
      <c r="G75">
        <v>1076.0999999999999</v>
      </c>
      <c r="H75">
        <v>0</v>
      </c>
      <c r="I75">
        <v>0</v>
      </c>
      <c r="J75">
        <v>136.80000000000001</v>
      </c>
      <c r="K75">
        <v>90</v>
      </c>
      <c r="L75" s="10">
        <v>27.77</v>
      </c>
      <c r="M75" s="2">
        <f t="shared" si="2"/>
        <v>242.06547999999998</v>
      </c>
      <c r="N75" s="2">
        <f t="shared" si="3"/>
        <v>105.52462499999999</v>
      </c>
      <c r="O75">
        <v>0</v>
      </c>
    </row>
    <row r="76" spans="1:15" x14ac:dyDescent="0.25">
      <c r="A76" s="15"/>
      <c r="B76" s="15"/>
      <c r="C76">
        <v>50</v>
      </c>
      <c r="D76">
        <v>179</v>
      </c>
      <c r="E76">
        <v>179</v>
      </c>
      <c r="F76">
        <v>829.1</v>
      </c>
      <c r="G76">
        <v>1076.0999999999999</v>
      </c>
      <c r="H76">
        <v>0</v>
      </c>
      <c r="I76">
        <v>0</v>
      </c>
      <c r="J76">
        <v>136.80000000000001</v>
      </c>
      <c r="K76">
        <v>14</v>
      </c>
      <c r="L76" s="10">
        <v>21.33</v>
      </c>
      <c r="M76" s="2">
        <f t="shared" si="2"/>
        <v>229.17748</v>
      </c>
      <c r="N76" s="2">
        <f t="shared" si="3"/>
        <v>98.812124999999995</v>
      </c>
      <c r="O76">
        <v>0</v>
      </c>
    </row>
    <row r="77" spans="1:15" x14ac:dyDescent="0.25">
      <c r="A77" s="15"/>
      <c r="B77" s="15"/>
      <c r="C77">
        <v>50</v>
      </c>
      <c r="D77">
        <v>179</v>
      </c>
      <c r="E77">
        <v>179</v>
      </c>
      <c r="F77">
        <v>829.1</v>
      </c>
      <c r="G77">
        <v>1076.0999999999999</v>
      </c>
      <c r="H77">
        <v>0</v>
      </c>
      <c r="I77">
        <v>0</v>
      </c>
      <c r="J77">
        <v>136.80000000000001</v>
      </c>
      <c r="K77">
        <v>56</v>
      </c>
      <c r="L77" s="10">
        <v>24.85</v>
      </c>
      <c r="M77" s="2">
        <f t="shared" si="2"/>
        <v>229.17748</v>
      </c>
      <c r="N77" s="2">
        <f t="shared" si="3"/>
        <v>98.812124999999995</v>
      </c>
      <c r="O77">
        <v>0</v>
      </c>
    </row>
    <row r="78" spans="1:15" x14ac:dyDescent="0.25">
      <c r="A78" s="15"/>
      <c r="B78" s="15"/>
      <c r="C78">
        <v>50</v>
      </c>
      <c r="D78">
        <v>179</v>
      </c>
      <c r="E78">
        <v>179</v>
      </c>
      <c r="F78">
        <v>829.1</v>
      </c>
      <c r="G78">
        <v>1076.0999999999999</v>
      </c>
      <c r="H78">
        <v>0</v>
      </c>
      <c r="I78">
        <v>0</v>
      </c>
      <c r="J78">
        <v>136.80000000000001</v>
      </c>
      <c r="K78">
        <v>90</v>
      </c>
      <c r="L78" s="10">
        <v>24.72</v>
      </c>
      <c r="M78" s="2">
        <f t="shared" si="2"/>
        <v>229.17748</v>
      </c>
      <c r="N78" s="2">
        <f t="shared" si="3"/>
        <v>98.812124999999995</v>
      </c>
      <c r="O78">
        <v>0</v>
      </c>
    </row>
    <row r="79" spans="1:15" x14ac:dyDescent="0.25">
      <c r="A79" s="15" t="s">
        <v>59</v>
      </c>
      <c r="B79" s="15" t="s">
        <v>60</v>
      </c>
      <c r="C79">
        <v>0</v>
      </c>
      <c r="D79">
        <v>383.16</v>
      </c>
      <c r="E79">
        <v>0</v>
      </c>
      <c r="F79">
        <v>674.37</v>
      </c>
      <c r="G79">
        <v>1287.4000000000001</v>
      </c>
      <c r="H79">
        <v>0</v>
      </c>
      <c r="I79">
        <v>3.83</v>
      </c>
      <c r="J79">
        <v>172.42</v>
      </c>
      <c r="K79">
        <v>3</v>
      </c>
      <c r="L79" s="10">
        <v>1</v>
      </c>
      <c r="M79" s="2">
        <f t="shared" si="2"/>
        <v>394.14820300000002</v>
      </c>
      <c r="N79" s="2">
        <f t="shared" si="3"/>
        <v>181.38543750000002</v>
      </c>
      <c r="O79">
        <v>0</v>
      </c>
    </row>
    <row r="80" spans="1:15" x14ac:dyDescent="0.25">
      <c r="A80" s="15"/>
      <c r="B80" s="15"/>
      <c r="C80">
        <v>0</v>
      </c>
      <c r="D80">
        <v>383.16</v>
      </c>
      <c r="E80">
        <v>0</v>
      </c>
      <c r="F80">
        <v>674.37</v>
      </c>
      <c r="G80">
        <v>1287.4000000000001</v>
      </c>
      <c r="H80">
        <v>0</v>
      </c>
      <c r="I80">
        <v>3.83</v>
      </c>
      <c r="J80">
        <v>172.42</v>
      </c>
      <c r="K80">
        <v>14</v>
      </c>
      <c r="L80" s="10">
        <v>2.14</v>
      </c>
      <c r="M80" s="2">
        <f t="shared" si="2"/>
        <v>394.14820300000002</v>
      </c>
      <c r="N80" s="2">
        <f t="shared" si="3"/>
        <v>181.38543750000002</v>
      </c>
      <c r="O80">
        <v>0</v>
      </c>
    </row>
    <row r="81" spans="1:15" x14ac:dyDescent="0.25">
      <c r="A81" s="15"/>
      <c r="B81" s="15"/>
      <c r="C81">
        <v>0</v>
      </c>
      <c r="D81">
        <v>383.16</v>
      </c>
      <c r="E81">
        <v>0</v>
      </c>
      <c r="F81">
        <v>674.37</v>
      </c>
      <c r="G81">
        <v>1287.4000000000001</v>
      </c>
      <c r="H81">
        <v>0</v>
      </c>
      <c r="I81">
        <v>3.83</v>
      </c>
      <c r="J81">
        <v>172.42</v>
      </c>
      <c r="K81">
        <v>56</v>
      </c>
      <c r="L81" s="10">
        <v>1.79</v>
      </c>
      <c r="M81" s="2">
        <f t="shared" si="2"/>
        <v>394.14820300000002</v>
      </c>
      <c r="N81" s="2">
        <f t="shared" si="3"/>
        <v>181.38543750000002</v>
      </c>
      <c r="O81">
        <v>0</v>
      </c>
    </row>
    <row r="82" spans="1:15" x14ac:dyDescent="0.25">
      <c r="A82" s="15"/>
      <c r="B82" s="15"/>
      <c r="C82">
        <v>0</v>
      </c>
      <c r="D82">
        <v>383.16</v>
      </c>
      <c r="E82">
        <v>0</v>
      </c>
      <c r="F82">
        <v>674.37</v>
      </c>
      <c r="G82">
        <v>1287.4000000000001</v>
      </c>
      <c r="H82">
        <v>0</v>
      </c>
      <c r="I82">
        <v>3.83</v>
      </c>
      <c r="J82">
        <v>172.42</v>
      </c>
      <c r="K82">
        <v>90</v>
      </c>
      <c r="L82" s="10">
        <v>1.61</v>
      </c>
      <c r="M82" s="2">
        <f t="shared" si="2"/>
        <v>394.14820300000002</v>
      </c>
      <c r="N82" s="2">
        <f t="shared" si="3"/>
        <v>181.38543750000002</v>
      </c>
      <c r="O82">
        <v>0</v>
      </c>
    </row>
    <row r="83" spans="1:15" x14ac:dyDescent="0.25">
      <c r="A83" s="15"/>
      <c r="B83" s="15"/>
      <c r="C83">
        <v>5</v>
      </c>
      <c r="D83">
        <v>364.00200000000001</v>
      </c>
      <c r="E83">
        <v>19.158000000000001</v>
      </c>
      <c r="F83">
        <v>674.37</v>
      </c>
      <c r="G83">
        <v>1287.4000000000001</v>
      </c>
      <c r="H83">
        <v>0</v>
      </c>
      <c r="I83">
        <v>3.83</v>
      </c>
      <c r="J83">
        <v>172.42</v>
      </c>
      <c r="K83">
        <v>3</v>
      </c>
      <c r="L83" s="10">
        <v>2.1</v>
      </c>
      <c r="M83" s="2">
        <f t="shared" si="2"/>
        <v>380.354443</v>
      </c>
      <c r="N83" s="2">
        <f t="shared" si="3"/>
        <v>174.20118749999997</v>
      </c>
      <c r="O83">
        <v>0</v>
      </c>
    </row>
    <row r="84" spans="1:15" x14ac:dyDescent="0.25">
      <c r="A84" s="15"/>
      <c r="B84" s="15"/>
      <c r="C84">
        <v>5</v>
      </c>
      <c r="D84">
        <v>364.00200000000001</v>
      </c>
      <c r="E84">
        <v>19.158000000000001</v>
      </c>
      <c r="F84">
        <v>674.37</v>
      </c>
      <c r="G84">
        <v>1287.4000000000001</v>
      </c>
      <c r="H84">
        <v>0</v>
      </c>
      <c r="I84">
        <v>3.83</v>
      </c>
      <c r="J84">
        <v>172.42</v>
      </c>
      <c r="K84">
        <v>14</v>
      </c>
      <c r="L84" s="10">
        <v>4.45</v>
      </c>
      <c r="M84" s="2">
        <f t="shared" si="2"/>
        <v>380.354443</v>
      </c>
      <c r="N84" s="2">
        <f t="shared" si="3"/>
        <v>174.20118749999997</v>
      </c>
      <c r="O84">
        <v>0</v>
      </c>
    </row>
    <row r="85" spans="1:15" x14ac:dyDescent="0.25">
      <c r="A85" s="15"/>
      <c r="B85" s="15"/>
      <c r="C85">
        <v>5</v>
      </c>
      <c r="D85">
        <v>364.00200000000001</v>
      </c>
      <c r="E85">
        <v>19.158000000000001</v>
      </c>
      <c r="F85">
        <v>674.37</v>
      </c>
      <c r="G85">
        <v>1287.4000000000001</v>
      </c>
      <c r="H85">
        <v>0</v>
      </c>
      <c r="I85">
        <v>3.83</v>
      </c>
      <c r="J85">
        <v>172.42</v>
      </c>
      <c r="K85">
        <v>56</v>
      </c>
      <c r="L85" s="10">
        <v>3.68</v>
      </c>
      <c r="M85" s="2">
        <f t="shared" si="2"/>
        <v>380.354443</v>
      </c>
      <c r="N85" s="2">
        <f t="shared" si="3"/>
        <v>174.20118749999997</v>
      </c>
      <c r="O85">
        <v>0</v>
      </c>
    </row>
    <row r="86" spans="1:15" x14ac:dyDescent="0.25">
      <c r="A86" s="15"/>
      <c r="B86" s="15"/>
      <c r="C86">
        <v>5</v>
      </c>
      <c r="D86">
        <v>364.00200000000001</v>
      </c>
      <c r="E86">
        <v>19.158000000000001</v>
      </c>
      <c r="F86">
        <v>674.37</v>
      </c>
      <c r="G86">
        <v>1287.4000000000001</v>
      </c>
      <c r="H86">
        <v>0</v>
      </c>
      <c r="I86">
        <v>3.83</v>
      </c>
      <c r="J86">
        <v>172.42</v>
      </c>
      <c r="K86">
        <v>90</v>
      </c>
      <c r="L86" s="10">
        <v>3.69</v>
      </c>
      <c r="M86" s="2">
        <f t="shared" si="2"/>
        <v>380.354443</v>
      </c>
      <c r="N86" s="2">
        <f t="shared" si="3"/>
        <v>174.20118749999997</v>
      </c>
      <c r="O86">
        <v>0</v>
      </c>
    </row>
    <row r="87" spans="1:15" x14ac:dyDescent="0.25">
      <c r="A87" s="15"/>
      <c r="B87" s="15"/>
      <c r="C87">
        <v>10</v>
      </c>
      <c r="D87">
        <v>344.84399999999999</v>
      </c>
      <c r="E87">
        <v>38.316000000000003</v>
      </c>
      <c r="F87">
        <v>674.37</v>
      </c>
      <c r="G87">
        <v>1287.4000000000001</v>
      </c>
      <c r="H87">
        <v>0</v>
      </c>
      <c r="I87">
        <v>3.83</v>
      </c>
      <c r="J87">
        <v>172.42</v>
      </c>
      <c r="K87">
        <v>3</v>
      </c>
      <c r="L87" s="10">
        <v>2.23</v>
      </c>
      <c r="M87" s="2">
        <f t="shared" si="2"/>
        <v>366.56068299999998</v>
      </c>
      <c r="N87" s="2">
        <f t="shared" si="3"/>
        <v>167.01693749999998</v>
      </c>
      <c r="O87">
        <v>0</v>
      </c>
    </row>
    <row r="88" spans="1:15" x14ac:dyDescent="0.25">
      <c r="A88" s="15"/>
      <c r="B88" s="15"/>
      <c r="C88">
        <v>10</v>
      </c>
      <c r="D88">
        <v>344.84399999999999</v>
      </c>
      <c r="E88">
        <v>38.316000000000003</v>
      </c>
      <c r="F88">
        <v>674.37</v>
      </c>
      <c r="G88">
        <v>1287.4000000000001</v>
      </c>
      <c r="H88">
        <v>0</v>
      </c>
      <c r="I88">
        <v>3.83</v>
      </c>
      <c r="J88">
        <v>172.42</v>
      </c>
      <c r="K88">
        <v>14</v>
      </c>
      <c r="L88" s="10">
        <v>2.33</v>
      </c>
      <c r="M88" s="2">
        <f t="shared" si="2"/>
        <v>366.56068299999998</v>
      </c>
      <c r="N88" s="2">
        <f t="shared" si="3"/>
        <v>167.01693749999998</v>
      </c>
      <c r="O88">
        <v>0</v>
      </c>
    </row>
    <row r="89" spans="1:15" x14ac:dyDescent="0.25">
      <c r="A89" s="15"/>
      <c r="B89" s="15"/>
      <c r="C89">
        <v>10</v>
      </c>
      <c r="D89">
        <v>344.84399999999999</v>
      </c>
      <c r="E89">
        <v>38.316000000000003</v>
      </c>
      <c r="F89">
        <v>674.37</v>
      </c>
      <c r="G89">
        <v>1287.4000000000001</v>
      </c>
      <c r="H89">
        <v>0</v>
      </c>
      <c r="I89">
        <v>3.83</v>
      </c>
      <c r="J89">
        <v>172.42</v>
      </c>
      <c r="K89">
        <v>56</v>
      </c>
      <c r="L89" s="10">
        <v>1.66</v>
      </c>
      <c r="M89" s="2">
        <f t="shared" si="2"/>
        <v>366.56068299999998</v>
      </c>
      <c r="N89" s="2">
        <f t="shared" si="3"/>
        <v>167.01693749999998</v>
      </c>
      <c r="O89">
        <v>0</v>
      </c>
    </row>
    <row r="90" spans="1:15" x14ac:dyDescent="0.25">
      <c r="A90" s="15"/>
      <c r="B90" s="15"/>
      <c r="C90">
        <v>10</v>
      </c>
      <c r="D90">
        <v>344.84399999999999</v>
      </c>
      <c r="E90">
        <v>38.316000000000003</v>
      </c>
      <c r="F90">
        <v>674.37</v>
      </c>
      <c r="G90">
        <v>1287.4000000000001</v>
      </c>
      <c r="H90">
        <v>0</v>
      </c>
      <c r="I90">
        <v>3.83</v>
      </c>
      <c r="J90">
        <v>172.42</v>
      </c>
      <c r="K90">
        <v>90</v>
      </c>
      <c r="L90" s="10">
        <v>3.87</v>
      </c>
      <c r="M90" s="2">
        <f t="shared" si="2"/>
        <v>366.56068299999998</v>
      </c>
      <c r="N90" s="2">
        <f t="shared" si="3"/>
        <v>167.01693749999998</v>
      </c>
      <c r="O90">
        <v>0</v>
      </c>
    </row>
    <row r="91" spans="1:15" x14ac:dyDescent="0.25">
      <c r="A91" s="15"/>
      <c r="B91" s="15"/>
      <c r="C91">
        <v>15</v>
      </c>
      <c r="D91">
        <v>325.68599999999998</v>
      </c>
      <c r="E91">
        <v>57.473999999999997</v>
      </c>
      <c r="F91">
        <v>674.37</v>
      </c>
      <c r="G91">
        <v>1287.4000000000001</v>
      </c>
      <c r="H91">
        <v>0</v>
      </c>
      <c r="I91">
        <v>3.83</v>
      </c>
      <c r="J91">
        <v>172.42</v>
      </c>
      <c r="K91">
        <v>3</v>
      </c>
      <c r="L91" s="10">
        <v>1</v>
      </c>
      <c r="M91" s="2">
        <f t="shared" si="2"/>
        <v>352.76692299999996</v>
      </c>
      <c r="N91" s="2">
        <f t="shared" si="3"/>
        <v>159.83268749999999</v>
      </c>
      <c r="O91">
        <v>0</v>
      </c>
    </row>
    <row r="92" spans="1:15" x14ac:dyDescent="0.25">
      <c r="A92" s="15"/>
      <c r="B92" s="15"/>
      <c r="C92">
        <v>15</v>
      </c>
      <c r="D92">
        <v>325.68599999999998</v>
      </c>
      <c r="E92">
        <v>57.473999999999997</v>
      </c>
      <c r="F92">
        <v>674.37</v>
      </c>
      <c r="G92">
        <v>1287.4000000000001</v>
      </c>
      <c r="H92">
        <v>0</v>
      </c>
      <c r="I92">
        <v>3.83</v>
      </c>
      <c r="J92">
        <v>172.42</v>
      </c>
      <c r="K92">
        <v>14</v>
      </c>
      <c r="L92" s="10">
        <v>1.81</v>
      </c>
      <c r="M92" s="2">
        <f t="shared" si="2"/>
        <v>352.76692299999996</v>
      </c>
      <c r="N92" s="2">
        <f t="shared" si="3"/>
        <v>159.83268749999999</v>
      </c>
      <c r="O92">
        <v>0</v>
      </c>
    </row>
    <row r="93" spans="1:15" x14ac:dyDescent="0.25">
      <c r="A93" s="15"/>
      <c r="B93" s="15"/>
      <c r="C93">
        <v>15</v>
      </c>
      <c r="D93">
        <v>325.68599999999998</v>
      </c>
      <c r="E93">
        <v>57.473999999999997</v>
      </c>
      <c r="F93">
        <v>674.37</v>
      </c>
      <c r="G93">
        <v>1287.4000000000001</v>
      </c>
      <c r="H93">
        <v>0</v>
      </c>
      <c r="I93">
        <v>3.83</v>
      </c>
      <c r="J93">
        <v>172.42</v>
      </c>
      <c r="K93">
        <v>56</v>
      </c>
      <c r="L93" s="10">
        <v>3.66</v>
      </c>
      <c r="M93" s="2">
        <f t="shared" si="2"/>
        <v>352.76692299999996</v>
      </c>
      <c r="N93" s="2">
        <f t="shared" si="3"/>
        <v>159.83268749999999</v>
      </c>
      <c r="O93">
        <v>0</v>
      </c>
    </row>
    <row r="94" spans="1:15" x14ac:dyDescent="0.25">
      <c r="A94" s="15"/>
      <c r="B94" s="15"/>
      <c r="C94">
        <v>15</v>
      </c>
      <c r="D94">
        <v>325.68599999999998</v>
      </c>
      <c r="E94">
        <v>57.473999999999997</v>
      </c>
      <c r="F94">
        <v>674.37</v>
      </c>
      <c r="G94">
        <v>1287.4000000000001</v>
      </c>
      <c r="H94">
        <v>0</v>
      </c>
      <c r="I94">
        <v>3.83</v>
      </c>
      <c r="J94">
        <v>172.42</v>
      </c>
      <c r="K94">
        <v>90</v>
      </c>
      <c r="L94" s="10">
        <v>4.6100000000000003</v>
      </c>
      <c r="M94" s="2">
        <f t="shared" si="2"/>
        <v>352.76692299999996</v>
      </c>
      <c r="N94" s="2">
        <f t="shared" si="3"/>
        <v>159.83268749999999</v>
      </c>
      <c r="O94">
        <v>0</v>
      </c>
    </row>
    <row r="95" spans="1:15" x14ac:dyDescent="0.25">
      <c r="A95" s="15"/>
      <c r="B95" s="15"/>
      <c r="C95">
        <v>20</v>
      </c>
      <c r="D95">
        <v>306.52800000000002</v>
      </c>
      <c r="E95">
        <v>76.632000000000005</v>
      </c>
      <c r="F95">
        <v>674.37</v>
      </c>
      <c r="G95">
        <v>1287.4000000000001</v>
      </c>
      <c r="H95">
        <v>0</v>
      </c>
      <c r="I95">
        <v>3.83</v>
      </c>
      <c r="J95">
        <v>172.42</v>
      </c>
      <c r="K95">
        <v>3</v>
      </c>
      <c r="L95" s="10">
        <v>1</v>
      </c>
      <c r="M95" s="2">
        <f t="shared" si="2"/>
        <v>338.973163</v>
      </c>
      <c r="N95" s="2">
        <f t="shared" si="3"/>
        <v>152.6484375</v>
      </c>
      <c r="O95">
        <v>0</v>
      </c>
    </row>
    <row r="96" spans="1:15" x14ac:dyDescent="0.25">
      <c r="A96" s="15"/>
      <c r="B96" s="15"/>
      <c r="C96">
        <v>20</v>
      </c>
      <c r="D96">
        <v>306.52800000000002</v>
      </c>
      <c r="E96">
        <v>76.632000000000005</v>
      </c>
      <c r="F96">
        <v>674.37</v>
      </c>
      <c r="G96">
        <v>1287.4000000000001</v>
      </c>
      <c r="H96">
        <v>0</v>
      </c>
      <c r="I96">
        <v>3.83</v>
      </c>
      <c r="J96">
        <v>172.42</v>
      </c>
      <c r="K96">
        <v>14</v>
      </c>
      <c r="L96" s="10">
        <v>2.2999999999999998</v>
      </c>
      <c r="M96" s="2">
        <f t="shared" si="2"/>
        <v>338.973163</v>
      </c>
      <c r="N96" s="2">
        <f t="shared" si="3"/>
        <v>152.6484375</v>
      </c>
      <c r="O96">
        <v>0</v>
      </c>
    </row>
    <row r="97" spans="1:15" x14ac:dyDescent="0.25">
      <c r="A97" s="15"/>
      <c r="B97" s="15"/>
      <c r="C97">
        <v>20</v>
      </c>
      <c r="D97">
        <v>306.52800000000002</v>
      </c>
      <c r="E97">
        <v>76.632000000000005</v>
      </c>
      <c r="F97">
        <v>674.37</v>
      </c>
      <c r="G97">
        <v>1287.4000000000001</v>
      </c>
      <c r="H97">
        <v>0</v>
      </c>
      <c r="I97">
        <v>3.83</v>
      </c>
      <c r="J97">
        <v>172.42</v>
      </c>
      <c r="K97">
        <v>56</v>
      </c>
      <c r="L97" s="10">
        <v>1</v>
      </c>
      <c r="M97" s="2">
        <f t="shared" si="2"/>
        <v>338.973163</v>
      </c>
      <c r="N97" s="2">
        <f t="shared" si="3"/>
        <v>152.6484375</v>
      </c>
      <c r="O97">
        <v>0</v>
      </c>
    </row>
    <row r="98" spans="1:15" x14ac:dyDescent="0.25">
      <c r="A98" s="15"/>
      <c r="B98" s="15"/>
      <c r="C98">
        <v>20</v>
      </c>
      <c r="D98">
        <v>306.52800000000002</v>
      </c>
      <c r="E98">
        <v>76.632000000000005</v>
      </c>
      <c r="F98">
        <v>674.37</v>
      </c>
      <c r="G98">
        <v>1287.4000000000001</v>
      </c>
      <c r="H98">
        <v>0</v>
      </c>
      <c r="I98">
        <v>3.83</v>
      </c>
      <c r="J98">
        <v>172.42</v>
      </c>
      <c r="K98">
        <v>90</v>
      </c>
      <c r="L98" s="10">
        <v>1.52</v>
      </c>
      <c r="M98" s="2">
        <f t="shared" si="2"/>
        <v>338.973163</v>
      </c>
      <c r="N98" s="2">
        <f t="shared" si="3"/>
        <v>152.6484375</v>
      </c>
      <c r="O98">
        <v>0</v>
      </c>
    </row>
    <row r="99" spans="1:15" x14ac:dyDescent="0.25">
      <c r="A99" s="15"/>
      <c r="B99" s="15"/>
      <c r="C99">
        <v>25</v>
      </c>
      <c r="D99">
        <v>287.37</v>
      </c>
      <c r="E99">
        <v>95.79</v>
      </c>
      <c r="F99">
        <v>674.37</v>
      </c>
      <c r="G99">
        <v>1287.4000000000001</v>
      </c>
      <c r="H99">
        <v>0</v>
      </c>
      <c r="I99">
        <v>3.83</v>
      </c>
      <c r="J99">
        <v>172.42</v>
      </c>
      <c r="K99">
        <v>3</v>
      </c>
      <c r="L99" s="10">
        <v>1</v>
      </c>
      <c r="M99" s="2">
        <f t="shared" si="2"/>
        <v>325.17940300000004</v>
      </c>
      <c r="N99" s="2">
        <f t="shared" si="3"/>
        <v>145.46418750000001</v>
      </c>
      <c r="O99">
        <v>0</v>
      </c>
    </row>
    <row r="100" spans="1:15" x14ac:dyDescent="0.25">
      <c r="A100" s="15"/>
      <c r="B100" s="15"/>
      <c r="C100">
        <v>25</v>
      </c>
      <c r="D100">
        <v>287.37</v>
      </c>
      <c r="E100">
        <v>95.79</v>
      </c>
      <c r="F100">
        <v>674.37</v>
      </c>
      <c r="G100">
        <v>1287.4000000000001</v>
      </c>
      <c r="H100">
        <v>0</v>
      </c>
      <c r="I100">
        <v>3.83</v>
      </c>
      <c r="J100">
        <v>172.42</v>
      </c>
      <c r="K100">
        <v>14</v>
      </c>
      <c r="L100" s="10">
        <v>1.32</v>
      </c>
      <c r="M100" s="2">
        <f t="shared" si="2"/>
        <v>325.17940300000004</v>
      </c>
      <c r="N100" s="2">
        <f t="shared" si="3"/>
        <v>145.46418750000001</v>
      </c>
      <c r="O100">
        <v>0</v>
      </c>
    </row>
    <row r="101" spans="1:15" x14ac:dyDescent="0.25">
      <c r="A101" s="15"/>
      <c r="B101" s="15"/>
      <c r="C101">
        <v>25</v>
      </c>
      <c r="D101">
        <v>287.37</v>
      </c>
      <c r="E101">
        <v>95.79</v>
      </c>
      <c r="F101">
        <v>674.37</v>
      </c>
      <c r="G101">
        <v>1287.4000000000001</v>
      </c>
      <c r="H101">
        <v>0</v>
      </c>
      <c r="I101">
        <v>3.83</v>
      </c>
      <c r="J101">
        <v>172.42</v>
      </c>
      <c r="K101">
        <v>56</v>
      </c>
      <c r="L101" s="10">
        <v>1.1599999999999999</v>
      </c>
      <c r="M101" s="2">
        <f t="shared" si="2"/>
        <v>325.17940300000004</v>
      </c>
      <c r="N101" s="2">
        <f t="shared" si="3"/>
        <v>145.46418750000001</v>
      </c>
      <c r="O101">
        <v>0</v>
      </c>
    </row>
    <row r="102" spans="1:15" x14ac:dyDescent="0.25">
      <c r="A102" s="15"/>
      <c r="B102" s="15"/>
      <c r="C102">
        <v>25</v>
      </c>
      <c r="D102">
        <v>287.37</v>
      </c>
      <c r="E102">
        <v>95.79</v>
      </c>
      <c r="F102">
        <v>674.37</v>
      </c>
      <c r="G102">
        <v>1287.4000000000001</v>
      </c>
      <c r="H102">
        <v>0</v>
      </c>
      <c r="I102">
        <v>3.83</v>
      </c>
      <c r="J102">
        <v>172.42</v>
      </c>
      <c r="K102">
        <v>90</v>
      </c>
      <c r="L102" s="10">
        <v>2.59</v>
      </c>
      <c r="M102" s="2">
        <f t="shared" si="2"/>
        <v>325.17940300000004</v>
      </c>
      <c r="N102" s="2">
        <f t="shared" si="3"/>
        <v>145.46418750000001</v>
      </c>
      <c r="O102">
        <v>0</v>
      </c>
    </row>
    <row r="103" spans="1:15" x14ac:dyDescent="0.25">
      <c r="A103" s="15"/>
      <c r="B103" s="15"/>
      <c r="C103">
        <v>30</v>
      </c>
      <c r="D103">
        <v>268.21199999999999</v>
      </c>
      <c r="E103">
        <v>114.94799999999999</v>
      </c>
      <c r="F103">
        <v>674.37</v>
      </c>
      <c r="G103">
        <v>1287.4000000000001</v>
      </c>
      <c r="H103">
        <v>0</v>
      </c>
      <c r="I103">
        <v>3.83</v>
      </c>
      <c r="J103">
        <v>172.42</v>
      </c>
      <c r="K103">
        <v>3</v>
      </c>
      <c r="L103" s="10">
        <v>1</v>
      </c>
      <c r="M103" s="2">
        <f t="shared" si="2"/>
        <v>311.38564300000002</v>
      </c>
      <c r="N103" s="2">
        <f t="shared" si="3"/>
        <v>138.27993749999999</v>
      </c>
      <c r="O103">
        <v>0</v>
      </c>
    </row>
    <row r="104" spans="1:15" x14ac:dyDescent="0.25">
      <c r="A104" s="15"/>
      <c r="B104" s="15"/>
      <c r="C104">
        <v>30</v>
      </c>
      <c r="D104">
        <v>268.21199999999999</v>
      </c>
      <c r="E104">
        <v>114.94799999999999</v>
      </c>
      <c r="F104">
        <v>674.37</v>
      </c>
      <c r="G104">
        <v>1287.4000000000001</v>
      </c>
      <c r="H104">
        <v>0</v>
      </c>
      <c r="I104">
        <v>3.83</v>
      </c>
      <c r="J104">
        <v>172.42</v>
      </c>
      <c r="K104">
        <v>14</v>
      </c>
      <c r="L104" s="10">
        <v>1</v>
      </c>
      <c r="M104" s="2">
        <f t="shared" si="2"/>
        <v>311.38564300000002</v>
      </c>
      <c r="N104" s="2">
        <f t="shared" si="3"/>
        <v>138.27993749999999</v>
      </c>
      <c r="O104">
        <v>0</v>
      </c>
    </row>
    <row r="105" spans="1:15" x14ac:dyDescent="0.25">
      <c r="A105" s="15"/>
      <c r="B105" s="15"/>
      <c r="C105">
        <v>30</v>
      </c>
      <c r="D105">
        <v>268.21199999999999</v>
      </c>
      <c r="E105">
        <v>114.94799999999999</v>
      </c>
      <c r="F105">
        <v>674.37</v>
      </c>
      <c r="G105">
        <v>1287.4000000000001</v>
      </c>
      <c r="H105">
        <v>0</v>
      </c>
      <c r="I105">
        <v>3.83</v>
      </c>
      <c r="J105">
        <v>172.42</v>
      </c>
      <c r="K105">
        <v>56</v>
      </c>
      <c r="L105" s="10">
        <v>3.37</v>
      </c>
      <c r="M105" s="2">
        <f t="shared" si="2"/>
        <v>311.38564300000002</v>
      </c>
      <c r="N105" s="2">
        <f t="shared" si="3"/>
        <v>138.27993749999999</v>
      </c>
      <c r="O105">
        <v>0</v>
      </c>
    </row>
    <row r="106" spans="1:15" x14ac:dyDescent="0.25">
      <c r="A106" s="15"/>
      <c r="B106" s="15"/>
      <c r="C106">
        <v>30</v>
      </c>
      <c r="D106">
        <v>268.21199999999999</v>
      </c>
      <c r="E106">
        <v>114.94799999999999</v>
      </c>
      <c r="F106">
        <v>674.37</v>
      </c>
      <c r="G106">
        <v>1287.4000000000001</v>
      </c>
      <c r="H106">
        <v>0</v>
      </c>
      <c r="I106">
        <v>3.83</v>
      </c>
      <c r="J106">
        <v>172.42</v>
      </c>
      <c r="K106">
        <v>90</v>
      </c>
      <c r="L106" s="10">
        <v>1.87</v>
      </c>
      <c r="M106" s="2">
        <f t="shared" si="2"/>
        <v>311.38564300000002</v>
      </c>
      <c r="N106" s="2">
        <f t="shared" si="3"/>
        <v>138.27993749999999</v>
      </c>
      <c r="O106">
        <v>0</v>
      </c>
    </row>
    <row r="107" spans="1:15" x14ac:dyDescent="0.25">
      <c r="A107" s="15"/>
      <c r="B107" s="15"/>
      <c r="C107">
        <v>35</v>
      </c>
      <c r="D107">
        <v>249.054</v>
      </c>
      <c r="E107">
        <v>134.10599999999999</v>
      </c>
      <c r="F107">
        <v>674.37</v>
      </c>
      <c r="G107">
        <v>1287.4000000000001</v>
      </c>
      <c r="H107">
        <v>0</v>
      </c>
      <c r="I107">
        <v>3.83</v>
      </c>
      <c r="J107">
        <v>172.42</v>
      </c>
      <c r="K107">
        <v>3</v>
      </c>
      <c r="L107" s="10">
        <v>1</v>
      </c>
      <c r="M107" s="2">
        <f t="shared" si="2"/>
        <v>297.591883</v>
      </c>
      <c r="N107" s="2">
        <f t="shared" si="3"/>
        <v>131.0956875</v>
      </c>
      <c r="O107">
        <v>0</v>
      </c>
    </row>
    <row r="108" spans="1:15" x14ac:dyDescent="0.25">
      <c r="A108" s="15"/>
      <c r="B108" s="15"/>
      <c r="C108">
        <v>35</v>
      </c>
      <c r="D108">
        <v>249.054</v>
      </c>
      <c r="E108">
        <v>134.10599999999999</v>
      </c>
      <c r="F108">
        <v>674.37</v>
      </c>
      <c r="G108">
        <v>1287.4000000000001</v>
      </c>
      <c r="H108">
        <v>0</v>
      </c>
      <c r="I108">
        <v>3.83</v>
      </c>
      <c r="J108">
        <v>172.42</v>
      </c>
      <c r="K108">
        <v>14</v>
      </c>
      <c r="L108" s="10">
        <v>1</v>
      </c>
      <c r="M108" s="2">
        <f t="shared" si="2"/>
        <v>297.591883</v>
      </c>
      <c r="N108" s="2">
        <f t="shared" si="3"/>
        <v>131.0956875</v>
      </c>
      <c r="O108">
        <v>0</v>
      </c>
    </row>
    <row r="109" spans="1:15" x14ac:dyDescent="0.25">
      <c r="A109" s="15"/>
      <c r="B109" s="15"/>
      <c r="C109">
        <v>35</v>
      </c>
      <c r="D109">
        <v>249.054</v>
      </c>
      <c r="E109">
        <v>134.10599999999999</v>
      </c>
      <c r="F109">
        <v>674.37</v>
      </c>
      <c r="G109">
        <v>1287.4000000000001</v>
      </c>
      <c r="H109">
        <v>0</v>
      </c>
      <c r="I109">
        <v>3.83</v>
      </c>
      <c r="J109">
        <v>172.42</v>
      </c>
      <c r="K109">
        <v>56</v>
      </c>
      <c r="L109" s="10">
        <v>3.12</v>
      </c>
      <c r="M109" s="2">
        <f t="shared" si="2"/>
        <v>297.591883</v>
      </c>
      <c r="N109" s="2">
        <f t="shared" si="3"/>
        <v>131.0956875</v>
      </c>
      <c r="O109">
        <v>0</v>
      </c>
    </row>
    <row r="110" spans="1:15" x14ac:dyDescent="0.25">
      <c r="A110" s="15"/>
      <c r="B110" s="15"/>
      <c r="C110">
        <v>35</v>
      </c>
      <c r="D110">
        <v>249.054</v>
      </c>
      <c r="E110">
        <v>134.10599999999999</v>
      </c>
      <c r="F110">
        <v>674.37</v>
      </c>
      <c r="G110">
        <v>1287.4000000000001</v>
      </c>
      <c r="H110">
        <v>0</v>
      </c>
      <c r="I110">
        <v>3.83</v>
      </c>
      <c r="J110">
        <v>172.42</v>
      </c>
      <c r="K110">
        <v>90</v>
      </c>
      <c r="L110" s="10">
        <v>1.08</v>
      </c>
      <c r="M110" s="2">
        <f t="shared" si="2"/>
        <v>297.591883</v>
      </c>
      <c r="N110" s="2">
        <f t="shared" si="3"/>
        <v>131.0956875</v>
      </c>
      <c r="O110">
        <v>0</v>
      </c>
    </row>
    <row r="111" spans="1:15" x14ac:dyDescent="0.25">
      <c r="A111" s="15"/>
      <c r="B111" s="15"/>
      <c r="C111">
        <v>40</v>
      </c>
      <c r="D111">
        <v>229.89599999999999</v>
      </c>
      <c r="E111">
        <v>153.26400000000001</v>
      </c>
      <c r="F111">
        <v>674.37</v>
      </c>
      <c r="G111">
        <v>1287.4000000000001</v>
      </c>
      <c r="H111">
        <v>0</v>
      </c>
      <c r="I111">
        <v>3.83</v>
      </c>
      <c r="J111">
        <v>172.42</v>
      </c>
      <c r="K111">
        <v>3</v>
      </c>
      <c r="L111" s="10">
        <v>1</v>
      </c>
      <c r="M111" s="2">
        <f t="shared" si="2"/>
        <v>283.79812299999998</v>
      </c>
      <c r="N111" s="2">
        <f t="shared" si="3"/>
        <v>123.91143750000001</v>
      </c>
      <c r="O111">
        <v>0</v>
      </c>
    </row>
    <row r="112" spans="1:15" x14ac:dyDescent="0.25">
      <c r="A112" s="15"/>
      <c r="B112" s="15"/>
      <c r="C112">
        <v>40</v>
      </c>
      <c r="D112">
        <v>229.89599999999999</v>
      </c>
      <c r="E112">
        <v>153.26400000000001</v>
      </c>
      <c r="F112">
        <v>674.37</v>
      </c>
      <c r="G112">
        <v>1287.4000000000001</v>
      </c>
      <c r="H112">
        <v>0</v>
      </c>
      <c r="I112">
        <v>3.83</v>
      </c>
      <c r="J112">
        <v>172.42</v>
      </c>
      <c r="K112">
        <v>14</v>
      </c>
      <c r="L112" s="10">
        <v>1</v>
      </c>
      <c r="M112" s="2">
        <f t="shared" si="2"/>
        <v>283.79812299999998</v>
      </c>
      <c r="N112" s="2">
        <f t="shared" si="3"/>
        <v>123.91143750000001</v>
      </c>
      <c r="O112">
        <v>0</v>
      </c>
    </row>
    <row r="113" spans="1:15" x14ac:dyDescent="0.25">
      <c r="A113" s="15"/>
      <c r="B113" s="15"/>
      <c r="C113">
        <v>40</v>
      </c>
      <c r="D113">
        <v>229.89599999999999</v>
      </c>
      <c r="E113">
        <v>153.26400000000001</v>
      </c>
      <c r="F113">
        <v>674.37</v>
      </c>
      <c r="G113">
        <v>1287.4000000000001</v>
      </c>
      <c r="H113">
        <v>0</v>
      </c>
      <c r="I113">
        <v>3.83</v>
      </c>
      <c r="J113">
        <v>172.42</v>
      </c>
      <c r="K113">
        <v>56</v>
      </c>
      <c r="L113" s="10">
        <v>1.25</v>
      </c>
      <c r="M113" s="2">
        <f t="shared" si="2"/>
        <v>283.79812299999998</v>
      </c>
      <c r="N113" s="2">
        <f t="shared" si="3"/>
        <v>123.91143750000001</v>
      </c>
      <c r="O113">
        <v>0</v>
      </c>
    </row>
    <row r="114" spans="1:15" x14ac:dyDescent="0.25">
      <c r="A114" s="15"/>
      <c r="B114" s="15"/>
      <c r="C114">
        <v>40</v>
      </c>
      <c r="D114">
        <v>229.89599999999999</v>
      </c>
      <c r="E114">
        <v>153.26400000000001</v>
      </c>
      <c r="F114">
        <v>674.37</v>
      </c>
      <c r="G114">
        <v>1287.4000000000001</v>
      </c>
      <c r="H114">
        <v>0</v>
      </c>
      <c r="I114">
        <v>3.83</v>
      </c>
      <c r="J114">
        <v>172.42</v>
      </c>
      <c r="K114">
        <v>90</v>
      </c>
      <c r="L114" s="10">
        <v>1</v>
      </c>
      <c r="M114" s="2">
        <f t="shared" si="2"/>
        <v>283.79812299999998</v>
      </c>
      <c r="N114" s="2">
        <f t="shared" si="3"/>
        <v>123.91143750000001</v>
      </c>
      <c r="O114">
        <v>0</v>
      </c>
    </row>
    <row r="115" spans="1:15" x14ac:dyDescent="0.25">
      <c r="A115" s="15"/>
      <c r="B115" s="15"/>
      <c r="C115">
        <v>45</v>
      </c>
      <c r="D115">
        <v>210.738</v>
      </c>
      <c r="E115">
        <v>172.422</v>
      </c>
      <c r="F115">
        <v>674.37</v>
      </c>
      <c r="G115">
        <v>1287.4000000000001</v>
      </c>
      <c r="H115">
        <v>0</v>
      </c>
      <c r="I115">
        <v>3.83</v>
      </c>
      <c r="J115">
        <v>172.42</v>
      </c>
      <c r="K115">
        <v>3</v>
      </c>
      <c r="L115" s="10">
        <v>1</v>
      </c>
      <c r="M115" s="2">
        <f t="shared" si="2"/>
        <v>270.00436300000001</v>
      </c>
      <c r="N115" s="2">
        <f t="shared" si="3"/>
        <v>116.72718750000001</v>
      </c>
      <c r="O115">
        <v>0</v>
      </c>
    </row>
    <row r="116" spans="1:15" x14ac:dyDescent="0.25">
      <c r="A116" s="15"/>
      <c r="B116" s="15"/>
      <c r="C116">
        <v>45</v>
      </c>
      <c r="D116">
        <v>210.738</v>
      </c>
      <c r="E116">
        <v>172.422</v>
      </c>
      <c r="F116">
        <v>674.37</v>
      </c>
      <c r="G116">
        <v>1287.4000000000001</v>
      </c>
      <c r="H116">
        <v>0</v>
      </c>
      <c r="I116">
        <v>3.83</v>
      </c>
      <c r="J116">
        <v>172.42</v>
      </c>
      <c r="K116">
        <v>14</v>
      </c>
      <c r="L116" s="10">
        <v>1.05</v>
      </c>
      <c r="M116" s="2">
        <f t="shared" si="2"/>
        <v>270.00436300000001</v>
      </c>
      <c r="N116" s="2">
        <f t="shared" si="3"/>
        <v>116.72718750000001</v>
      </c>
      <c r="O116">
        <v>0</v>
      </c>
    </row>
    <row r="117" spans="1:15" x14ac:dyDescent="0.25">
      <c r="A117" s="15"/>
      <c r="B117" s="15"/>
      <c r="C117">
        <v>45</v>
      </c>
      <c r="D117">
        <v>210.738</v>
      </c>
      <c r="E117">
        <v>172.422</v>
      </c>
      <c r="F117">
        <v>674.37</v>
      </c>
      <c r="G117">
        <v>1287.4000000000001</v>
      </c>
      <c r="H117">
        <v>0</v>
      </c>
      <c r="I117">
        <v>3.83</v>
      </c>
      <c r="J117">
        <v>172.42</v>
      </c>
      <c r="K117">
        <v>56</v>
      </c>
      <c r="L117" s="10">
        <v>1.65</v>
      </c>
      <c r="M117" s="2">
        <f t="shared" si="2"/>
        <v>270.00436300000001</v>
      </c>
      <c r="N117" s="2">
        <f t="shared" si="3"/>
        <v>116.72718750000001</v>
      </c>
      <c r="O117">
        <v>0</v>
      </c>
    </row>
    <row r="118" spans="1:15" x14ac:dyDescent="0.25">
      <c r="A118" s="15"/>
      <c r="B118" s="15"/>
      <c r="C118">
        <v>45</v>
      </c>
      <c r="D118">
        <v>210.738</v>
      </c>
      <c r="E118">
        <v>172.422</v>
      </c>
      <c r="F118">
        <v>674.37</v>
      </c>
      <c r="G118">
        <v>1287.4000000000001</v>
      </c>
      <c r="H118">
        <v>0</v>
      </c>
      <c r="I118">
        <v>3.83</v>
      </c>
      <c r="J118">
        <v>172.42</v>
      </c>
      <c r="K118">
        <v>90</v>
      </c>
      <c r="L118" s="10">
        <v>2.25</v>
      </c>
      <c r="M118" s="2">
        <f t="shared" si="2"/>
        <v>270.00436300000001</v>
      </c>
      <c r="N118" s="2">
        <f t="shared" si="3"/>
        <v>116.72718750000001</v>
      </c>
      <c r="O118">
        <v>0</v>
      </c>
    </row>
    <row r="119" spans="1:15" x14ac:dyDescent="0.25">
      <c r="A119" s="15"/>
      <c r="B119" s="15"/>
      <c r="C119">
        <v>50</v>
      </c>
      <c r="D119">
        <v>191.58</v>
      </c>
      <c r="E119">
        <v>191.58</v>
      </c>
      <c r="F119">
        <v>674.37</v>
      </c>
      <c r="G119">
        <v>1287.4000000000001</v>
      </c>
      <c r="H119">
        <v>0</v>
      </c>
      <c r="I119">
        <v>3.83</v>
      </c>
      <c r="J119">
        <v>172.42</v>
      </c>
      <c r="K119">
        <v>3</v>
      </c>
      <c r="L119" s="10">
        <v>2.68</v>
      </c>
      <c r="M119" s="2">
        <f t="shared" si="2"/>
        <v>256.21060300000005</v>
      </c>
      <c r="N119" s="2">
        <f t="shared" si="3"/>
        <v>109.54293750000001</v>
      </c>
      <c r="O119">
        <v>0</v>
      </c>
    </row>
    <row r="120" spans="1:15" x14ac:dyDescent="0.25">
      <c r="A120" s="15"/>
      <c r="B120" s="15"/>
      <c r="C120">
        <v>50</v>
      </c>
      <c r="D120">
        <v>191.58</v>
      </c>
      <c r="E120">
        <v>191.58</v>
      </c>
      <c r="F120">
        <v>674.37</v>
      </c>
      <c r="G120">
        <v>1287.4000000000001</v>
      </c>
      <c r="H120">
        <v>0</v>
      </c>
      <c r="I120">
        <v>3.83</v>
      </c>
      <c r="J120">
        <v>172.42</v>
      </c>
      <c r="K120">
        <v>14</v>
      </c>
      <c r="L120" s="10">
        <v>1</v>
      </c>
      <c r="M120" s="2">
        <f t="shared" si="2"/>
        <v>256.21060300000005</v>
      </c>
      <c r="N120" s="2">
        <f t="shared" si="3"/>
        <v>109.54293750000001</v>
      </c>
      <c r="O120">
        <v>0</v>
      </c>
    </row>
    <row r="121" spans="1:15" x14ac:dyDescent="0.25">
      <c r="A121" s="15"/>
      <c r="B121" s="15"/>
      <c r="C121">
        <v>50</v>
      </c>
      <c r="D121">
        <v>191.58</v>
      </c>
      <c r="E121">
        <v>191.58</v>
      </c>
      <c r="F121">
        <v>674.37</v>
      </c>
      <c r="G121">
        <v>1287.4000000000001</v>
      </c>
      <c r="H121">
        <v>0</v>
      </c>
      <c r="I121">
        <v>3.83</v>
      </c>
      <c r="J121">
        <v>172.42</v>
      </c>
      <c r="K121">
        <v>56</v>
      </c>
      <c r="L121" s="10">
        <v>1</v>
      </c>
      <c r="M121" s="2">
        <f t="shared" si="2"/>
        <v>256.21060300000005</v>
      </c>
      <c r="N121" s="2">
        <f t="shared" si="3"/>
        <v>109.54293750000001</v>
      </c>
      <c r="O121">
        <v>0</v>
      </c>
    </row>
    <row r="122" spans="1:15" x14ac:dyDescent="0.25">
      <c r="A122" s="15"/>
      <c r="B122" s="15"/>
      <c r="C122">
        <v>50</v>
      </c>
      <c r="D122">
        <v>191.58</v>
      </c>
      <c r="E122">
        <v>191.58</v>
      </c>
      <c r="F122">
        <v>674.37</v>
      </c>
      <c r="G122">
        <v>1287.4000000000001</v>
      </c>
      <c r="H122">
        <v>0</v>
      </c>
      <c r="I122">
        <v>3.83</v>
      </c>
      <c r="J122">
        <v>172.42</v>
      </c>
      <c r="K122">
        <v>90</v>
      </c>
      <c r="L122" s="10">
        <v>2.94</v>
      </c>
      <c r="M122" s="2">
        <f t="shared" si="2"/>
        <v>256.21060300000005</v>
      </c>
      <c r="N122" s="2">
        <f t="shared" si="3"/>
        <v>109.54293750000001</v>
      </c>
      <c r="O122">
        <v>0</v>
      </c>
    </row>
    <row r="123" spans="1:15" x14ac:dyDescent="0.25">
      <c r="A123" s="15" t="s">
        <v>61</v>
      </c>
      <c r="B123" s="15" t="s">
        <v>62</v>
      </c>
      <c r="C123">
        <v>0</v>
      </c>
      <c r="D123">
        <v>394.2</v>
      </c>
      <c r="E123">
        <v>0</v>
      </c>
      <c r="F123">
        <v>690.2</v>
      </c>
      <c r="G123">
        <v>1128.5999999999999</v>
      </c>
      <c r="H123">
        <v>0</v>
      </c>
      <c r="I123">
        <v>0</v>
      </c>
      <c r="J123">
        <v>166.2</v>
      </c>
      <c r="K123">
        <v>7</v>
      </c>
      <c r="L123" s="10">
        <v>27.43</v>
      </c>
      <c r="M123" s="2">
        <f t="shared" si="2"/>
        <v>388.58251999999993</v>
      </c>
      <c r="N123" s="2">
        <f t="shared" si="3"/>
        <v>177.69524999999999</v>
      </c>
      <c r="O123">
        <v>0</v>
      </c>
    </row>
    <row r="124" spans="1:15" x14ac:dyDescent="0.25">
      <c r="A124" s="15"/>
      <c r="B124" s="15"/>
      <c r="C124">
        <v>0</v>
      </c>
      <c r="D124">
        <v>394.2</v>
      </c>
      <c r="E124">
        <v>0</v>
      </c>
      <c r="F124">
        <v>690.2</v>
      </c>
      <c r="G124">
        <v>1128.5999999999999</v>
      </c>
      <c r="H124">
        <v>0</v>
      </c>
      <c r="I124">
        <v>0</v>
      </c>
      <c r="J124">
        <v>166.2</v>
      </c>
      <c r="K124">
        <v>14</v>
      </c>
      <c r="L124" s="10">
        <v>28.44</v>
      </c>
      <c r="M124" s="2">
        <f t="shared" si="2"/>
        <v>388.58251999999993</v>
      </c>
      <c r="N124" s="2">
        <f t="shared" si="3"/>
        <v>177.69524999999999</v>
      </c>
      <c r="O124">
        <v>0</v>
      </c>
    </row>
    <row r="125" spans="1:15" x14ac:dyDescent="0.25">
      <c r="A125" s="15"/>
      <c r="B125" s="15"/>
      <c r="C125">
        <v>0</v>
      </c>
      <c r="D125">
        <v>394.2</v>
      </c>
      <c r="E125">
        <v>0</v>
      </c>
      <c r="F125">
        <v>690.2</v>
      </c>
      <c r="G125">
        <v>1128.5999999999999</v>
      </c>
      <c r="H125">
        <v>0</v>
      </c>
      <c r="I125">
        <v>0</v>
      </c>
      <c r="J125">
        <v>166.2</v>
      </c>
      <c r="K125">
        <v>56</v>
      </c>
      <c r="L125" s="10">
        <v>34.090000000000003</v>
      </c>
      <c r="M125" s="2">
        <f t="shared" si="2"/>
        <v>388.58251999999993</v>
      </c>
      <c r="N125" s="2">
        <f t="shared" si="3"/>
        <v>177.69524999999999</v>
      </c>
      <c r="O125">
        <v>0</v>
      </c>
    </row>
    <row r="126" spans="1:15" x14ac:dyDescent="0.25">
      <c r="A126" s="15"/>
      <c r="B126" s="15"/>
      <c r="C126">
        <v>0</v>
      </c>
      <c r="D126">
        <v>394.2</v>
      </c>
      <c r="E126">
        <v>0</v>
      </c>
      <c r="F126">
        <v>690.2</v>
      </c>
      <c r="G126">
        <v>1128.5999999999999</v>
      </c>
      <c r="H126">
        <v>0</v>
      </c>
      <c r="I126">
        <v>0</v>
      </c>
      <c r="J126">
        <v>166.2</v>
      </c>
      <c r="K126">
        <v>90</v>
      </c>
      <c r="L126" s="10">
        <v>37.4</v>
      </c>
      <c r="M126" s="2">
        <f t="shared" si="2"/>
        <v>388.58251999999993</v>
      </c>
      <c r="N126" s="2">
        <f t="shared" si="3"/>
        <v>177.69524999999999</v>
      </c>
      <c r="O126">
        <v>0</v>
      </c>
    </row>
    <row r="127" spans="1:15" x14ac:dyDescent="0.25">
      <c r="A127" s="15"/>
      <c r="B127" s="15"/>
      <c r="C127">
        <v>5</v>
      </c>
      <c r="D127">
        <v>374.49</v>
      </c>
      <c r="E127">
        <v>19.71</v>
      </c>
      <c r="F127">
        <v>690.2</v>
      </c>
      <c r="G127">
        <v>1128.5999999999999</v>
      </c>
      <c r="H127">
        <v>0</v>
      </c>
      <c r="I127">
        <v>0</v>
      </c>
      <c r="J127">
        <v>166.2</v>
      </c>
      <c r="K127">
        <v>7</v>
      </c>
      <c r="L127" s="10">
        <v>26.14</v>
      </c>
      <c r="M127" s="2">
        <f t="shared" si="2"/>
        <v>374.39131999999995</v>
      </c>
      <c r="N127" s="2">
        <f t="shared" si="3"/>
        <v>170.304</v>
      </c>
      <c r="O127">
        <v>0</v>
      </c>
    </row>
    <row r="128" spans="1:15" x14ac:dyDescent="0.25">
      <c r="A128" s="15"/>
      <c r="B128" s="15"/>
      <c r="C128">
        <v>5</v>
      </c>
      <c r="D128">
        <v>374.49</v>
      </c>
      <c r="E128">
        <v>19.71</v>
      </c>
      <c r="F128">
        <v>690.2</v>
      </c>
      <c r="G128">
        <v>1128.5999999999999</v>
      </c>
      <c r="H128">
        <v>0</v>
      </c>
      <c r="I128">
        <v>0</v>
      </c>
      <c r="J128">
        <v>166.2</v>
      </c>
      <c r="K128">
        <v>14</v>
      </c>
      <c r="L128" s="10">
        <v>30.12</v>
      </c>
      <c r="M128" s="2">
        <f t="shared" si="2"/>
        <v>374.39131999999995</v>
      </c>
      <c r="N128" s="2">
        <f t="shared" si="3"/>
        <v>170.304</v>
      </c>
      <c r="O128">
        <v>0</v>
      </c>
    </row>
    <row r="129" spans="1:15" x14ac:dyDescent="0.25">
      <c r="A129" s="15"/>
      <c r="B129" s="15"/>
      <c r="C129">
        <v>5</v>
      </c>
      <c r="D129">
        <v>374.49</v>
      </c>
      <c r="E129">
        <v>19.71</v>
      </c>
      <c r="F129">
        <v>690.2</v>
      </c>
      <c r="G129">
        <v>1128.5999999999999</v>
      </c>
      <c r="H129">
        <v>0</v>
      </c>
      <c r="I129">
        <v>0</v>
      </c>
      <c r="J129">
        <v>166.2</v>
      </c>
      <c r="K129">
        <v>56</v>
      </c>
      <c r="L129" s="10">
        <v>33.270000000000003</v>
      </c>
      <c r="M129" s="2">
        <f t="shared" si="2"/>
        <v>374.39131999999995</v>
      </c>
      <c r="N129" s="2">
        <f t="shared" si="3"/>
        <v>170.304</v>
      </c>
      <c r="O129">
        <v>0</v>
      </c>
    </row>
    <row r="130" spans="1:15" x14ac:dyDescent="0.25">
      <c r="A130" s="15"/>
      <c r="B130" s="15"/>
      <c r="C130">
        <v>5</v>
      </c>
      <c r="D130">
        <v>374.49</v>
      </c>
      <c r="E130">
        <v>19.71</v>
      </c>
      <c r="F130">
        <v>690.2</v>
      </c>
      <c r="G130">
        <v>1128.5999999999999</v>
      </c>
      <c r="H130">
        <v>0</v>
      </c>
      <c r="I130">
        <v>0</v>
      </c>
      <c r="J130">
        <v>166.2</v>
      </c>
      <c r="K130">
        <v>90</v>
      </c>
      <c r="L130" s="10">
        <v>37.090000000000003</v>
      </c>
      <c r="M130" s="2">
        <f t="shared" ref="M130:M193" si="4">SUM((D130*0.83)+(E130*0.11)+(F130*0.0139)+(G130*0.0459)+(I130*2))</f>
        <v>374.39131999999995</v>
      </c>
      <c r="N130" s="2">
        <f t="shared" si="3"/>
        <v>170.304</v>
      </c>
      <c r="O130">
        <v>0</v>
      </c>
    </row>
    <row r="131" spans="1:15" x14ac:dyDescent="0.25">
      <c r="A131" s="15"/>
      <c r="B131" s="15"/>
      <c r="C131">
        <v>10</v>
      </c>
      <c r="D131">
        <v>354.78</v>
      </c>
      <c r="E131">
        <v>39.42</v>
      </c>
      <c r="F131">
        <v>690.2</v>
      </c>
      <c r="G131">
        <v>1128.5999999999999</v>
      </c>
      <c r="H131">
        <v>0</v>
      </c>
      <c r="I131">
        <v>0</v>
      </c>
      <c r="J131">
        <v>166.2</v>
      </c>
      <c r="K131">
        <v>7</v>
      </c>
      <c r="L131" s="10">
        <v>30.7</v>
      </c>
      <c r="M131" s="2">
        <f t="shared" si="4"/>
        <v>360.20011999999997</v>
      </c>
      <c r="N131" s="2">
        <f t="shared" ref="N131:N194" si="5">SUM((D131*5)+((F131*0.25)+(G131*0.2)+(I131*20)))*0.075</f>
        <v>162.91274999999999</v>
      </c>
      <c r="O131">
        <v>0</v>
      </c>
    </row>
    <row r="132" spans="1:15" x14ac:dyDescent="0.25">
      <c r="A132" s="15"/>
      <c r="B132" s="15"/>
      <c r="C132">
        <v>10</v>
      </c>
      <c r="D132">
        <v>354.78</v>
      </c>
      <c r="E132">
        <v>39.42</v>
      </c>
      <c r="F132">
        <v>690.2</v>
      </c>
      <c r="G132">
        <v>1128.5999999999999</v>
      </c>
      <c r="H132">
        <v>0</v>
      </c>
      <c r="I132">
        <v>0</v>
      </c>
      <c r="J132">
        <v>166.2</v>
      </c>
      <c r="K132">
        <v>14</v>
      </c>
      <c r="L132" s="10">
        <v>28.46</v>
      </c>
      <c r="M132" s="2">
        <f t="shared" si="4"/>
        <v>360.20011999999997</v>
      </c>
      <c r="N132" s="2">
        <f t="shared" si="5"/>
        <v>162.91274999999999</v>
      </c>
      <c r="O132">
        <v>0</v>
      </c>
    </row>
    <row r="133" spans="1:15" x14ac:dyDescent="0.25">
      <c r="A133" s="15"/>
      <c r="B133" s="15"/>
      <c r="C133">
        <v>10</v>
      </c>
      <c r="D133">
        <v>354.78</v>
      </c>
      <c r="E133">
        <v>39.42</v>
      </c>
      <c r="F133">
        <v>690.2</v>
      </c>
      <c r="G133">
        <v>1128.5999999999999</v>
      </c>
      <c r="H133">
        <v>0</v>
      </c>
      <c r="I133">
        <v>0</v>
      </c>
      <c r="J133">
        <v>166.2</v>
      </c>
      <c r="K133">
        <v>56</v>
      </c>
      <c r="L133" s="10">
        <v>37.96</v>
      </c>
      <c r="M133" s="2">
        <f t="shared" si="4"/>
        <v>360.20011999999997</v>
      </c>
      <c r="N133" s="2">
        <f t="shared" si="5"/>
        <v>162.91274999999999</v>
      </c>
      <c r="O133">
        <v>0</v>
      </c>
    </row>
    <row r="134" spans="1:15" x14ac:dyDescent="0.25">
      <c r="A134" s="15"/>
      <c r="B134" s="15"/>
      <c r="C134">
        <v>10</v>
      </c>
      <c r="D134">
        <v>354.78</v>
      </c>
      <c r="E134">
        <v>39.42</v>
      </c>
      <c r="F134">
        <v>690.2</v>
      </c>
      <c r="G134">
        <v>1128.5999999999999</v>
      </c>
      <c r="H134">
        <v>0</v>
      </c>
      <c r="I134">
        <v>0</v>
      </c>
      <c r="J134">
        <v>166.2</v>
      </c>
      <c r="K134">
        <v>90</v>
      </c>
      <c r="L134" s="10">
        <v>36.92</v>
      </c>
      <c r="M134" s="2">
        <f t="shared" si="4"/>
        <v>360.20011999999997</v>
      </c>
      <c r="N134" s="2">
        <f t="shared" si="5"/>
        <v>162.91274999999999</v>
      </c>
      <c r="O134">
        <v>0</v>
      </c>
    </row>
    <row r="135" spans="1:15" x14ac:dyDescent="0.25">
      <c r="A135" s="15"/>
      <c r="B135" s="15"/>
      <c r="C135">
        <v>15</v>
      </c>
      <c r="D135">
        <v>335.07</v>
      </c>
      <c r="E135">
        <v>59.13</v>
      </c>
      <c r="F135">
        <v>690.2</v>
      </c>
      <c r="G135">
        <v>1128.5999999999999</v>
      </c>
      <c r="H135">
        <v>0</v>
      </c>
      <c r="I135">
        <v>0</v>
      </c>
      <c r="J135">
        <v>166.2</v>
      </c>
      <c r="K135">
        <v>7</v>
      </c>
      <c r="L135" s="10">
        <v>24.5</v>
      </c>
      <c r="M135" s="2">
        <f t="shared" si="4"/>
        <v>346.00891999999999</v>
      </c>
      <c r="N135" s="2">
        <f t="shared" si="5"/>
        <v>155.52149999999997</v>
      </c>
      <c r="O135">
        <v>0</v>
      </c>
    </row>
    <row r="136" spans="1:15" x14ac:dyDescent="0.25">
      <c r="A136" s="15"/>
      <c r="B136" s="15"/>
      <c r="C136">
        <v>15</v>
      </c>
      <c r="D136">
        <v>335.07</v>
      </c>
      <c r="E136">
        <v>59.13</v>
      </c>
      <c r="F136">
        <v>690.2</v>
      </c>
      <c r="G136">
        <v>1128.5999999999999</v>
      </c>
      <c r="H136">
        <v>0</v>
      </c>
      <c r="I136">
        <v>0</v>
      </c>
      <c r="J136">
        <v>166.2</v>
      </c>
      <c r="K136">
        <v>14</v>
      </c>
      <c r="L136" s="10">
        <v>25.61</v>
      </c>
      <c r="M136" s="2">
        <f t="shared" si="4"/>
        <v>346.00891999999999</v>
      </c>
      <c r="N136" s="2">
        <f t="shared" si="5"/>
        <v>155.52149999999997</v>
      </c>
      <c r="O136">
        <v>0</v>
      </c>
    </row>
    <row r="137" spans="1:15" x14ac:dyDescent="0.25">
      <c r="A137" s="15"/>
      <c r="B137" s="15"/>
      <c r="C137">
        <v>15</v>
      </c>
      <c r="D137">
        <v>335.07</v>
      </c>
      <c r="E137">
        <v>59.13</v>
      </c>
      <c r="F137">
        <v>690.2</v>
      </c>
      <c r="G137">
        <v>1128.5999999999999</v>
      </c>
      <c r="H137">
        <v>0</v>
      </c>
      <c r="I137">
        <v>0</v>
      </c>
      <c r="J137">
        <v>166.2</v>
      </c>
      <c r="K137">
        <v>56</v>
      </c>
      <c r="L137" s="10">
        <v>29.51</v>
      </c>
      <c r="M137" s="2">
        <f t="shared" si="4"/>
        <v>346.00891999999999</v>
      </c>
      <c r="N137" s="2">
        <f t="shared" si="5"/>
        <v>155.52149999999997</v>
      </c>
      <c r="O137">
        <v>0</v>
      </c>
    </row>
    <row r="138" spans="1:15" x14ac:dyDescent="0.25">
      <c r="A138" s="15"/>
      <c r="B138" s="15"/>
      <c r="C138">
        <v>15</v>
      </c>
      <c r="D138">
        <v>335.07</v>
      </c>
      <c r="E138">
        <v>59.13</v>
      </c>
      <c r="F138">
        <v>690.2</v>
      </c>
      <c r="G138">
        <v>1128.5999999999999</v>
      </c>
      <c r="H138">
        <v>0</v>
      </c>
      <c r="I138">
        <v>0</v>
      </c>
      <c r="J138">
        <v>166.2</v>
      </c>
      <c r="K138">
        <v>90</v>
      </c>
      <c r="L138" s="10">
        <v>30.53</v>
      </c>
      <c r="M138" s="2">
        <f t="shared" si="4"/>
        <v>346.00891999999999</v>
      </c>
      <c r="N138" s="2">
        <f t="shared" si="5"/>
        <v>155.52149999999997</v>
      </c>
      <c r="O138">
        <v>0</v>
      </c>
    </row>
    <row r="139" spans="1:15" x14ac:dyDescent="0.25">
      <c r="A139" s="15"/>
      <c r="B139" s="15"/>
      <c r="C139">
        <v>20</v>
      </c>
      <c r="D139">
        <v>315.36</v>
      </c>
      <c r="E139">
        <v>78.84</v>
      </c>
      <c r="F139">
        <v>690.2</v>
      </c>
      <c r="G139">
        <v>1128.5999999999999</v>
      </c>
      <c r="H139">
        <v>0</v>
      </c>
      <c r="I139">
        <v>0</v>
      </c>
      <c r="J139">
        <v>166.2</v>
      </c>
      <c r="K139">
        <v>7</v>
      </c>
      <c r="L139" s="10">
        <v>23.9</v>
      </c>
      <c r="M139" s="2">
        <f t="shared" si="4"/>
        <v>331.81772000000001</v>
      </c>
      <c r="N139" s="2">
        <f t="shared" si="5"/>
        <v>148.13025000000002</v>
      </c>
      <c r="O139">
        <v>0</v>
      </c>
    </row>
    <row r="140" spans="1:15" x14ac:dyDescent="0.25">
      <c r="A140" s="15"/>
      <c r="B140" s="15"/>
      <c r="C140">
        <v>20</v>
      </c>
      <c r="D140">
        <v>315.36</v>
      </c>
      <c r="E140">
        <v>78.84</v>
      </c>
      <c r="F140">
        <v>690.2</v>
      </c>
      <c r="G140">
        <v>1128.5999999999999</v>
      </c>
      <c r="H140">
        <v>0</v>
      </c>
      <c r="I140">
        <v>0</v>
      </c>
      <c r="J140">
        <v>166.2</v>
      </c>
      <c r="K140">
        <v>14</v>
      </c>
      <c r="L140" s="10">
        <v>25.32</v>
      </c>
      <c r="M140" s="2">
        <f t="shared" si="4"/>
        <v>331.81772000000001</v>
      </c>
      <c r="N140" s="2">
        <f t="shared" si="5"/>
        <v>148.13025000000002</v>
      </c>
      <c r="O140">
        <v>0</v>
      </c>
    </row>
    <row r="141" spans="1:15" x14ac:dyDescent="0.25">
      <c r="A141" s="15"/>
      <c r="B141" s="15"/>
      <c r="C141">
        <v>20</v>
      </c>
      <c r="D141">
        <v>315.36</v>
      </c>
      <c r="E141">
        <v>78.84</v>
      </c>
      <c r="F141">
        <v>690.2</v>
      </c>
      <c r="G141">
        <v>1128.5999999999999</v>
      </c>
      <c r="H141">
        <v>0</v>
      </c>
      <c r="I141">
        <v>0</v>
      </c>
      <c r="J141">
        <v>166.2</v>
      </c>
      <c r="K141">
        <v>56</v>
      </c>
      <c r="L141" s="10">
        <v>33.869999999999997</v>
      </c>
      <c r="M141" s="2">
        <f t="shared" si="4"/>
        <v>331.81772000000001</v>
      </c>
      <c r="N141" s="2">
        <f t="shared" si="5"/>
        <v>148.13025000000002</v>
      </c>
      <c r="O141">
        <v>0</v>
      </c>
    </row>
    <row r="142" spans="1:15" x14ac:dyDescent="0.25">
      <c r="A142" s="15"/>
      <c r="B142" s="15"/>
      <c r="C142">
        <v>20</v>
      </c>
      <c r="D142">
        <v>315.36</v>
      </c>
      <c r="E142">
        <v>78.84</v>
      </c>
      <c r="F142">
        <v>690.2</v>
      </c>
      <c r="G142">
        <v>1128.5999999999999</v>
      </c>
      <c r="H142">
        <v>0</v>
      </c>
      <c r="I142">
        <v>0</v>
      </c>
      <c r="J142">
        <v>166.2</v>
      </c>
      <c r="K142">
        <v>90</v>
      </c>
      <c r="L142" s="10">
        <v>33.25</v>
      </c>
      <c r="M142" s="2">
        <f t="shared" si="4"/>
        <v>331.81772000000001</v>
      </c>
      <c r="N142" s="2">
        <f t="shared" si="5"/>
        <v>148.13025000000002</v>
      </c>
      <c r="O142">
        <v>0</v>
      </c>
    </row>
    <row r="143" spans="1:15" x14ac:dyDescent="0.25">
      <c r="A143" s="15"/>
      <c r="B143" s="15"/>
      <c r="C143">
        <v>25</v>
      </c>
      <c r="D143">
        <v>295.64999999999998</v>
      </c>
      <c r="E143">
        <v>98.55</v>
      </c>
      <c r="F143">
        <v>690.2</v>
      </c>
      <c r="G143">
        <v>1128.5999999999999</v>
      </c>
      <c r="H143">
        <v>0</v>
      </c>
      <c r="I143">
        <v>0</v>
      </c>
      <c r="J143">
        <v>166.2</v>
      </c>
      <c r="K143">
        <v>7</v>
      </c>
      <c r="L143" s="10">
        <v>21.12</v>
      </c>
      <c r="M143" s="2">
        <f t="shared" si="4"/>
        <v>317.62651999999991</v>
      </c>
      <c r="N143" s="2">
        <f t="shared" si="5"/>
        <v>140.739</v>
      </c>
      <c r="O143">
        <v>0</v>
      </c>
    </row>
    <row r="144" spans="1:15" x14ac:dyDescent="0.25">
      <c r="A144" s="15"/>
      <c r="B144" s="15"/>
      <c r="C144">
        <v>25</v>
      </c>
      <c r="D144">
        <v>295.64999999999998</v>
      </c>
      <c r="E144">
        <v>98.55</v>
      </c>
      <c r="F144">
        <v>690.2</v>
      </c>
      <c r="G144">
        <v>1128.5999999999999</v>
      </c>
      <c r="H144">
        <v>0</v>
      </c>
      <c r="I144">
        <v>0</v>
      </c>
      <c r="J144">
        <v>166.2</v>
      </c>
      <c r="K144">
        <v>14</v>
      </c>
      <c r="L144" s="10">
        <v>26.33</v>
      </c>
      <c r="M144" s="2">
        <f t="shared" si="4"/>
        <v>317.62651999999991</v>
      </c>
      <c r="N144" s="2">
        <f t="shared" si="5"/>
        <v>140.739</v>
      </c>
      <c r="O144">
        <v>0</v>
      </c>
    </row>
    <row r="145" spans="1:15" x14ac:dyDescent="0.25">
      <c r="A145" s="15"/>
      <c r="B145" s="15"/>
      <c r="C145">
        <v>25</v>
      </c>
      <c r="D145">
        <v>295.64999999999998</v>
      </c>
      <c r="E145">
        <v>98.55</v>
      </c>
      <c r="F145">
        <v>690.2</v>
      </c>
      <c r="G145">
        <v>1128.5999999999999</v>
      </c>
      <c r="H145">
        <v>0</v>
      </c>
      <c r="I145">
        <v>0</v>
      </c>
      <c r="J145">
        <v>166.2</v>
      </c>
      <c r="K145">
        <v>56</v>
      </c>
      <c r="L145" s="10">
        <v>32.020000000000003</v>
      </c>
      <c r="M145" s="2">
        <f t="shared" si="4"/>
        <v>317.62651999999991</v>
      </c>
      <c r="N145" s="2">
        <f t="shared" si="5"/>
        <v>140.739</v>
      </c>
      <c r="O145">
        <v>0</v>
      </c>
    </row>
    <row r="146" spans="1:15" x14ac:dyDescent="0.25">
      <c r="A146" s="15"/>
      <c r="B146" s="15"/>
      <c r="C146">
        <v>25</v>
      </c>
      <c r="D146">
        <v>295.64999999999998</v>
      </c>
      <c r="E146">
        <v>98.55</v>
      </c>
      <c r="F146">
        <v>690.2</v>
      </c>
      <c r="G146">
        <v>1128.5999999999999</v>
      </c>
      <c r="H146">
        <v>0</v>
      </c>
      <c r="I146">
        <v>0</v>
      </c>
      <c r="J146">
        <v>166.2</v>
      </c>
      <c r="K146">
        <v>90</v>
      </c>
      <c r="L146" s="10">
        <v>34.409999999999997</v>
      </c>
      <c r="M146" s="2">
        <f t="shared" si="4"/>
        <v>317.62651999999991</v>
      </c>
      <c r="N146" s="2">
        <f t="shared" si="5"/>
        <v>140.739</v>
      </c>
      <c r="O146">
        <v>0</v>
      </c>
    </row>
    <row r="147" spans="1:15" x14ac:dyDescent="0.25">
      <c r="A147" s="15"/>
      <c r="B147" s="15"/>
      <c r="C147">
        <v>30</v>
      </c>
      <c r="D147">
        <v>275.94</v>
      </c>
      <c r="E147">
        <v>118.26</v>
      </c>
      <c r="F147">
        <v>690.2</v>
      </c>
      <c r="G147">
        <v>1128.5999999999999</v>
      </c>
      <c r="H147">
        <v>0</v>
      </c>
      <c r="I147">
        <v>0</v>
      </c>
      <c r="J147">
        <v>166.2</v>
      </c>
      <c r="K147">
        <v>7</v>
      </c>
      <c r="L147" s="10">
        <v>23.29</v>
      </c>
      <c r="M147" s="2">
        <f t="shared" si="4"/>
        <v>303.43531999999999</v>
      </c>
      <c r="N147" s="2">
        <f t="shared" si="5"/>
        <v>133.34774999999999</v>
      </c>
      <c r="O147">
        <v>0</v>
      </c>
    </row>
    <row r="148" spans="1:15" x14ac:dyDescent="0.25">
      <c r="A148" s="15"/>
      <c r="B148" s="15"/>
      <c r="C148">
        <v>30</v>
      </c>
      <c r="D148">
        <v>275.94</v>
      </c>
      <c r="E148">
        <v>118.26</v>
      </c>
      <c r="F148">
        <v>690.2</v>
      </c>
      <c r="G148">
        <v>1128.5999999999999</v>
      </c>
      <c r="H148">
        <v>0</v>
      </c>
      <c r="I148">
        <v>0</v>
      </c>
      <c r="J148">
        <v>166.2</v>
      </c>
      <c r="K148">
        <v>14</v>
      </c>
      <c r="L148" s="10">
        <v>23.62</v>
      </c>
      <c r="M148" s="2">
        <f t="shared" si="4"/>
        <v>303.43531999999999</v>
      </c>
      <c r="N148" s="2">
        <f t="shared" si="5"/>
        <v>133.34774999999999</v>
      </c>
      <c r="O148">
        <v>0</v>
      </c>
    </row>
    <row r="149" spans="1:15" x14ac:dyDescent="0.25">
      <c r="A149" s="15"/>
      <c r="B149" s="15"/>
      <c r="C149">
        <v>30</v>
      </c>
      <c r="D149">
        <v>275.94</v>
      </c>
      <c r="E149">
        <v>118.26</v>
      </c>
      <c r="F149">
        <v>690.2</v>
      </c>
      <c r="G149">
        <v>1128.5999999999999</v>
      </c>
      <c r="H149">
        <v>0</v>
      </c>
      <c r="I149">
        <v>0</v>
      </c>
      <c r="J149">
        <v>166.2</v>
      </c>
      <c r="K149">
        <v>56</v>
      </c>
      <c r="L149" s="10">
        <v>32.24</v>
      </c>
      <c r="M149" s="2">
        <f t="shared" si="4"/>
        <v>303.43531999999999</v>
      </c>
      <c r="N149" s="2">
        <f t="shared" si="5"/>
        <v>133.34774999999999</v>
      </c>
      <c r="O149">
        <v>0</v>
      </c>
    </row>
    <row r="150" spans="1:15" x14ac:dyDescent="0.25">
      <c r="A150" s="15"/>
      <c r="B150" s="15"/>
      <c r="C150">
        <v>30</v>
      </c>
      <c r="D150">
        <v>275.94</v>
      </c>
      <c r="E150">
        <v>118.26</v>
      </c>
      <c r="F150">
        <v>690.2</v>
      </c>
      <c r="G150">
        <v>1128.5999999999999</v>
      </c>
      <c r="H150">
        <v>0</v>
      </c>
      <c r="I150">
        <v>0</v>
      </c>
      <c r="J150">
        <v>166.2</v>
      </c>
      <c r="K150">
        <v>90</v>
      </c>
      <c r="L150" s="10">
        <v>31.82</v>
      </c>
      <c r="M150" s="2">
        <f t="shared" si="4"/>
        <v>303.43531999999999</v>
      </c>
      <c r="N150" s="2">
        <f t="shared" si="5"/>
        <v>133.34774999999999</v>
      </c>
      <c r="O150">
        <v>0</v>
      </c>
    </row>
    <row r="151" spans="1:15" x14ac:dyDescent="0.25">
      <c r="A151" s="15"/>
      <c r="B151" s="15"/>
      <c r="C151">
        <v>35</v>
      </c>
      <c r="D151">
        <v>256.23</v>
      </c>
      <c r="E151">
        <v>137.97</v>
      </c>
      <c r="F151">
        <v>690.2</v>
      </c>
      <c r="G151">
        <v>1128.5999999999999</v>
      </c>
      <c r="H151">
        <v>0</v>
      </c>
      <c r="I151">
        <v>0</v>
      </c>
      <c r="J151">
        <v>166.2</v>
      </c>
      <c r="K151">
        <v>7</v>
      </c>
      <c r="L151" s="10">
        <v>19.079999999999998</v>
      </c>
      <c r="M151" s="2">
        <f t="shared" si="4"/>
        <v>289.24412000000007</v>
      </c>
      <c r="N151" s="2">
        <f t="shared" si="5"/>
        <v>125.95650000000001</v>
      </c>
      <c r="O151">
        <v>0</v>
      </c>
    </row>
    <row r="152" spans="1:15" x14ac:dyDescent="0.25">
      <c r="A152" s="15"/>
      <c r="B152" s="15"/>
      <c r="C152">
        <v>35</v>
      </c>
      <c r="D152">
        <v>256.23</v>
      </c>
      <c r="E152">
        <v>137.97</v>
      </c>
      <c r="F152">
        <v>690.2</v>
      </c>
      <c r="G152">
        <v>1128.5999999999999</v>
      </c>
      <c r="H152">
        <v>0</v>
      </c>
      <c r="I152">
        <v>0</v>
      </c>
      <c r="J152">
        <v>166.2</v>
      </c>
      <c r="K152">
        <v>14</v>
      </c>
      <c r="L152" s="10">
        <v>23.42</v>
      </c>
      <c r="M152" s="2">
        <f t="shared" si="4"/>
        <v>289.24412000000007</v>
      </c>
      <c r="N152" s="2">
        <f t="shared" si="5"/>
        <v>125.95650000000001</v>
      </c>
      <c r="O152">
        <v>0</v>
      </c>
    </row>
    <row r="153" spans="1:15" x14ac:dyDescent="0.25">
      <c r="A153" s="15"/>
      <c r="B153" s="15"/>
      <c r="C153">
        <v>35</v>
      </c>
      <c r="D153">
        <v>256.23</v>
      </c>
      <c r="E153">
        <v>137.97</v>
      </c>
      <c r="F153">
        <v>690.2</v>
      </c>
      <c r="G153">
        <v>1128.5999999999999</v>
      </c>
      <c r="H153">
        <v>0</v>
      </c>
      <c r="I153">
        <v>0</v>
      </c>
      <c r="J153">
        <v>166.2</v>
      </c>
      <c r="K153">
        <v>56</v>
      </c>
      <c r="L153" s="10">
        <v>27.94</v>
      </c>
      <c r="M153" s="2">
        <f t="shared" si="4"/>
        <v>289.24412000000007</v>
      </c>
      <c r="N153" s="2">
        <f t="shared" si="5"/>
        <v>125.95650000000001</v>
      </c>
      <c r="O153">
        <v>0</v>
      </c>
    </row>
    <row r="154" spans="1:15" x14ac:dyDescent="0.25">
      <c r="A154" s="15"/>
      <c r="B154" s="15"/>
      <c r="C154">
        <v>35</v>
      </c>
      <c r="D154">
        <v>256.23</v>
      </c>
      <c r="E154">
        <v>137.97</v>
      </c>
      <c r="F154">
        <v>690.2</v>
      </c>
      <c r="G154">
        <v>1128.5999999999999</v>
      </c>
      <c r="H154">
        <v>0</v>
      </c>
      <c r="I154">
        <v>0</v>
      </c>
      <c r="J154">
        <v>166.2</v>
      </c>
      <c r="K154">
        <v>90</v>
      </c>
      <c r="L154" s="10">
        <v>27.19</v>
      </c>
      <c r="M154" s="2">
        <f t="shared" si="4"/>
        <v>289.24412000000007</v>
      </c>
      <c r="N154" s="2">
        <f t="shared" si="5"/>
        <v>125.95650000000001</v>
      </c>
      <c r="O154">
        <v>0</v>
      </c>
    </row>
    <row r="155" spans="1:15" x14ac:dyDescent="0.25">
      <c r="A155" s="15"/>
      <c r="B155" s="15"/>
      <c r="C155">
        <v>40</v>
      </c>
      <c r="D155">
        <v>236.52</v>
      </c>
      <c r="E155">
        <v>157.68</v>
      </c>
      <c r="F155">
        <v>690.2</v>
      </c>
      <c r="G155">
        <v>1128.5999999999999</v>
      </c>
      <c r="H155">
        <v>0</v>
      </c>
      <c r="I155">
        <v>0</v>
      </c>
      <c r="J155">
        <v>166.2</v>
      </c>
      <c r="K155">
        <v>7</v>
      </c>
      <c r="L155" s="10">
        <v>21.91</v>
      </c>
      <c r="M155" s="2">
        <f t="shared" si="4"/>
        <v>275.05291999999997</v>
      </c>
      <c r="N155" s="2">
        <f t="shared" si="5"/>
        <v>118.56525000000001</v>
      </c>
      <c r="O155">
        <v>0</v>
      </c>
    </row>
    <row r="156" spans="1:15" x14ac:dyDescent="0.25">
      <c r="A156" s="15"/>
      <c r="B156" s="15"/>
      <c r="C156">
        <v>40</v>
      </c>
      <c r="D156">
        <v>236.52</v>
      </c>
      <c r="E156">
        <v>157.68</v>
      </c>
      <c r="F156">
        <v>690.2</v>
      </c>
      <c r="G156">
        <v>1128.5999999999999</v>
      </c>
      <c r="H156">
        <v>0</v>
      </c>
      <c r="I156">
        <v>0</v>
      </c>
      <c r="J156">
        <v>166.2</v>
      </c>
      <c r="K156">
        <v>14</v>
      </c>
      <c r="L156" s="10">
        <v>20.73</v>
      </c>
      <c r="M156" s="2">
        <f t="shared" si="4"/>
        <v>275.05291999999997</v>
      </c>
      <c r="N156" s="2">
        <f t="shared" si="5"/>
        <v>118.56525000000001</v>
      </c>
      <c r="O156">
        <v>0</v>
      </c>
    </row>
    <row r="157" spans="1:15" x14ac:dyDescent="0.25">
      <c r="A157" s="15"/>
      <c r="B157" s="15"/>
      <c r="C157">
        <v>40</v>
      </c>
      <c r="D157">
        <v>236.52</v>
      </c>
      <c r="E157">
        <v>157.68</v>
      </c>
      <c r="F157">
        <v>690.2</v>
      </c>
      <c r="G157">
        <v>1128.5999999999999</v>
      </c>
      <c r="H157">
        <v>0</v>
      </c>
      <c r="I157">
        <v>0</v>
      </c>
      <c r="J157">
        <v>166.2</v>
      </c>
      <c r="K157">
        <v>56</v>
      </c>
      <c r="L157" s="10">
        <v>26.15</v>
      </c>
      <c r="M157" s="2">
        <f t="shared" si="4"/>
        <v>275.05291999999997</v>
      </c>
      <c r="N157" s="2">
        <f t="shared" si="5"/>
        <v>118.56525000000001</v>
      </c>
      <c r="O157">
        <v>0</v>
      </c>
    </row>
    <row r="158" spans="1:15" x14ac:dyDescent="0.25">
      <c r="A158" s="15"/>
      <c r="B158" s="15"/>
      <c r="C158">
        <v>40</v>
      </c>
      <c r="D158">
        <v>236.52</v>
      </c>
      <c r="E158">
        <v>157.68</v>
      </c>
      <c r="F158">
        <v>690.2</v>
      </c>
      <c r="G158">
        <v>1128.5999999999999</v>
      </c>
      <c r="H158">
        <v>0</v>
      </c>
      <c r="I158">
        <v>0</v>
      </c>
      <c r="J158">
        <v>166.2</v>
      </c>
      <c r="K158">
        <v>90</v>
      </c>
      <c r="L158" s="10">
        <v>30.17</v>
      </c>
      <c r="M158" s="2">
        <f t="shared" si="4"/>
        <v>275.05291999999997</v>
      </c>
      <c r="N158" s="2">
        <f t="shared" si="5"/>
        <v>118.56525000000001</v>
      </c>
      <c r="O158">
        <v>0</v>
      </c>
    </row>
    <row r="159" spans="1:15" x14ac:dyDescent="0.25">
      <c r="A159" s="15"/>
      <c r="B159" s="15"/>
      <c r="C159">
        <v>45</v>
      </c>
      <c r="D159">
        <v>216.81</v>
      </c>
      <c r="E159">
        <v>177.39</v>
      </c>
      <c r="F159">
        <v>690.2</v>
      </c>
      <c r="G159">
        <v>1128.5999999999999</v>
      </c>
      <c r="H159">
        <v>0</v>
      </c>
      <c r="I159">
        <v>0</v>
      </c>
      <c r="J159">
        <v>166.2</v>
      </c>
      <c r="K159">
        <v>7</v>
      </c>
      <c r="L159" s="10">
        <v>17.579999999999998</v>
      </c>
      <c r="M159" s="2">
        <f t="shared" si="4"/>
        <v>260.86171999999999</v>
      </c>
      <c r="N159" s="2">
        <f t="shared" si="5"/>
        <v>111.17399999999999</v>
      </c>
      <c r="O159">
        <v>0</v>
      </c>
    </row>
    <row r="160" spans="1:15" x14ac:dyDescent="0.25">
      <c r="A160" s="15"/>
      <c r="B160" s="15"/>
      <c r="C160">
        <v>45</v>
      </c>
      <c r="D160">
        <v>216.81</v>
      </c>
      <c r="E160">
        <v>177.39</v>
      </c>
      <c r="F160">
        <v>690.2</v>
      </c>
      <c r="G160">
        <v>1128.5999999999999</v>
      </c>
      <c r="H160">
        <v>0</v>
      </c>
      <c r="I160">
        <v>0</v>
      </c>
      <c r="J160">
        <v>166.2</v>
      </c>
      <c r="K160">
        <v>14</v>
      </c>
      <c r="L160" s="10">
        <v>20.22</v>
      </c>
      <c r="M160" s="2">
        <f t="shared" si="4"/>
        <v>260.86171999999999</v>
      </c>
      <c r="N160" s="2">
        <f t="shared" si="5"/>
        <v>111.17399999999999</v>
      </c>
      <c r="O160">
        <v>0</v>
      </c>
    </row>
    <row r="161" spans="1:15" x14ac:dyDescent="0.25">
      <c r="A161" s="15"/>
      <c r="B161" s="15"/>
      <c r="C161">
        <v>45</v>
      </c>
      <c r="D161">
        <v>216.81</v>
      </c>
      <c r="E161">
        <v>177.39</v>
      </c>
      <c r="F161">
        <v>690.2</v>
      </c>
      <c r="G161">
        <v>1128.5999999999999</v>
      </c>
      <c r="H161">
        <v>0</v>
      </c>
      <c r="I161">
        <v>0</v>
      </c>
      <c r="J161">
        <v>166.2</v>
      </c>
      <c r="K161">
        <v>56</v>
      </c>
      <c r="L161" s="10">
        <v>28.49</v>
      </c>
      <c r="M161" s="2">
        <f t="shared" si="4"/>
        <v>260.86171999999999</v>
      </c>
      <c r="N161" s="2">
        <f t="shared" si="5"/>
        <v>111.17399999999999</v>
      </c>
      <c r="O161">
        <v>0</v>
      </c>
    </row>
    <row r="162" spans="1:15" x14ac:dyDescent="0.25">
      <c r="A162" s="15"/>
      <c r="B162" s="15"/>
      <c r="C162">
        <v>45</v>
      </c>
      <c r="D162">
        <v>216.81</v>
      </c>
      <c r="E162">
        <v>177.39</v>
      </c>
      <c r="F162">
        <v>690.2</v>
      </c>
      <c r="G162">
        <v>1128.5999999999999</v>
      </c>
      <c r="H162">
        <v>0</v>
      </c>
      <c r="I162">
        <v>0</v>
      </c>
      <c r="J162">
        <v>166.2</v>
      </c>
      <c r="K162">
        <v>90</v>
      </c>
      <c r="L162" s="10">
        <v>27.51</v>
      </c>
      <c r="M162" s="2">
        <f t="shared" si="4"/>
        <v>260.86171999999999</v>
      </c>
      <c r="N162" s="2">
        <f t="shared" si="5"/>
        <v>111.17399999999999</v>
      </c>
      <c r="O162">
        <v>0</v>
      </c>
    </row>
    <row r="163" spans="1:15" x14ac:dyDescent="0.25">
      <c r="A163" s="15"/>
      <c r="B163" s="15"/>
      <c r="C163">
        <v>50</v>
      </c>
      <c r="D163">
        <v>197.1</v>
      </c>
      <c r="E163">
        <v>197.1</v>
      </c>
      <c r="F163">
        <v>690.2</v>
      </c>
      <c r="G163">
        <v>1128.5999999999999</v>
      </c>
      <c r="H163">
        <v>0</v>
      </c>
      <c r="I163">
        <v>0</v>
      </c>
      <c r="J163">
        <v>166.2</v>
      </c>
      <c r="K163">
        <v>7</v>
      </c>
      <c r="L163" s="10">
        <v>19.489999999999998</v>
      </c>
      <c r="M163" s="2">
        <f t="shared" si="4"/>
        <v>246.67052000000001</v>
      </c>
      <c r="N163" s="2">
        <f t="shared" si="5"/>
        <v>103.78274999999999</v>
      </c>
      <c r="O163">
        <v>0</v>
      </c>
    </row>
    <row r="164" spans="1:15" x14ac:dyDescent="0.25">
      <c r="A164" s="15"/>
      <c r="B164" s="15"/>
      <c r="C164">
        <v>50</v>
      </c>
      <c r="D164">
        <v>197.1</v>
      </c>
      <c r="E164">
        <v>197.1</v>
      </c>
      <c r="F164">
        <v>690.2</v>
      </c>
      <c r="G164">
        <v>1128.5999999999999</v>
      </c>
      <c r="H164">
        <v>0</v>
      </c>
      <c r="I164">
        <v>0</v>
      </c>
      <c r="J164">
        <v>166.2</v>
      </c>
      <c r="K164">
        <v>14</v>
      </c>
      <c r="L164" s="10">
        <v>20.22</v>
      </c>
      <c r="M164" s="2">
        <f t="shared" si="4"/>
        <v>246.67052000000001</v>
      </c>
      <c r="N164" s="2">
        <f t="shared" si="5"/>
        <v>103.78274999999999</v>
      </c>
      <c r="O164">
        <v>0</v>
      </c>
    </row>
    <row r="165" spans="1:15" x14ac:dyDescent="0.25">
      <c r="A165" s="15"/>
      <c r="B165" s="15"/>
      <c r="C165">
        <v>50</v>
      </c>
      <c r="D165">
        <v>197.1</v>
      </c>
      <c r="E165">
        <v>197.1</v>
      </c>
      <c r="F165">
        <v>690.2</v>
      </c>
      <c r="G165">
        <v>1128.5999999999999</v>
      </c>
      <c r="H165">
        <v>0</v>
      </c>
      <c r="I165">
        <v>0</v>
      </c>
      <c r="J165">
        <v>166.2</v>
      </c>
      <c r="K165">
        <v>56</v>
      </c>
      <c r="L165" s="10">
        <v>27.36</v>
      </c>
      <c r="M165" s="2">
        <f t="shared" si="4"/>
        <v>246.67052000000001</v>
      </c>
      <c r="N165" s="2">
        <f t="shared" si="5"/>
        <v>103.78274999999999</v>
      </c>
      <c r="O165">
        <v>0</v>
      </c>
    </row>
    <row r="166" spans="1:15" x14ac:dyDescent="0.25">
      <c r="A166" s="15"/>
      <c r="B166" s="15"/>
      <c r="C166">
        <v>50</v>
      </c>
      <c r="D166">
        <v>197.1</v>
      </c>
      <c r="E166">
        <v>197.1</v>
      </c>
      <c r="F166">
        <v>690.2</v>
      </c>
      <c r="G166">
        <v>1128.5999999999999</v>
      </c>
      <c r="H166">
        <v>0</v>
      </c>
      <c r="I166">
        <v>0</v>
      </c>
      <c r="J166">
        <v>166.2</v>
      </c>
      <c r="K166">
        <v>90</v>
      </c>
      <c r="L166" s="10">
        <v>26.69</v>
      </c>
      <c r="M166" s="2">
        <f t="shared" si="4"/>
        <v>246.67052000000001</v>
      </c>
      <c r="N166" s="2">
        <f t="shared" si="5"/>
        <v>103.78274999999999</v>
      </c>
      <c r="O166">
        <v>0</v>
      </c>
    </row>
    <row r="167" spans="1:15" x14ac:dyDescent="0.25">
      <c r="A167" s="15" t="s">
        <v>63</v>
      </c>
      <c r="B167" s="15" t="s">
        <v>64</v>
      </c>
      <c r="C167">
        <v>0</v>
      </c>
      <c r="D167">
        <v>430.95</v>
      </c>
      <c r="E167">
        <v>0</v>
      </c>
      <c r="F167">
        <v>586.32000000000005</v>
      </c>
      <c r="G167">
        <v>1200</v>
      </c>
      <c r="H167">
        <v>0</v>
      </c>
      <c r="I167">
        <v>1.7</v>
      </c>
      <c r="J167">
        <v>188.14</v>
      </c>
      <c r="K167">
        <v>7</v>
      </c>
      <c r="L167" s="10">
        <v>27.84</v>
      </c>
      <c r="M167" s="2">
        <f t="shared" si="4"/>
        <v>424.31834799999996</v>
      </c>
      <c r="N167" s="2">
        <f t="shared" si="5"/>
        <v>193.14974999999998</v>
      </c>
      <c r="O167">
        <v>0</v>
      </c>
    </row>
    <row r="168" spans="1:15" x14ac:dyDescent="0.25">
      <c r="A168" s="15"/>
      <c r="B168" s="15"/>
      <c r="C168">
        <v>0</v>
      </c>
      <c r="D168">
        <v>430.95</v>
      </c>
      <c r="E168">
        <v>0</v>
      </c>
      <c r="F168">
        <v>586.32000000000005</v>
      </c>
      <c r="G168">
        <v>1200</v>
      </c>
      <c r="H168">
        <v>0</v>
      </c>
      <c r="I168">
        <v>1.7</v>
      </c>
      <c r="J168">
        <v>188.14</v>
      </c>
      <c r="K168">
        <v>14</v>
      </c>
      <c r="L168" s="10">
        <v>26.5</v>
      </c>
      <c r="M168" s="2">
        <f t="shared" si="4"/>
        <v>424.31834799999996</v>
      </c>
      <c r="N168" s="2">
        <f t="shared" si="5"/>
        <v>193.14974999999998</v>
      </c>
      <c r="O168">
        <v>0</v>
      </c>
    </row>
    <row r="169" spans="1:15" x14ac:dyDescent="0.25">
      <c r="A169" s="15"/>
      <c r="B169" s="15"/>
      <c r="C169">
        <v>0</v>
      </c>
      <c r="D169">
        <v>430.95</v>
      </c>
      <c r="E169">
        <v>0</v>
      </c>
      <c r="F169">
        <v>586.32000000000005</v>
      </c>
      <c r="G169">
        <v>1200</v>
      </c>
      <c r="H169">
        <v>0</v>
      </c>
      <c r="I169">
        <v>1.7</v>
      </c>
      <c r="J169">
        <v>188.14</v>
      </c>
      <c r="K169">
        <v>56</v>
      </c>
      <c r="L169" s="10">
        <v>32.97</v>
      </c>
      <c r="M169" s="2">
        <f t="shared" si="4"/>
        <v>424.31834799999996</v>
      </c>
      <c r="N169" s="2">
        <f t="shared" si="5"/>
        <v>193.14974999999998</v>
      </c>
      <c r="O169">
        <v>0</v>
      </c>
    </row>
    <row r="170" spans="1:15" x14ac:dyDescent="0.25">
      <c r="A170" s="15"/>
      <c r="B170" s="15"/>
      <c r="C170">
        <v>0</v>
      </c>
      <c r="D170">
        <v>430.95</v>
      </c>
      <c r="E170">
        <v>0</v>
      </c>
      <c r="F170">
        <v>586.32000000000005</v>
      </c>
      <c r="G170">
        <v>1200</v>
      </c>
      <c r="H170">
        <v>0</v>
      </c>
      <c r="I170">
        <v>1.7</v>
      </c>
      <c r="J170">
        <v>188.14</v>
      </c>
      <c r="K170">
        <v>90</v>
      </c>
      <c r="L170" s="10">
        <v>33.92</v>
      </c>
      <c r="M170" s="2">
        <f t="shared" si="4"/>
        <v>424.31834799999996</v>
      </c>
      <c r="N170" s="2">
        <f t="shared" si="5"/>
        <v>193.14974999999998</v>
      </c>
      <c r="O170">
        <v>0</v>
      </c>
    </row>
    <row r="171" spans="1:15" x14ac:dyDescent="0.25">
      <c r="A171" s="15"/>
      <c r="B171" s="15"/>
      <c r="C171">
        <v>5</v>
      </c>
      <c r="D171">
        <v>409.40199999999999</v>
      </c>
      <c r="E171">
        <v>21.547999999999998</v>
      </c>
      <c r="F171">
        <v>586.32000000000005</v>
      </c>
      <c r="G171">
        <v>1200</v>
      </c>
      <c r="H171">
        <v>0</v>
      </c>
      <c r="I171">
        <v>1.7</v>
      </c>
      <c r="J171">
        <v>188.14</v>
      </c>
      <c r="K171">
        <v>7</v>
      </c>
      <c r="L171" s="10">
        <v>19.88</v>
      </c>
      <c r="M171" s="2">
        <f t="shared" si="4"/>
        <v>408.80378799999994</v>
      </c>
      <c r="N171" s="2">
        <f t="shared" si="5"/>
        <v>185.06925000000001</v>
      </c>
      <c r="O171">
        <v>0</v>
      </c>
    </row>
    <row r="172" spans="1:15" x14ac:dyDescent="0.25">
      <c r="A172" s="15"/>
      <c r="B172" s="15"/>
      <c r="C172">
        <v>5</v>
      </c>
      <c r="D172">
        <v>409.40199999999999</v>
      </c>
      <c r="E172">
        <v>21.547999999999998</v>
      </c>
      <c r="F172">
        <v>586.32000000000005</v>
      </c>
      <c r="G172">
        <v>1200</v>
      </c>
      <c r="H172">
        <v>0</v>
      </c>
      <c r="I172">
        <v>1.7</v>
      </c>
      <c r="J172">
        <v>188.14</v>
      </c>
      <c r="K172">
        <v>14</v>
      </c>
      <c r="L172" s="10">
        <v>28.92</v>
      </c>
      <c r="M172" s="2">
        <f t="shared" si="4"/>
        <v>408.80378799999994</v>
      </c>
      <c r="N172" s="2">
        <f t="shared" si="5"/>
        <v>185.06925000000001</v>
      </c>
      <c r="O172">
        <v>0</v>
      </c>
    </row>
    <row r="173" spans="1:15" x14ac:dyDescent="0.25">
      <c r="A173" s="15"/>
      <c r="B173" s="15"/>
      <c r="C173">
        <v>5</v>
      </c>
      <c r="D173">
        <v>409.40199999999999</v>
      </c>
      <c r="E173">
        <v>21.547999999999998</v>
      </c>
      <c r="F173">
        <v>586.32000000000005</v>
      </c>
      <c r="G173">
        <v>1200</v>
      </c>
      <c r="H173">
        <v>0</v>
      </c>
      <c r="I173">
        <v>1.7</v>
      </c>
      <c r="J173">
        <v>188.14</v>
      </c>
      <c r="K173">
        <v>56</v>
      </c>
      <c r="L173" s="10">
        <v>32.61</v>
      </c>
      <c r="M173" s="2">
        <f t="shared" si="4"/>
        <v>408.80378799999994</v>
      </c>
      <c r="N173" s="2">
        <f t="shared" si="5"/>
        <v>185.06925000000001</v>
      </c>
      <c r="O173">
        <v>0</v>
      </c>
    </row>
    <row r="174" spans="1:15" x14ac:dyDescent="0.25">
      <c r="A174" s="15"/>
      <c r="B174" s="15"/>
      <c r="C174">
        <v>5</v>
      </c>
      <c r="D174">
        <v>409.40199999999999</v>
      </c>
      <c r="E174">
        <v>21.547999999999998</v>
      </c>
      <c r="F174">
        <v>586.32000000000005</v>
      </c>
      <c r="G174">
        <v>1200</v>
      </c>
      <c r="H174">
        <v>0</v>
      </c>
      <c r="I174">
        <v>1.7</v>
      </c>
      <c r="J174">
        <v>188.14</v>
      </c>
      <c r="K174">
        <v>90</v>
      </c>
      <c r="L174" s="10">
        <v>35.64</v>
      </c>
      <c r="M174" s="2">
        <f t="shared" si="4"/>
        <v>408.80378799999994</v>
      </c>
      <c r="N174" s="2">
        <f t="shared" si="5"/>
        <v>185.06925000000001</v>
      </c>
      <c r="O174">
        <v>0</v>
      </c>
    </row>
    <row r="175" spans="1:15" x14ac:dyDescent="0.25">
      <c r="A175" s="15"/>
      <c r="B175" s="15"/>
      <c r="C175">
        <v>10</v>
      </c>
      <c r="D175">
        <v>387.85500000000002</v>
      </c>
      <c r="E175">
        <v>43.094999999999999</v>
      </c>
      <c r="F175">
        <v>586.32000000000005</v>
      </c>
      <c r="G175">
        <v>1200</v>
      </c>
      <c r="H175">
        <v>0</v>
      </c>
      <c r="I175">
        <v>1.7</v>
      </c>
      <c r="J175">
        <v>188.14</v>
      </c>
      <c r="K175">
        <v>7</v>
      </c>
      <c r="L175" s="10">
        <v>20.71</v>
      </c>
      <c r="M175" s="2">
        <f t="shared" si="4"/>
        <v>393.28994799999998</v>
      </c>
      <c r="N175" s="2">
        <f t="shared" si="5"/>
        <v>176.989125</v>
      </c>
      <c r="O175">
        <v>0</v>
      </c>
    </row>
    <row r="176" spans="1:15" x14ac:dyDescent="0.25">
      <c r="A176" s="15"/>
      <c r="B176" s="15"/>
      <c r="C176">
        <v>10</v>
      </c>
      <c r="D176">
        <v>387.85500000000002</v>
      </c>
      <c r="E176">
        <v>43.094999999999999</v>
      </c>
      <c r="F176">
        <v>586.32000000000005</v>
      </c>
      <c r="G176">
        <v>1200</v>
      </c>
      <c r="H176">
        <v>0</v>
      </c>
      <c r="I176">
        <v>1.7</v>
      </c>
      <c r="J176">
        <v>188.14</v>
      </c>
      <c r="K176">
        <v>14</v>
      </c>
      <c r="L176" s="10">
        <v>25.44</v>
      </c>
      <c r="M176" s="2">
        <f t="shared" si="4"/>
        <v>393.28994799999998</v>
      </c>
      <c r="N176" s="2">
        <f t="shared" si="5"/>
        <v>176.989125</v>
      </c>
      <c r="O176">
        <v>0</v>
      </c>
    </row>
    <row r="177" spans="1:15" x14ac:dyDescent="0.25">
      <c r="A177" s="15"/>
      <c r="B177" s="15"/>
      <c r="C177">
        <v>10</v>
      </c>
      <c r="D177">
        <v>387.85500000000002</v>
      </c>
      <c r="E177">
        <v>43.094999999999999</v>
      </c>
      <c r="F177">
        <v>586.32000000000005</v>
      </c>
      <c r="G177">
        <v>1200</v>
      </c>
      <c r="H177">
        <v>0</v>
      </c>
      <c r="I177">
        <v>1.7</v>
      </c>
      <c r="J177">
        <v>188.14</v>
      </c>
      <c r="K177">
        <v>56</v>
      </c>
      <c r="L177" s="10">
        <v>29.09</v>
      </c>
      <c r="M177" s="2">
        <f t="shared" si="4"/>
        <v>393.28994799999998</v>
      </c>
      <c r="N177" s="2">
        <f t="shared" si="5"/>
        <v>176.989125</v>
      </c>
      <c r="O177">
        <v>0</v>
      </c>
    </row>
    <row r="178" spans="1:15" x14ac:dyDescent="0.25">
      <c r="A178" s="15"/>
      <c r="B178" s="15"/>
      <c r="C178">
        <v>10</v>
      </c>
      <c r="D178">
        <v>387.85500000000002</v>
      </c>
      <c r="E178">
        <v>43.094999999999999</v>
      </c>
      <c r="F178">
        <v>586.32000000000005</v>
      </c>
      <c r="G178">
        <v>1200</v>
      </c>
      <c r="H178">
        <v>0</v>
      </c>
      <c r="I178">
        <v>1.7</v>
      </c>
      <c r="J178">
        <v>188.14</v>
      </c>
      <c r="K178">
        <v>90</v>
      </c>
      <c r="L178" s="10">
        <v>34.229999999999997</v>
      </c>
      <c r="M178" s="2">
        <f t="shared" si="4"/>
        <v>393.28994799999998</v>
      </c>
      <c r="N178" s="2">
        <f t="shared" si="5"/>
        <v>176.989125</v>
      </c>
      <c r="O178">
        <v>0</v>
      </c>
    </row>
    <row r="179" spans="1:15" x14ac:dyDescent="0.25">
      <c r="A179" s="15"/>
      <c r="B179" s="15"/>
      <c r="C179">
        <v>15</v>
      </c>
      <c r="D179">
        <v>366.30799999999999</v>
      </c>
      <c r="E179">
        <v>64.641999999999996</v>
      </c>
      <c r="F179">
        <v>586.32000000000005</v>
      </c>
      <c r="G179">
        <v>1200</v>
      </c>
      <c r="H179">
        <v>0</v>
      </c>
      <c r="I179">
        <v>1.7</v>
      </c>
      <c r="J179">
        <v>188.14</v>
      </c>
      <c r="K179">
        <v>7</v>
      </c>
      <c r="L179" s="10">
        <v>20.09</v>
      </c>
      <c r="M179" s="2">
        <f t="shared" si="4"/>
        <v>377.77610799999997</v>
      </c>
      <c r="N179" s="2">
        <f t="shared" si="5"/>
        <v>168.90899999999999</v>
      </c>
      <c r="O179">
        <v>0</v>
      </c>
    </row>
    <row r="180" spans="1:15" x14ac:dyDescent="0.25">
      <c r="A180" s="15"/>
      <c r="B180" s="15"/>
      <c r="C180">
        <v>15</v>
      </c>
      <c r="D180">
        <v>366.30799999999999</v>
      </c>
      <c r="E180">
        <v>64.641999999999996</v>
      </c>
      <c r="F180">
        <v>586.32000000000005</v>
      </c>
      <c r="G180">
        <v>1200</v>
      </c>
      <c r="H180">
        <v>0</v>
      </c>
      <c r="I180">
        <v>1.7</v>
      </c>
      <c r="J180">
        <v>188.14</v>
      </c>
      <c r="K180">
        <v>14</v>
      </c>
      <c r="L180" s="10">
        <v>25.9</v>
      </c>
      <c r="M180" s="2">
        <f t="shared" si="4"/>
        <v>377.77610799999997</v>
      </c>
      <c r="N180" s="2">
        <f t="shared" si="5"/>
        <v>168.90899999999999</v>
      </c>
      <c r="O180">
        <v>0</v>
      </c>
    </row>
    <row r="181" spans="1:15" x14ac:dyDescent="0.25">
      <c r="A181" s="15"/>
      <c r="B181" s="15"/>
      <c r="C181">
        <v>15</v>
      </c>
      <c r="D181">
        <v>366.30799999999999</v>
      </c>
      <c r="E181">
        <v>64.641999999999996</v>
      </c>
      <c r="F181">
        <v>586.32000000000005</v>
      </c>
      <c r="G181">
        <v>1200</v>
      </c>
      <c r="H181">
        <v>0</v>
      </c>
      <c r="I181">
        <v>1.7</v>
      </c>
      <c r="J181">
        <v>188.14</v>
      </c>
      <c r="K181">
        <v>56</v>
      </c>
      <c r="L181" s="10">
        <v>32.08</v>
      </c>
      <c r="M181" s="2">
        <f t="shared" si="4"/>
        <v>377.77610799999997</v>
      </c>
      <c r="N181" s="2">
        <f t="shared" si="5"/>
        <v>168.90899999999999</v>
      </c>
      <c r="O181">
        <v>0</v>
      </c>
    </row>
    <row r="182" spans="1:15" x14ac:dyDescent="0.25">
      <c r="A182" s="15"/>
      <c r="B182" s="15"/>
      <c r="C182">
        <v>15</v>
      </c>
      <c r="D182">
        <v>366.30799999999999</v>
      </c>
      <c r="E182">
        <v>64.641999999999996</v>
      </c>
      <c r="F182">
        <v>586.32000000000005</v>
      </c>
      <c r="G182">
        <v>1200</v>
      </c>
      <c r="H182">
        <v>0</v>
      </c>
      <c r="I182">
        <v>1.7</v>
      </c>
      <c r="J182">
        <v>188.14</v>
      </c>
      <c r="K182">
        <v>90</v>
      </c>
      <c r="L182" s="10">
        <v>33.06</v>
      </c>
      <c r="M182" s="2">
        <f t="shared" si="4"/>
        <v>377.77610799999997</v>
      </c>
      <c r="N182" s="2">
        <f t="shared" si="5"/>
        <v>168.90899999999999</v>
      </c>
      <c r="O182">
        <v>0</v>
      </c>
    </row>
    <row r="183" spans="1:15" x14ac:dyDescent="0.25">
      <c r="A183" s="15"/>
      <c r="B183" s="15"/>
      <c r="C183">
        <v>20</v>
      </c>
      <c r="D183">
        <v>344.76</v>
      </c>
      <c r="E183">
        <v>86.19</v>
      </c>
      <c r="F183">
        <v>586.32000000000005</v>
      </c>
      <c r="G183">
        <v>1200</v>
      </c>
      <c r="H183">
        <v>0</v>
      </c>
      <c r="I183">
        <v>1.7</v>
      </c>
      <c r="J183">
        <v>188.14</v>
      </c>
      <c r="K183">
        <v>7</v>
      </c>
      <c r="L183" s="10">
        <v>19.23</v>
      </c>
      <c r="M183" s="2">
        <f t="shared" si="4"/>
        <v>362.261548</v>
      </c>
      <c r="N183" s="2">
        <f t="shared" si="5"/>
        <v>160.82849999999999</v>
      </c>
      <c r="O183">
        <v>0</v>
      </c>
    </row>
    <row r="184" spans="1:15" x14ac:dyDescent="0.25">
      <c r="A184" s="15"/>
      <c r="B184" s="15"/>
      <c r="C184">
        <v>20</v>
      </c>
      <c r="D184">
        <v>344.76</v>
      </c>
      <c r="E184">
        <v>86.19</v>
      </c>
      <c r="F184">
        <v>586.32000000000005</v>
      </c>
      <c r="G184">
        <v>1200</v>
      </c>
      <c r="H184">
        <v>0</v>
      </c>
      <c r="I184">
        <v>1.7</v>
      </c>
      <c r="J184">
        <v>188.14</v>
      </c>
      <c r="K184">
        <v>14</v>
      </c>
      <c r="L184" s="10">
        <v>26.32</v>
      </c>
      <c r="M184" s="2">
        <f t="shared" si="4"/>
        <v>362.261548</v>
      </c>
      <c r="N184" s="2">
        <f t="shared" si="5"/>
        <v>160.82849999999999</v>
      </c>
      <c r="O184">
        <v>0</v>
      </c>
    </row>
    <row r="185" spans="1:15" x14ac:dyDescent="0.25">
      <c r="A185" s="15"/>
      <c r="B185" s="15"/>
      <c r="C185">
        <v>20</v>
      </c>
      <c r="D185">
        <v>344.76</v>
      </c>
      <c r="E185">
        <v>86.19</v>
      </c>
      <c r="F185">
        <v>586.32000000000005</v>
      </c>
      <c r="G185">
        <v>1200</v>
      </c>
      <c r="H185">
        <v>0</v>
      </c>
      <c r="I185">
        <v>1.7</v>
      </c>
      <c r="J185">
        <v>188.14</v>
      </c>
      <c r="K185">
        <v>56</v>
      </c>
      <c r="L185" s="10">
        <v>29.6</v>
      </c>
      <c r="M185" s="2">
        <f t="shared" si="4"/>
        <v>362.261548</v>
      </c>
      <c r="N185" s="2">
        <f t="shared" si="5"/>
        <v>160.82849999999999</v>
      </c>
      <c r="O185">
        <v>0</v>
      </c>
    </row>
    <row r="186" spans="1:15" x14ac:dyDescent="0.25">
      <c r="A186" s="15"/>
      <c r="B186" s="15"/>
      <c r="C186">
        <v>20</v>
      </c>
      <c r="D186">
        <v>344.76</v>
      </c>
      <c r="E186">
        <v>86.19</v>
      </c>
      <c r="F186">
        <v>586.32000000000005</v>
      </c>
      <c r="G186">
        <v>1200</v>
      </c>
      <c r="H186">
        <v>0</v>
      </c>
      <c r="I186">
        <v>1.7</v>
      </c>
      <c r="J186">
        <v>188.14</v>
      </c>
      <c r="K186">
        <v>90</v>
      </c>
      <c r="L186" s="10">
        <v>28.04</v>
      </c>
      <c r="M186" s="2">
        <f t="shared" si="4"/>
        <v>362.261548</v>
      </c>
      <c r="N186" s="2">
        <f t="shared" si="5"/>
        <v>160.82849999999999</v>
      </c>
      <c r="O186">
        <v>0</v>
      </c>
    </row>
    <row r="187" spans="1:15" x14ac:dyDescent="0.25">
      <c r="A187" s="15"/>
      <c r="B187" s="15"/>
      <c r="C187">
        <v>25</v>
      </c>
      <c r="D187">
        <v>323.21199999999999</v>
      </c>
      <c r="E187">
        <v>107.738</v>
      </c>
      <c r="F187">
        <v>586.32000000000005</v>
      </c>
      <c r="G187">
        <v>1200</v>
      </c>
      <c r="H187">
        <v>0</v>
      </c>
      <c r="I187">
        <v>1.7</v>
      </c>
      <c r="J187">
        <v>188.14</v>
      </c>
      <c r="K187">
        <v>7</v>
      </c>
      <c r="L187" s="10">
        <v>21.88</v>
      </c>
      <c r="M187" s="2">
        <f t="shared" si="4"/>
        <v>346.74698799999993</v>
      </c>
      <c r="N187" s="2">
        <f t="shared" si="5"/>
        <v>152.74799999999999</v>
      </c>
      <c r="O187">
        <v>0</v>
      </c>
    </row>
    <row r="188" spans="1:15" x14ac:dyDescent="0.25">
      <c r="A188" s="15"/>
      <c r="B188" s="15"/>
      <c r="C188">
        <v>25</v>
      </c>
      <c r="D188">
        <v>323.21199999999999</v>
      </c>
      <c r="E188">
        <v>107.738</v>
      </c>
      <c r="F188">
        <v>586.32000000000005</v>
      </c>
      <c r="G188">
        <v>1200</v>
      </c>
      <c r="H188">
        <v>0</v>
      </c>
      <c r="I188">
        <v>1.7</v>
      </c>
      <c r="J188">
        <v>188.14</v>
      </c>
      <c r="K188">
        <v>14</v>
      </c>
      <c r="L188" s="10">
        <v>22.91</v>
      </c>
      <c r="M188" s="2">
        <f t="shared" si="4"/>
        <v>346.74698799999993</v>
      </c>
      <c r="N188" s="2">
        <f t="shared" si="5"/>
        <v>152.74799999999999</v>
      </c>
      <c r="O188">
        <v>0</v>
      </c>
    </row>
    <row r="189" spans="1:15" x14ac:dyDescent="0.25">
      <c r="A189" s="15"/>
      <c r="B189" s="15"/>
      <c r="C189">
        <v>25</v>
      </c>
      <c r="D189">
        <v>323.21199999999999</v>
      </c>
      <c r="E189">
        <v>107.738</v>
      </c>
      <c r="F189">
        <v>586.32000000000005</v>
      </c>
      <c r="G189">
        <v>1200</v>
      </c>
      <c r="H189">
        <v>0</v>
      </c>
      <c r="I189">
        <v>1.7</v>
      </c>
      <c r="J189">
        <v>188.14</v>
      </c>
      <c r="K189">
        <v>56</v>
      </c>
      <c r="L189" s="10">
        <v>29.86</v>
      </c>
      <c r="M189" s="2">
        <f t="shared" si="4"/>
        <v>346.74698799999993</v>
      </c>
      <c r="N189" s="2">
        <f t="shared" si="5"/>
        <v>152.74799999999999</v>
      </c>
      <c r="O189">
        <v>0</v>
      </c>
    </row>
    <row r="190" spans="1:15" x14ac:dyDescent="0.25">
      <c r="A190" s="15"/>
      <c r="B190" s="15"/>
      <c r="C190">
        <v>25</v>
      </c>
      <c r="D190">
        <v>323.21199999999999</v>
      </c>
      <c r="E190">
        <v>107.738</v>
      </c>
      <c r="F190">
        <v>586.32000000000005</v>
      </c>
      <c r="G190">
        <v>1200</v>
      </c>
      <c r="H190">
        <v>0</v>
      </c>
      <c r="I190">
        <v>1.7</v>
      </c>
      <c r="J190">
        <v>188.14</v>
      </c>
      <c r="K190">
        <v>90</v>
      </c>
      <c r="L190" s="10">
        <v>31.98</v>
      </c>
      <c r="M190" s="2">
        <f t="shared" si="4"/>
        <v>346.74698799999993</v>
      </c>
      <c r="N190" s="2">
        <f t="shared" si="5"/>
        <v>152.74799999999999</v>
      </c>
      <c r="O190">
        <v>0</v>
      </c>
    </row>
    <row r="191" spans="1:15" x14ac:dyDescent="0.25">
      <c r="A191" s="15"/>
      <c r="B191" s="15"/>
      <c r="C191">
        <v>30</v>
      </c>
      <c r="D191">
        <v>301.66500000000002</v>
      </c>
      <c r="E191">
        <v>129.285</v>
      </c>
      <c r="F191">
        <v>586.32000000000005</v>
      </c>
      <c r="G191">
        <v>1200</v>
      </c>
      <c r="H191">
        <v>0</v>
      </c>
      <c r="I191">
        <v>1.7</v>
      </c>
      <c r="J191">
        <v>188.14</v>
      </c>
      <c r="K191">
        <v>7</v>
      </c>
      <c r="L191" s="10">
        <v>20.350000000000001</v>
      </c>
      <c r="M191" s="2">
        <f t="shared" si="4"/>
        <v>331.23314799999997</v>
      </c>
      <c r="N191" s="2">
        <f t="shared" si="5"/>
        <v>144.66787500000001</v>
      </c>
      <c r="O191">
        <v>0</v>
      </c>
    </row>
    <row r="192" spans="1:15" x14ac:dyDescent="0.25">
      <c r="A192" s="15"/>
      <c r="B192" s="15"/>
      <c r="C192">
        <v>30</v>
      </c>
      <c r="D192">
        <v>301.66500000000002</v>
      </c>
      <c r="E192">
        <v>129.285</v>
      </c>
      <c r="F192">
        <v>586.32000000000005</v>
      </c>
      <c r="G192">
        <v>1200</v>
      </c>
      <c r="H192">
        <v>0</v>
      </c>
      <c r="I192">
        <v>1.7</v>
      </c>
      <c r="J192">
        <v>188.14</v>
      </c>
      <c r="K192">
        <v>14</v>
      </c>
      <c r="L192" s="10">
        <v>18.38</v>
      </c>
      <c r="M192" s="2">
        <f t="shared" si="4"/>
        <v>331.23314799999997</v>
      </c>
      <c r="N192" s="2">
        <f t="shared" si="5"/>
        <v>144.66787500000001</v>
      </c>
      <c r="O192">
        <v>0</v>
      </c>
    </row>
    <row r="193" spans="1:15" x14ac:dyDescent="0.25">
      <c r="A193" s="15"/>
      <c r="B193" s="15"/>
      <c r="C193">
        <v>30</v>
      </c>
      <c r="D193">
        <v>301.66500000000002</v>
      </c>
      <c r="E193">
        <v>129.285</v>
      </c>
      <c r="F193">
        <v>586.32000000000005</v>
      </c>
      <c r="G193">
        <v>1200</v>
      </c>
      <c r="H193">
        <v>0</v>
      </c>
      <c r="I193">
        <v>1.7</v>
      </c>
      <c r="J193">
        <v>188.14</v>
      </c>
      <c r="K193">
        <v>56</v>
      </c>
      <c r="L193" s="10">
        <v>23.9</v>
      </c>
      <c r="M193" s="2">
        <f t="shared" si="4"/>
        <v>331.23314799999997</v>
      </c>
      <c r="N193" s="2">
        <f t="shared" si="5"/>
        <v>144.66787500000001</v>
      </c>
      <c r="O193">
        <v>0</v>
      </c>
    </row>
    <row r="194" spans="1:15" x14ac:dyDescent="0.25">
      <c r="A194" s="15"/>
      <c r="B194" s="15"/>
      <c r="C194">
        <v>30</v>
      </c>
      <c r="D194">
        <v>301.66500000000002</v>
      </c>
      <c r="E194">
        <v>129.285</v>
      </c>
      <c r="F194">
        <v>586.32000000000005</v>
      </c>
      <c r="G194">
        <v>1200</v>
      </c>
      <c r="H194">
        <v>0</v>
      </c>
      <c r="I194">
        <v>1.7</v>
      </c>
      <c r="J194">
        <v>188.14</v>
      </c>
      <c r="K194">
        <v>90</v>
      </c>
      <c r="L194" s="10">
        <v>28.28</v>
      </c>
      <c r="M194" s="2">
        <f t="shared" ref="M194:M257" si="6">SUM((D194*0.83)+(E194*0.11)+(F194*0.0139)+(G194*0.0459)+(I194*2))</f>
        <v>331.23314799999997</v>
      </c>
      <c r="N194" s="2">
        <f t="shared" si="5"/>
        <v>144.66787500000001</v>
      </c>
      <c r="O194">
        <v>0</v>
      </c>
    </row>
    <row r="195" spans="1:15" x14ac:dyDescent="0.25">
      <c r="A195" s="15"/>
      <c r="B195" s="15"/>
      <c r="C195">
        <v>35</v>
      </c>
      <c r="D195">
        <v>280.11799999999999</v>
      </c>
      <c r="E195">
        <v>150.83199999999999</v>
      </c>
      <c r="F195">
        <v>586.32000000000005</v>
      </c>
      <c r="G195">
        <v>1200</v>
      </c>
      <c r="H195">
        <v>0</v>
      </c>
      <c r="I195">
        <v>1.7</v>
      </c>
      <c r="J195">
        <v>188.14</v>
      </c>
      <c r="K195">
        <v>7</v>
      </c>
      <c r="L195" s="10">
        <v>15.32</v>
      </c>
      <c r="M195" s="2">
        <f t="shared" si="6"/>
        <v>315.71930799999996</v>
      </c>
      <c r="N195" s="2">
        <f t="shared" ref="N195:N258" si="7">SUM((D195*5)+((F195*0.25)+(G195*0.2)+(I195*20)))*0.075</f>
        <v>136.58775</v>
      </c>
      <c r="O195">
        <v>0</v>
      </c>
    </row>
    <row r="196" spans="1:15" x14ac:dyDescent="0.25">
      <c r="A196" s="15"/>
      <c r="B196" s="15"/>
      <c r="C196">
        <v>35</v>
      </c>
      <c r="D196">
        <v>280.11799999999999</v>
      </c>
      <c r="E196">
        <v>150.83199999999999</v>
      </c>
      <c r="F196">
        <v>586.32000000000005</v>
      </c>
      <c r="G196">
        <v>1200</v>
      </c>
      <c r="H196">
        <v>0</v>
      </c>
      <c r="I196">
        <v>1.7</v>
      </c>
      <c r="J196">
        <v>188.14</v>
      </c>
      <c r="K196">
        <v>14</v>
      </c>
      <c r="L196" s="10">
        <v>23.5</v>
      </c>
      <c r="M196" s="2">
        <f t="shared" si="6"/>
        <v>315.71930799999996</v>
      </c>
      <c r="N196" s="2">
        <f t="shared" si="7"/>
        <v>136.58775</v>
      </c>
      <c r="O196">
        <v>0</v>
      </c>
    </row>
    <row r="197" spans="1:15" x14ac:dyDescent="0.25">
      <c r="A197" s="15"/>
      <c r="B197" s="15"/>
      <c r="C197">
        <v>35</v>
      </c>
      <c r="D197">
        <v>280.11799999999999</v>
      </c>
      <c r="E197">
        <v>150.83199999999999</v>
      </c>
      <c r="F197">
        <v>586.32000000000005</v>
      </c>
      <c r="G197">
        <v>1200</v>
      </c>
      <c r="H197">
        <v>0</v>
      </c>
      <c r="I197">
        <v>1.7</v>
      </c>
      <c r="J197">
        <v>188.14</v>
      </c>
      <c r="K197">
        <v>56</v>
      </c>
      <c r="L197" s="10">
        <v>25.38</v>
      </c>
      <c r="M197" s="2">
        <f t="shared" si="6"/>
        <v>315.71930799999996</v>
      </c>
      <c r="N197" s="2">
        <f t="shared" si="7"/>
        <v>136.58775</v>
      </c>
      <c r="O197">
        <v>0</v>
      </c>
    </row>
    <row r="198" spans="1:15" x14ac:dyDescent="0.25">
      <c r="A198" s="15"/>
      <c r="B198" s="15"/>
      <c r="C198">
        <v>35</v>
      </c>
      <c r="D198">
        <v>280.11799999999999</v>
      </c>
      <c r="E198">
        <v>150.83199999999999</v>
      </c>
      <c r="F198">
        <v>586.32000000000005</v>
      </c>
      <c r="G198">
        <v>1200</v>
      </c>
      <c r="H198">
        <v>0</v>
      </c>
      <c r="I198">
        <v>1.7</v>
      </c>
      <c r="J198">
        <v>188.14</v>
      </c>
      <c r="K198">
        <v>90</v>
      </c>
      <c r="L198" s="10">
        <v>30.29</v>
      </c>
      <c r="M198" s="2">
        <f t="shared" si="6"/>
        <v>315.71930799999996</v>
      </c>
      <c r="N198" s="2">
        <f t="shared" si="7"/>
        <v>136.58775</v>
      </c>
      <c r="O198">
        <v>0</v>
      </c>
    </row>
    <row r="199" spans="1:15" x14ac:dyDescent="0.25">
      <c r="A199" s="15"/>
      <c r="B199" s="15"/>
      <c r="C199">
        <v>40</v>
      </c>
      <c r="D199">
        <v>258.57</v>
      </c>
      <c r="E199">
        <v>172.38</v>
      </c>
      <c r="F199">
        <v>586.32000000000005</v>
      </c>
      <c r="G199">
        <v>1200</v>
      </c>
      <c r="H199">
        <v>0</v>
      </c>
      <c r="I199">
        <v>1.7</v>
      </c>
      <c r="J199">
        <v>188.14</v>
      </c>
      <c r="K199">
        <v>7</v>
      </c>
      <c r="L199" s="10">
        <v>19.149999999999999</v>
      </c>
      <c r="M199" s="2">
        <f t="shared" si="6"/>
        <v>300.20474799999994</v>
      </c>
      <c r="N199" s="2">
        <f t="shared" si="7"/>
        <v>128.50724999999997</v>
      </c>
      <c r="O199">
        <v>0</v>
      </c>
    </row>
    <row r="200" spans="1:15" x14ac:dyDescent="0.25">
      <c r="A200" s="15"/>
      <c r="B200" s="15"/>
      <c r="C200">
        <v>40</v>
      </c>
      <c r="D200">
        <v>258.57</v>
      </c>
      <c r="E200">
        <v>172.38</v>
      </c>
      <c r="F200">
        <v>586.32000000000005</v>
      </c>
      <c r="G200">
        <v>1200</v>
      </c>
      <c r="H200">
        <v>0</v>
      </c>
      <c r="I200">
        <v>1.7</v>
      </c>
      <c r="J200">
        <v>188.14</v>
      </c>
      <c r="K200">
        <v>14</v>
      </c>
      <c r="L200" s="10">
        <v>25.69</v>
      </c>
      <c r="M200" s="2">
        <f t="shared" si="6"/>
        <v>300.20474799999994</v>
      </c>
      <c r="N200" s="2">
        <f t="shared" si="7"/>
        <v>128.50724999999997</v>
      </c>
      <c r="O200">
        <v>0</v>
      </c>
    </row>
    <row r="201" spans="1:15" x14ac:dyDescent="0.25">
      <c r="A201" s="15"/>
      <c r="B201" s="15"/>
      <c r="C201">
        <v>40</v>
      </c>
      <c r="D201">
        <v>258.57</v>
      </c>
      <c r="E201">
        <v>172.38</v>
      </c>
      <c r="F201">
        <v>586.32000000000005</v>
      </c>
      <c r="G201">
        <v>1200</v>
      </c>
      <c r="H201">
        <v>0</v>
      </c>
      <c r="I201">
        <v>1.7</v>
      </c>
      <c r="J201">
        <v>188.14</v>
      </c>
      <c r="K201">
        <v>56</v>
      </c>
      <c r="L201" s="10">
        <v>26.06</v>
      </c>
      <c r="M201" s="2">
        <f t="shared" si="6"/>
        <v>300.20474799999994</v>
      </c>
      <c r="N201" s="2">
        <f t="shared" si="7"/>
        <v>128.50724999999997</v>
      </c>
      <c r="O201">
        <v>0</v>
      </c>
    </row>
    <row r="202" spans="1:15" x14ac:dyDescent="0.25">
      <c r="A202" s="15"/>
      <c r="B202" s="15"/>
      <c r="C202">
        <v>40</v>
      </c>
      <c r="D202">
        <v>258.57</v>
      </c>
      <c r="E202">
        <v>172.38</v>
      </c>
      <c r="F202">
        <v>586.32000000000005</v>
      </c>
      <c r="G202">
        <v>1200</v>
      </c>
      <c r="H202">
        <v>0</v>
      </c>
      <c r="I202">
        <v>1.7</v>
      </c>
      <c r="J202">
        <v>188.14</v>
      </c>
      <c r="K202">
        <v>90</v>
      </c>
      <c r="L202" s="10">
        <v>27.13</v>
      </c>
      <c r="M202" s="2">
        <f t="shared" si="6"/>
        <v>300.20474799999994</v>
      </c>
      <c r="N202" s="2">
        <f t="shared" si="7"/>
        <v>128.50724999999997</v>
      </c>
      <c r="O202">
        <v>0</v>
      </c>
    </row>
    <row r="203" spans="1:15" x14ac:dyDescent="0.25">
      <c r="A203" s="15"/>
      <c r="B203" s="15"/>
      <c r="C203">
        <v>45</v>
      </c>
      <c r="D203">
        <v>237.02199999999999</v>
      </c>
      <c r="E203">
        <v>193.92699999999999</v>
      </c>
      <c r="F203">
        <v>586.32000000000005</v>
      </c>
      <c r="G203">
        <v>1200</v>
      </c>
      <c r="H203">
        <v>0</v>
      </c>
      <c r="I203">
        <v>1.7</v>
      </c>
      <c r="J203">
        <v>188.14</v>
      </c>
      <c r="K203">
        <v>7</v>
      </c>
      <c r="L203" s="10">
        <v>18.16</v>
      </c>
      <c r="M203" s="2">
        <f t="shared" si="6"/>
        <v>284.69007799999997</v>
      </c>
      <c r="N203" s="2">
        <f t="shared" si="7"/>
        <v>120.42675</v>
      </c>
      <c r="O203">
        <v>0</v>
      </c>
    </row>
    <row r="204" spans="1:15" x14ac:dyDescent="0.25">
      <c r="A204" s="15"/>
      <c r="B204" s="15"/>
      <c r="C204">
        <v>45</v>
      </c>
      <c r="D204">
        <v>237.02199999999999</v>
      </c>
      <c r="E204">
        <v>193.92699999999999</v>
      </c>
      <c r="F204">
        <v>586.32000000000005</v>
      </c>
      <c r="G204">
        <v>1200</v>
      </c>
      <c r="H204">
        <v>0</v>
      </c>
      <c r="I204">
        <v>1.7</v>
      </c>
      <c r="J204">
        <v>188.14</v>
      </c>
      <c r="K204">
        <v>14</v>
      </c>
      <c r="L204" s="10">
        <v>26.3</v>
      </c>
      <c r="M204" s="2">
        <f t="shared" si="6"/>
        <v>284.69007799999997</v>
      </c>
      <c r="N204" s="2">
        <f t="shared" si="7"/>
        <v>120.42675</v>
      </c>
      <c r="O204">
        <v>0</v>
      </c>
    </row>
    <row r="205" spans="1:15" x14ac:dyDescent="0.25">
      <c r="A205" s="15"/>
      <c r="B205" s="15"/>
      <c r="C205">
        <v>45</v>
      </c>
      <c r="D205">
        <v>237.02199999999999</v>
      </c>
      <c r="E205">
        <v>193.92699999999999</v>
      </c>
      <c r="F205">
        <v>586.32000000000005</v>
      </c>
      <c r="G205">
        <v>1200</v>
      </c>
      <c r="H205">
        <v>0</v>
      </c>
      <c r="I205">
        <v>1.7</v>
      </c>
      <c r="J205">
        <v>188.14</v>
      </c>
      <c r="K205">
        <v>56</v>
      </c>
      <c r="L205" s="10">
        <v>22.03</v>
      </c>
      <c r="M205" s="2">
        <f t="shared" si="6"/>
        <v>284.69007799999997</v>
      </c>
      <c r="N205" s="2">
        <f t="shared" si="7"/>
        <v>120.42675</v>
      </c>
      <c r="O205">
        <v>0</v>
      </c>
    </row>
    <row r="206" spans="1:15" x14ac:dyDescent="0.25">
      <c r="A206" s="15"/>
      <c r="B206" s="15"/>
      <c r="C206">
        <v>45</v>
      </c>
      <c r="D206">
        <v>237.02199999999999</v>
      </c>
      <c r="E206">
        <v>193.92699999999999</v>
      </c>
      <c r="F206">
        <v>586.32000000000005</v>
      </c>
      <c r="G206">
        <v>1200</v>
      </c>
      <c r="H206">
        <v>0</v>
      </c>
      <c r="I206">
        <v>1.7</v>
      </c>
      <c r="J206">
        <v>188.14</v>
      </c>
      <c r="K206">
        <v>90</v>
      </c>
      <c r="L206" s="10">
        <v>24.06</v>
      </c>
      <c r="M206" s="2">
        <f t="shared" si="6"/>
        <v>284.69007799999997</v>
      </c>
      <c r="N206" s="2">
        <f t="shared" si="7"/>
        <v>120.42675</v>
      </c>
      <c r="O206">
        <v>0</v>
      </c>
    </row>
    <row r="207" spans="1:15" x14ac:dyDescent="0.25">
      <c r="A207" s="15"/>
      <c r="B207" s="15"/>
      <c r="C207">
        <v>50</v>
      </c>
      <c r="D207">
        <v>215.47499999999999</v>
      </c>
      <c r="E207">
        <v>215.47499999999999</v>
      </c>
      <c r="F207">
        <v>586.32000000000005</v>
      </c>
      <c r="G207">
        <v>1200</v>
      </c>
      <c r="H207">
        <v>0</v>
      </c>
      <c r="I207">
        <v>1.7</v>
      </c>
      <c r="J207">
        <v>188.14</v>
      </c>
      <c r="K207">
        <v>7</v>
      </c>
      <c r="L207" s="10">
        <v>16.850000000000001</v>
      </c>
      <c r="M207" s="2">
        <f t="shared" si="6"/>
        <v>269.17634799999996</v>
      </c>
      <c r="N207" s="2">
        <f t="shared" si="7"/>
        <v>112.34662499999999</v>
      </c>
      <c r="O207">
        <v>0</v>
      </c>
    </row>
    <row r="208" spans="1:15" x14ac:dyDescent="0.25">
      <c r="A208" s="15"/>
      <c r="B208" s="15"/>
      <c r="C208">
        <v>50</v>
      </c>
      <c r="D208">
        <v>215.47499999999999</v>
      </c>
      <c r="E208">
        <v>215.47499999999999</v>
      </c>
      <c r="F208">
        <v>586.32000000000005</v>
      </c>
      <c r="G208">
        <v>1200</v>
      </c>
      <c r="H208">
        <v>0</v>
      </c>
      <c r="I208">
        <v>1.7</v>
      </c>
      <c r="J208">
        <v>188.14</v>
      </c>
      <c r="K208">
        <v>14</v>
      </c>
      <c r="L208" s="10">
        <v>16.7</v>
      </c>
      <c r="M208" s="2">
        <f t="shared" si="6"/>
        <v>269.17634799999996</v>
      </c>
      <c r="N208" s="2">
        <f t="shared" si="7"/>
        <v>112.34662499999999</v>
      </c>
      <c r="O208">
        <v>0</v>
      </c>
    </row>
    <row r="209" spans="1:15" x14ac:dyDescent="0.25">
      <c r="A209" s="15"/>
      <c r="B209" s="15"/>
      <c r="C209">
        <v>50</v>
      </c>
      <c r="D209">
        <v>215.47499999999999</v>
      </c>
      <c r="E209">
        <v>215.47499999999999</v>
      </c>
      <c r="F209">
        <v>586.32000000000005</v>
      </c>
      <c r="G209">
        <v>1200</v>
      </c>
      <c r="H209">
        <v>0</v>
      </c>
      <c r="I209">
        <v>1.7</v>
      </c>
      <c r="J209">
        <v>188.14</v>
      </c>
      <c r="K209">
        <v>56</v>
      </c>
      <c r="L209" s="10">
        <v>23.72</v>
      </c>
      <c r="M209" s="2">
        <f t="shared" si="6"/>
        <v>269.17634799999996</v>
      </c>
      <c r="N209" s="2">
        <f t="shared" si="7"/>
        <v>112.34662499999999</v>
      </c>
      <c r="O209">
        <v>0</v>
      </c>
    </row>
    <row r="210" spans="1:15" x14ac:dyDescent="0.25">
      <c r="A210" s="15"/>
      <c r="B210" s="15"/>
      <c r="C210">
        <v>50</v>
      </c>
      <c r="D210">
        <v>215.47499999999999</v>
      </c>
      <c r="E210">
        <v>215.47499999999999</v>
      </c>
      <c r="F210">
        <v>586.32000000000005</v>
      </c>
      <c r="G210">
        <v>1200</v>
      </c>
      <c r="H210">
        <v>0</v>
      </c>
      <c r="I210">
        <v>1.7</v>
      </c>
      <c r="J210">
        <v>188.14</v>
      </c>
      <c r="K210">
        <v>90</v>
      </c>
      <c r="L210" s="10">
        <v>23.66</v>
      </c>
      <c r="M210" s="2">
        <f t="shared" si="6"/>
        <v>269.17634799999996</v>
      </c>
      <c r="N210" s="2">
        <f t="shared" si="7"/>
        <v>112.34662499999999</v>
      </c>
      <c r="O210">
        <v>0</v>
      </c>
    </row>
    <row r="211" spans="1:15" x14ac:dyDescent="0.25">
      <c r="A211" s="15" t="s">
        <v>65</v>
      </c>
      <c r="B211" s="15" t="s">
        <v>66</v>
      </c>
      <c r="C211">
        <v>0</v>
      </c>
      <c r="D211">
        <v>280</v>
      </c>
      <c r="E211">
        <v>0</v>
      </c>
      <c r="F211">
        <v>729.2</v>
      </c>
      <c r="G211">
        <v>1087.2</v>
      </c>
      <c r="H211">
        <v>0</v>
      </c>
      <c r="I211">
        <v>0</v>
      </c>
      <c r="J211">
        <v>176.6</v>
      </c>
      <c r="K211">
        <v>14</v>
      </c>
      <c r="L211" s="10">
        <v>24.66</v>
      </c>
      <c r="M211" s="2">
        <f t="shared" si="6"/>
        <v>292.43835999999999</v>
      </c>
      <c r="N211" s="2">
        <f t="shared" si="7"/>
        <v>134.98050000000001</v>
      </c>
      <c r="O211">
        <v>0</v>
      </c>
    </row>
    <row r="212" spans="1:15" x14ac:dyDescent="0.25">
      <c r="A212" s="15"/>
      <c r="B212" s="15"/>
      <c r="C212">
        <v>0</v>
      </c>
      <c r="D212">
        <v>280</v>
      </c>
      <c r="E212">
        <v>0</v>
      </c>
      <c r="F212">
        <v>729.2</v>
      </c>
      <c r="G212">
        <v>1087.2</v>
      </c>
      <c r="H212">
        <v>0</v>
      </c>
      <c r="I212">
        <v>0</v>
      </c>
      <c r="J212">
        <v>176.6</v>
      </c>
      <c r="K212">
        <v>21</v>
      </c>
      <c r="L212" s="10">
        <v>23.95</v>
      </c>
      <c r="M212" s="2">
        <f t="shared" si="6"/>
        <v>292.43835999999999</v>
      </c>
      <c r="N212" s="2">
        <f t="shared" si="7"/>
        <v>134.98050000000001</v>
      </c>
      <c r="O212">
        <v>0</v>
      </c>
    </row>
    <row r="213" spans="1:15" x14ac:dyDescent="0.25">
      <c r="A213" s="15"/>
      <c r="B213" s="15"/>
      <c r="C213">
        <v>0</v>
      </c>
      <c r="D213">
        <v>280</v>
      </c>
      <c r="E213">
        <v>0</v>
      </c>
      <c r="F213">
        <v>729.2</v>
      </c>
      <c r="G213">
        <v>1087.2</v>
      </c>
      <c r="H213">
        <v>0</v>
      </c>
      <c r="I213">
        <v>0</v>
      </c>
      <c r="J213">
        <v>176.6</v>
      </c>
      <c r="K213">
        <v>56</v>
      </c>
      <c r="L213" s="10">
        <v>26.38</v>
      </c>
      <c r="M213" s="2">
        <f t="shared" si="6"/>
        <v>292.43835999999999</v>
      </c>
      <c r="N213" s="2">
        <f t="shared" si="7"/>
        <v>134.98050000000001</v>
      </c>
      <c r="O213">
        <v>0</v>
      </c>
    </row>
    <row r="214" spans="1:15" x14ac:dyDescent="0.25">
      <c r="A214" s="15"/>
      <c r="B214" s="15"/>
      <c r="C214">
        <v>0</v>
      </c>
      <c r="D214">
        <v>280</v>
      </c>
      <c r="E214">
        <v>0</v>
      </c>
      <c r="F214">
        <v>729.2</v>
      </c>
      <c r="G214">
        <v>1087.2</v>
      </c>
      <c r="H214">
        <v>0</v>
      </c>
      <c r="I214">
        <v>0</v>
      </c>
      <c r="J214">
        <v>176.6</v>
      </c>
      <c r="K214">
        <v>90</v>
      </c>
      <c r="L214" s="10">
        <v>32.93</v>
      </c>
      <c r="M214" s="2">
        <f t="shared" si="6"/>
        <v>292.43835999999999</v>
      </c>
      <c r="N214" s="2">
        <f t="shared" si="7"/>
        <v>134.98050000000001</v>
      </c>
      <c r="O214">
        <v>0</v>
      </c>
    </row>
    <row r="215" spans="1:15" x14ac:dyDescent="0.25">
      <c r="A215" s="15"/>
      <c r="B215" s="15"/>
      <c r="C215">
        <v>5</v>
      </c>
      <c r="D215">
        <v>266</v>
      </c>
      <c r="E215">
        <v>14</v>
      </c>
      <c r="F215">
        <v>729.2</v>
      </c>
      <c r="G215">
        <v>1087.2</v>
      </c>
      <c r="H215">
        <v>0</v>
      </c>
      <c r="I215">
        <v>0</v>
      </c>
      <c r="J215">
        <v>176.6</v>
      </c>
      <c r="K215">
        <v>14</v>
      </c>
      <c r="L215" s="10">
        <v>23.3</v>
      </c>
      <c r="M215" s="2">
        <f t="shared" si="6"/>
        <v>282.35836</v>
      </c>
      <c r="N215" s="2">
        <f t="shared" si="7"/>
        <v>129.73050000000001</v>
      </c>
      <c r="O215">
        <v>0</v>
      </c>
    </row>
    <row r="216" spans="1:15" x14ac:dyDescent="0.25">
      <c r="A216" s="15"/>
      <c r="B216" s="15"/>
      <c r="C216">
        <v>5</v>
      </c>
      <c r="D216">
        <v>266</v>
      </c>
      <c r="E216">
        <v>14</v>
      </c>
      <c r="F216">
        <v>729.2</v>
      </c>
      <c r="G216">
        <v>1087.2</v>
      </c>
      <c r="H216">
        <v>0</v>
      </c>
      <c r="I216">
        <v>0</v>
      </c>
      <c r="J216">
        <v>176.6</v>
      </c>
      <c r="K216">
        <v>21</v>
      </c>
      <c r="L216" s="10">
        <v>22.22</v>
      </c>
      <c r="M216" s="2">
        <f t="shared" si="6"/>
        <v>282.35836</v>
      </c>
      <c r="N216" s="2">
        <f t="shared" si="7"/>
        <v>129.73050000000001</v>
      </c>
      <c r="O216">
        <v>0</v>
      </c>
    </row>
    <row r="217" spans="1:15" x14ac:dyDescent="0.25">
      <c r="A217" s="15"/>
      <c r="B217" s="15"/>
      <c r="C217">
        <v>5</v>
      </c>
      <c r="D217">
        <v>266</v>
      </c>
      <c r="E217">
        <v>14</v>
      </c>
      <c r="F217">
        <v>729.2</v>
      </c>
      <c r="G217">
        <v>1087.2</v>
      </c>
      <c r="H217">
        <v>0</v>
      </c>
      <c r="I217">
        <v>0</v>
      </c>
      <c r="J217">
        <v>176.6</v>
      </c>
      <c r="K217">
        <v>56</v>
      </c>
      <c r="L217" s="10">
        <v>23.38</v>
      </c>
      <c r="M217" s="2">
        <f t="shared" si="6"/>
        <v>282.35836</v>
      </c>
      <c r="N217" s="2">
        <f t="shared" si="7"/>
        <v>129.73050000000001</v>
      </c>
      <c r="O217">
        <v>0</v>
      </c>
    </row>
    <row r="218" spans="1:15" x14ac:dyDescent="0.25">
      <c r="A218" s="15"/>
      <c r="B218" s="15"/>
      <c r="C218">
        <v>5</v>
      </c>
      <c r="D218">
        <v>266</v>
      </c>
      <c r="E218">
        <v>14</v>
      </c>
      <c r="F218">
        <v>729.2</v>
      </c>
      <c r="G218">
        <v>1087.2</v>
      </c>
      <c r="H218">
        <v>0</v>
      </c>
      <c r="I218">
        <v>0</v>
      </c>
      <c r="J218">
        <v>176.6</v>
      </c>
      <c r="K218">
        <v>90</v>
      </c>
      <c r="L218" s="10">
        <v>25.51</v>
      </c>
      <c r="M218" s="2">
        <f t="shared" si="6"/>
        <v>282.35836</v>
      </c>
      <c r="N218" s="2">
        <f t="shared" si="7"/>
        <v>129.73050000000001</v>
      </c>
      <c r="O218">
        <v>0</v>
      </c>
    </row>
    <row r="219" spans="1:15" x14ac:dyDescent="0.25">
      <c r="A219" s="15"/>
      <c r="B219" s="15"/>
      <c r="C219">
        <v>10</v>
      </c>
      <c r="D219">
        <v>252</v>
      </c>
      <c r="E219">
        <v>28</v>
      </c>
      <c r="F219">
        <v>729.2</v>
      </c>
      <c r="G219">
        <v>1087.2</v>
      </c>
      <c r="H219">
        <v>0</v>
      </c>
      <c r="I219">
        <v>0</v>
      </c>
      <c r="J219">
        <v>176.6</v>
      </c>
      <c r="K219">
        <v>14</v>
      </c>
      <c r="L219" s="10">
        <v>20.92</v>
      </c>
      <c r="M219" s="2">
        <f t="shared" si="6"/>
        <v>272.27836000000002</v>
      </c>
      <c r="N219" s="2">
        <f t="shared" si="7"/>
        <v>124.48049999999999</v>
      </c>
      <c r="O219">
        <v>0</v>
      </c>
    </row>
    <row r="220" spans="1:15" x14ac:dyDescent="0.25">
      <c r="A220" s="15"/>
      <c r="B220" s="15"/>
      <c r="C220">
        <v>10</v>
      </c>
      <c r="D220">
        <v>252</v>
      </c>
      <c r="E220">
        <v>28</v>
      </c>
      <c r="F220">
        <v>729.2</v>
      </c>
      <c r="G220">
        <v>1087.2</v>
      </c>
      <c r="H220">
        <v>0</v>
      </c>
      <c r="I220">
        <v>0</v>
      </c>
      <c r="J220">
        <v>176.6</v>
      </c>
      <c r="K220">
        <v>21</v>
      </c>
      <c r="L220" s="10">
        <v>22.99</v>
      </c>
      <c r="M220" s="2">
        <f t="shared" si="6"/>
        <v>272.27836000000002</v>
      </c>
      <c r="N220" s="2">
        <f t="shared" si="7"/>
        <v>124.48049999999999</v>
      </c>
      <c r="O220">
        <v>0</v>
      </c>
    </row>
    <row r="221" spans="1:15" x14ac:dyDescent="0.25">
      <c r="A221" s="15"/>
      <c r="B221" s="15"/>
      <c r="C221">
        <v>10</v>
      </c>
      <c r="D221">
        <v>252</v>
      </c>
      <c r="E221">
        <v>28</v>
      </c>
      <c r="F221">
        <v>729.2</v>
      </c>
      <c r="G221">
        <v>1087.2</v>
      </c>
      <c r="H221">
        <v>0</v>
      </c>
      <c r="I221">
        <v>0</v>
      </c>
      <c r="J221">
        <v>176.6</v>
      </c>
      <c r="K221">
        <v>56</v>
      </c>
      <c r="L221" s="10">
        <v>28.27</v>
      </c>
      <c r="M221" s="2">
        <f t="shared" si="6"/>
        <v>272.27836000000002</v>
      </c>
      <c r="N221" s="2">
        <f t="shared" si="7"/>
        <v>124.48049999999999</v>
      </c>
      <c r="O221">
        <v>0</v>
      </c>
    </row>
    <row r="222" spans="1:15" x14ac:dyDescent="0.25">
      <c r="A222" s="15"/>
      <c r="B222" s="15"/>
      <c r="C222">
        <v>10</v>
      </c>
      <c r="D222">
        <v>252</v>
      </c>
      <c r="E222">
        <v>28</v>
      </c>
      <c r="F222">
        <v>729.2</v>
      </c>
      <c r="G222">
        <v>1087.2</v>
      </c>
      <c r="H222">
        <v>0</v>
      </c>
      <c r="I222">
        <v>0</v>
      </c>
      <c r="J222">
        <v>176.6</v>
      </c>
      <c r="K222">
        <v>90</v>
      </c>
      <c r="L222" s="10">
        <v>28.19</v>
      </c>
      <c r="M222" s="2">
        <f t="shared" si="6"/>
        <v>272.27836000000002</v>
      </c>
      <c r="N222" s="2">
        <f t="shared" si="7"/>
        <v>124.48049999999999</v>
      </c>
      <c r="O222">
        <v>0</v>
      </c>
    </row>
    <row r="223" spans="1:15" x14ac:dyDescent="0.25">
      <c r="A223" s="15"/>
      <c r="B223" s="15"/>
      <c r="C223">
        <v>15</v>
      </c>
      <c r="D223">
        <v>238</v>
      </c>
      <c r="E223">
        <v>42</v>
      </c>
      <c r="F223">
        <v>729.2</v>
      </c>
      <c r="G223">
        <v>1087.2</v>
      </c>
      <c r="H223">
        <v>0</v>
      </c>
      <c r="I223">
        <v>0</v>
      </c>
      <c r="J223">
        <v>176.6</v>
      </c>
      <c r="K223">
        <v>14</v>
      </c>
      <c r="L223" s="10">
        <v>25.9</v>
      </c>
      <c r="M223" s="2">
        <f t="shared" si="6"/>
        <v>262.19836000000004</v>
      </c>
      <c r="N223" s="2">
        <f t="shared" si="7"/>
        <v>119.23049999999999</v>
      </c>
      <c r="O223">
        <v>0</v>
      </c>
    </row>
    <row r="224" spans="1:15" x14ac:dyDescent="0.25">
      <c r="A224" s="15"/>
      <c r="B224" s="15"/>
      <c r="C224">
        <v>15</v>
      </c>
      <c r="D224">
        <v>238</v>
      </c>
      <c r="E224">
        <v>42</v>
      </c>
      <c r="F224">
        <v>729.2</v>
      </c>
      <c r="G224">
        <v>1087.2</v>
      </c>
      <c r="H224">
        <v>0</v>
      </c>
      <c r="I224">
        <v>0</v>
      </c>
      <c r="J224">
        <v>176.6</v>
      </c>
      <c r="K224">
        <v>21</v>
      </c>
      <c r="L224" s="10">
        <v>20.85</v>
      </c>
      <c r="M224" s="2">
        <f t="shared" si="6"/>
        <v>262.19836000000004</v>
      </c>
      <c r="N224" s="2">
        <f t="shared" si="7"/>
        <v>119.23049999999999</v>
      </c>
      <c r="O224">
        <v>0</v>
      </c>
    </row>
    <row r="225" spans="1:15" x14ac:dyDescent="0.25">
      <c r="A225" s="15"/>
      <c r="B225" s="15"/>
      <c r="C225">
        <v>15</v>
      </c>
      <c r="D225">
        <v>238</v>
      </c>
      <c r="E225">
        <v>42</v>
      </c>
      <c r="F225">
        <v>729.2</v>
      </c>
      <c r="G225">
        <v>1087.2</v>
      </c>
      <c r="H225">
        <v>0</v>
      </c>
      <c r="I225">
        <v>0</v>
      </c>
      <c r="J225">
        <v>176.6</v>
      </c>
      <c r="K225">
        <v>56</v>
      </c>
      <c r="L225" s="10">
        <v>25.7</v>
      </c>
      <c r="M225" s="2">
        <f t="shared" si="6"/>
        <v>262.19836000000004</v>
      </c>
      <c r="N225" s="2">
        <f t="shared" si="7"/>
        <v>119.23049999999999</v>
      </c>
      <c r="O225">
        <v>0</v>
      </c>
    </row>
    <row r="226" spans="1:15" x14ac:dyDescent="0.25">
      <c r="A226" s="15"/>
      <c r="B226" s="15"/>
      <c r="C226">
        <v>15</v>
      </c>
      <c r="D226">
        <v>238</v>
      </c>
      <c r="E226">
        <v>42</v>
      </c>
      <c r="F226">
        <v>729.2</v>
      </c>
      <c r="G226">
        <v>1087.2</v>
      </c>
      <c r="H226">
        <v>0</v>
      </c>
      <c r="I226">
        <v>0</v>
      </c>
      <c r="J226">
        <v>176.6</v>
      </c>
      <c r="K226">
        <v>90</v>
      </c>
      <c r="L226" s="10">
        <v>22.86</v>
      </c>
      <c r="M226" s="2">
        <f t="shared" si="6"/>
        <v>262.19836000000004</v>
      </c>
      <c r="N226" s="2">
        <f t="shared" si="7"/>
        <v>119.23049999999999</v>
      </c>
      <c r="O226">
        <v>0</v>
      </c>
    </row>
    <row r="227" spans="1:15" x14ac:dyDescent="0.25">
      <c r="A227" s="15"/>
      <c r="B227" s="15"/>
      <c r="C227">
        <v>20</v>
      </c>
      <c r="D227">
        <v>224</v>
      </c>
      <c r="E227">
        <v>56</v>
      </c>
      <c r="F227">
        <v>729.2</v>
      </c>
      <c r="G227">
        <v>1087.2</v>
      </c>
      <c r="H227">
        <v>0</v>
      </c>
      <c r="I227">
        <v>0</v>
      </c>
      <c r="J227">
        <v>176.6</v>
      </c>
      <c r="K227">
        <v>14</v>
      </c>
      <c r="L227" s="10">
        <v>18.79</v>
      </c>
      <c r="M227" s="2">
        <f t="shared" si="6"/>
        <v>252.11835999999997</v>
      </c>
      <c r="N227" s="2">
        <f t="shared" si="7"/>
        <v>113.98049999999999</v>
      </c>
      <c r="O227">
        <v>0</v>
      </c>
    </row>
    <row r="228" spans="1:15" x14ac:dyDescent="0.25">
      <c r="A228" s="15"/>
      <c r="B228" s="15"/>
      <c r="C228">
        <v>20</v>
      </c>
      <c r="D228">
        <v>224</v>
      </c>
      <c r="E228">
        <v>56</v>
      </c>
      <c r="F228">
        <v>729.2</v>
      </c>
      <c r="G228">
        <v>1087.2</v>
      </c>
      <c r="H228">
        <v>0</v>
      </c>
      <c r="I228">
        <v>0</v>
      </c>
      <c r="J228">
        <v>176.6</v>
      </c>
      <c r="K228">
        <v>21</v>
      </c>
      <c r="L228" s="10">
        <v>23.64</v>
      </c>
      <c r="M228" s="2">
        <f t="shared" si="6"/>
        <v>252.11835999999997</v>
      </c>
      <c r="N228" s="2">
        <f t="shared" si="7"/>
        <v>113.98049999999999</v>
      </c>
      <c r="O228">
        <v>0</v>
      </c>
    </row>
    <row r="229" spans="1:15" x14ac:dyDescent="0.25">
      <c r="A229" s="15"/>
      <c r="B229" s="15"/>
      <c r="C229">
        <v>20</v>
      </c>
      <c r="D229">
        <v>224</v>
      </c>
      <c r="E229">
        <v>56</v>
      </c>
      <c r="F229">
        <v>729.2</v>
      </c>
      <c r="G229">
        <v>1087.2</v>
      </c>
      <c r="H229">
        <v>0</v>
      </c>
      <c r="I229">
        <v>0</v>
      </c>
      <c r="J229">
        <v>176.6</v>
      </c>
      <c r="K229">
        <v>56</v>
      </c>
      <c r="L229" s="10">
        <v>24.07</v>
      </c>
      <c r="M229" s="2">
        <f t="shared" si="6"/>
        <v>252.11835999999997</v>
      </c>
      <c r="N229" s="2">
        <f t="shared" si="7"/>
        <v>113.98049999999999</v>
      </c>
      <c r="O229">
        <v>0</v>
      </c>
    </row>
    <row r="230" spans="1:15" x14ac:dyDescent="0.25">
      <c r="A230" s="15"/>
      <c r="B230" s="15"/>
      <c r="C230">
        <v>20</v>
      </c>
      <c r="D230">
        <v>224</v>
      </c>
      <c r="E230">
        <v>56</v>
      </c>
      <c r="F230">
        <v>729.2</v>
      </c>
      <c r="G230">
        <v>1087.2</v>
      </c>
      <c r="H230">
        <v>0</v>
      </c>
      <c r="I230">
        <v>0</v>
      </c>
      <c r="J230">
        <v>176.6</v>
      </c>
      <c r="K230">
        <v>90</v>
      </c>
      <c r="L230" s="10">
        <v>25.01</v>
      </c>
      <c r="M230" s="2">
        <f t="shared" si="6"/>
        <v>252.11835999999997</v>
      </c>
      <c r="N230" s="2">
        <f t="shared" si="7"/>
        <v>113.98049999999999</v>
      </c>
      <c r="O230">
        <v>0</v>
      </c>
    </row>
    <row r="231" spans="1:15" x14ac:dyDescent="0.25">
      <c r="A231" s="15"/>
      <c r="B231" s="15"/>
      <c r="C231">
        <v>25</v>
      </c>
      <c r="D231">
        <v>210</v>
      </c>
      <c r="E231">
        <v>70</v>
      </c>
      <c r="F231">
        <v>729.2</v>
      </c>
      <c r="G231">
        <v>1087.2</v>
      </c>
      <c r="H231">
        <v>0</v>
      </c>
      <c r="I231">
        <v>0</v>
      </c>
      <c r="J231">
        <v>176.6</v>
      </c>
      <c r="K231">
        <v>14</v>
      </c>
      <c r="L231" s="10">
        <v>20.420000000000002</v>
      </c>
      <c r="M231" s="2">
        <f t="shared" si="6"/>
        <v>242.03835999999998</v>
      </c>
      <c r="N231" s="2">
        <f t="shared" si="7"/>
        <v>108.73049999999999</v>
      </c>
      <c r="O231">
        <v>0</v>
      </c>
    </row>
    <row r="232" spans="1:15" x14ac:dyDescent="0.25">
      <c r="A232" s="15"/>
      <c r="B232" s="15"/>
      <c r="C232">
        <v>25</v>
      </c>
      <c r="D232">
        <v>210</v>
      </c>
      <c r="E232">
        <v>70</v>
      </c>
      <c r="F232">
        <v>729.2</v>
      </c>
      <c r="G232">
        <v>1087.2</v>
      </c>
      <c r="H232">
        <v>0</v>
      </c>
      <c r="I232">
        <v>0</v>
      </c>
      <c r="J232">
        <v>176.6</v>
      </c>
      <c r="K232">
        <v>21</v>
      </c>
      <c r="L232" s="10">
        <v>20.22</v>
      </c>
      <c r="M232" s="2">
        <f t="shared" si="6"/>
        <v>242.03835999999998</v>
      </c>
      <c r="N232" s="2">
        <f t="shared" si="7"/>
        <v>108.73049999999999</v>
      </c>
      <c r="O232">
        <v>0</v>
      </c>
    </row>
    <row r="233" spans="1:15" x14ac:dyDescent="0.25">
      <c r="A233" s="15"/>
      <c r="B233" s="15"/>
      <c r="C233">
        <v>25</v>
      </c>
      <c r="D233">
        <v>210</v>
      </c>
      <c r="E233">
        <v>70</v>
      </c>
      <c r="F233">
        <v>729.2</v>
      </c>
      <c r="G233">
        <v>1087.2</v>
      </c>
      <c r="H233">
        <v>0</v>
      </c>
      <c r="I233">
        <v>0</v>
      </c>
      <c r="J233">
        <v>176.6</v>
      </c>
      <c r="K233">
        <v>56</v>
      </c>
      <c r="L233" s="10">
        <v>21.05</v>
      </c>
      <c r="M233" s="2">
        <f t="shared" si="6"/>
        <v>242.03835999999998</v>
      </c>
      <c r="N233" s="2">
        <f t="shared" si="7"/>
        <v>108.73049999999999</v>
      </c>
      <c r="O233">
        <v>0</v>
      </c>
    </row>
    <row r="234" spans="1:15" x14ac:dyDescent="0.25">
      <c r="A234" s="15"/>
      <c r="B234" s="15"/>
      <c r="C234">
        <v>25</v>
      </c>
      <c r="D234">
        <v>210</v>
      </c>
      <c r="E234">
        <v>70</v>
      </c>
      <c r="F234">
        <v>729.2</v>
      </c>
      <c r="G234">
        <v>1087.2</v>
      </c>
      <c r="H234">
        <v>0</v>
      </c>
      <c r="I234">
        <v>0</v>
      </c>
      <c r="J234">
        <v>176.6</v>
      </c>
      <c r="K234">
        <v>90</v>
      </c>
      <c r="L234" s="10">
        <v>24.56</v>
      </c>
      <c r="M234" s="2">
        <f t="shared" si="6"/>
        <v>242.03835999999998</v>
      </c>
      <c r="N234" s="2">
        <f t="shared" si="7"/>
        <v>108.73049999999999</v>
      </c>
      <c r="O234">
        <v>0</v>
      </c>
    </row>
    <row r="235" spans="1:15" x14ac:dyDescent="0.25">
      <c r="A235" s="15"/>
      <c r="B235" s="15"/>
      <c r="C235">
        <v>30</v>
      </c>
      <c r="D235">
        <v>196</v>
      </c>
      <c r="E235">
        <v>84</v>
      </c>
      <c r="F235">
        <v>729.2</v>
      </c>
      <c r="G235">
        <v>1087.2</v>
      </c>
      <c r="H235">
        <v>0</v>
      </c>
      <c r="I235">
        <v>0</v>
      </c>
      <c r="J235">
        <v>176.6</v>
      </c>
      <c r="K235">
        <v>14</v>
      </c>
      <c r="L235" s="10">
        <v>18.170000000000002</v>
      </c>
      <c r="M235" s="2">
        <f t="shared" si="6"/>
        <v>231.95836</v>
      </c>
      <c r="N235" s="2">
        <f t="shared" si="7"/>
        <v>103.48049999999999</v>
      </c>
      <c r="O235">
        <v>0</v>
      </c>
    </row>
    <row r="236" spans="1:15" x14ac:dyDescent="0.25">
      <c r="A236" s="15"/>
      <c r="B236" s="15"/>
      <c r="C236">
        <v>30</v>
      </c>
      <c r="D236">
        <v>196</v>
      </c>
      <c r="E236">
        <v>84</v>
      </c>
      <c r="F236">
        <v>729.2</v>
      </c>
      <c r="G236">
        <v>1087.2</v>
      </c>
      <c r="H236">
        <v>0</v>
      </c>
      <c r="I236">
        <v>0</v>
      </c>
      <c r="J236">
        <v>176.6</v>
      </c>
      <c r="K236">
        <v>21</v>
      </c>
      <c r="L236" s="10">
        <v>22.12</v>
      </c>
      <c r="M236" s="2">
        <f t="shared" si="6"/>
        <v>231.95836</v>
      </c>
      <c r="N236" s="2">
        <f t="shared" si="7"/>
        <v>103.48049999999999</v>
      </c>
      <c r="O236">
        <v>0</v>
      </c>
    </row>
    <row r="237" spans="1:15" x14ac:dyDescent="0.25">
      <c r="A237" s="15"/>
      <c r="B237" s="15"/>
      <c r="C237">
        <v>30</v>
      </c>
      <c r="D237">
        <v>196</v>
      </c>
      <c r="E237">
        <v>84</v>
      </c>
      <c r="F237">
        <v>729.2</v>
      </c>
      <c r="G237">
        <v>1087.2</v>
      </c>
      <c r="H237">
        <v>0</v>
      </c>
      <c r="I237">
        <v>0</v>
      </c>
      <c r="J237">
        <v>176.6</v>
      </c>
      <c r="K237">
        <v>56</v>
      </c>
      <c r="L237" s="10">
        <v>19.79</v>
      </c>
      <c r="M237" s="2">
        <f t="shared" si="6"/>
        <v>231.95836</v>
      </c>
      <c r="N237" s="2">
        <f t="shared" si="7"/>
        <v>103.48049999999999</v>
      </c>
      <c r="O237">
        <v>0</v>
      </c>
    </row>
    <row r="238" spans="1:15" x14ac:dyDescent="0.25">
      <c r="A238" s="15"/>
      <c r="B238" s="15"/>
      <c r="C238">
        <v>30</v>
      </c>
      <c r="D238">
        <v>196</v>
      </c>
      <c r="E238">
        <v>84</v>
      </c>
      <c r="F238">
        <v>729.2</v>
      </c>
      <c r="G238">
        <v>1087.2</v>
      </c>
      <c r="H238">
        <v>0</v>
      </c>
      <c r="I238">
        <v>0</v>
      </c>
      <c r="J238">
        <v>176.6</v>
      </c>
      <c r="K238">
        <v>90</v>
      </c>
      <c r="L238" s="10">
        <v>23.24</v>
      </c>
      <c r="M238" s="2">
        <f t="shared" si="6"/>
        <v>231.95836</v>
      </c>
      <c r="N238" s="2">
        <f t="shared" si="7"/>
        <v>103.48049999999999</v>
      </c>
      <c r="O238">
        <v>0</v>
      </c>
    </row>
    <row r="239" spans="1:15" x14ac:dyDescent="0.25">
      <c r="A239" s="15"/>
      <c r="B239" s="15"/>
      <c r="C239">
        <v>35</v>
      </c>
      <c r="D239">
        <v>182</v>
      </c>
      <c r="E239">
        <v>98</v>
      </c>
      <c r="F239">
        <v>729.2</v>
      </c>
      <c r="G239">
        <v>1087.2</v>
      </c>
      <c r="H239">
        <v>0</v>
      </c>
      <c r="I239">
        <v>0</v>
      </c>
      <c r="J239">
        <v>176.6</v>
      </c>
      <c r="K239">
        <v>14</v>
      </c>
      <c r="L239" s="10">
        <v>21.54</v>
      </c>
      <c r="M239" s="2">
        <f t="shared" si="6"/>
        <v>221.87836000000001</v>
      </c>
      <c r="N239" s="2">
        <f t="shared" si="7"/>
        <v>98.230499999999992</v>
      </c>
      <c r="O239">
        <v>0</v>
      </c>
    </row>
    <row r="240" spans="1:15" x14ac:dyDescent="0.25">
      <c r="A240" s="15"/>
      <c r="B240" s="15"/>
      <c r="C240">
        <v>35</v>
      </c>
      <c r="D240">
        <v>182</v>
      </c>
      <c r="E240">
        <v>98</v>
      </c>
      <c r="F240">
        <v>729.2</v>
      </c>
      <c r="G240">
        <v>1087.2</v>
      </c>
      <c r="H240">
        <v>0</v>
      </c>
      <c r="I240">
        <v>0</v>
      </c>
      <c r="J240">
        <v>176.6</v>
      </c>
      <c r="K240">
        <v>21</v>
      </c>
      <c r="L240" s="10">
        <v>19.88</v>
      </c>
      <c r="M240" s="2">
        <f t="shared" si="6"/>
        <v>221.87836000000001</v>
      </c>
      <c r="N240" s="2">
        <f t="shared" si="7"/>
        <v>98.230499999999992</v>
      </c>
      <c r="O240">
        <v>0</v>
      </c>
    </row>
    <row r="241" spans="1:15" x14ac:dyDescent="0.25">
      <c r="A241" s="15"/>
      <c r="B241" s="15"/>
      <c r="C241">
        <v>35</v>
      </c>
      <c r="D241">
        <v>182</v>
      </c>
      <c r="E241">
        <v>98</v>
      </c>
      <c r="F241">
        <v>729.2</v>
      </c>
      <c r="G241">
        <v>1087.2</v>
      </c>
      <c r="H241">
        <v>0</v>
      </c>
      <c r="I241">
        <v>0</v>
      </c>
      <c r="J241">
        <v>176.6</v>
      </c>
      <c r="K241">
        <v>56</v>
      </c>
      <c r="L241" s="10">
        <v>21.21</v>
      </c>
      <c r="M241" s="2">
        <f t="shared" si="6"/>
        <v>221.87836000000001</v>
      </c>
      <c r="N241" s="2">
        <f t="shared" si="7"/>
        <v>98.230499999999992</v>
      </c>
      <c r="O241">
        <v>0</v>
      </c>
    </row>
    <row r="242" spans="1:15" x14ac:dyDescent="0.25">
      <c r="A242" s="15"/>
      <c r="B242" s="15"/>
      <c r="C242">
        <v>35</v>
      </c>
      <c r="D242">
        <v>182</v>
      </c>
      <c r="E242">
        <v>98</v>
      </c>
      <c r="F242">
        <v>729.2</v>
      </c>
      <c r="G242">
        <v>1087.2</v>
      </c>
      <c r="H242">
        <v>0</v>
      </c>
      <c r="I242">
        <v>0</v>
      </c>
      <c r="J242">
        <v>176.6</v>
      </c>
      <c r="K242">
        <v>90</v>
      </c>
      <c r="L242" s="10">
        <v>19.68</v>
      </c>
      <c r="M242" s="2">
        <f t="shared" si="6"/>
        <v>221.87836000000001</v>
      </c>
      <c r="N242" s="2">
        <f t="shared" si="7"/>
        <v>98.230499999999992</v>
      </c>
      <c r="O242">
        <v>0</v>
      </c>
    </row>
    <row r="243" spans="1:15" x14ac:dyDescent="0.25">
      <c r="A243" s="15"/>
      <c r="B243" s="15"/>
      <c r="C243">
        <v>40</v>
      </c>
      <c r="D243">
        <v>168</v>
      </c>
      <c r="E243">
        <v>112</v>
      </c>
      <c r="F243">
        <v>729.2</v>
      </c>
      <c r="G243">
        <v>1087.2</v>
      </c>
      <c r="H243">
        <v>0</v>
      </c>
      <c r="I243">
        <v>0</v>
      </c>
      <c r="J243">
        <v>176.6</v>
      </c>
      <c r="K243">
        <v>14</v>
      </c>
      <c r="L243" s="10">
        <v>17.829999999999998</v>
      </c>
      <c r="M243" s="2">
        <f t="shared" si="6"/>
        <v>211.79835999999997</v>
      </c>
      <c r="N243" s="2">
        <f t="shared" si="7"/>
        <v>92.980499999999992</v>
      </c>
      <c r="O243">
        <v>0</v>
      </c>
    </row>
    <row r="244" spans="1:15" x14ac:dyDescent="0.25">
      <c r="A244" s="15"/>
      <c r="B244" s="15"/>
      <c r="C244">
        <v>40</v>
      </c>
      <c r="D244">
        <v>168</v>
      </c>
      <c r="E244">
        <v>112</v>
      </c>
      <c r="F244">
        <v>729.2</v>
      </c>
      <c r="G244">
        <v>1087.2</v>
      </c>
      <c r="H244">
        <v>0</v>
      </c>
      <c r="I244">
        <v>0</v>
      </c>
      <c r="J244">
        <v>176.6</v>
      </c>
      <c r="K244">
        <v>21</v>
      </c>
      <c r="L244" s="10">
        <v>20.64</v>
      </c>
      <c r="M244" s="2">
        <f t="shared" si="6"/>
        <v>211.79835999999997</v>
      </c>
      <c r="N244" s="2">
        <f t="shared" si="7"/>
        <v>92.980499999999992</v>
      </c>
      <c r="O244">
        <v>0</v>
      </c>
    </row>
    <row r="245" spans="1:15" x14ac:dyDescent="0.25">
      <c r="A245" s="15"/>
      <c r="B245" s="15"/>
      <c r="C245">
        <v>40</v>
      </c>
      <c r="D245">
        <v>168</v>
      </c>
      <c r="E245">
        <v>112</v>
      </c>
      <c r="F245">
        <v>729.2</v>
      </c>
      <c r="G245">
        <v>1087.2</v>
      </c>
      <c r="H245">
        <v>0</v>
      </c>
      <c r="I245">
        <v>0</v>
      </c>
      <c r="J245">
        <v>176.6</v>
      </c>
      <c r="K245">
        <v>56</v>
      </c>
      <c r="L245" s="10">
        <v>23.78</v>
      </c>
      <c r="M245" s="2">
        <f t="shared" si="6"/>
        <v>211.79835999999997</v>
      </c>
      <c r="N245" s="2">
        <f t="shared" si="7"/>
        <v>92.980499999999992</v>
      </c>
      <c r="O245">
        <v>0</v>
      </c>
    </row>
    <row r="246" spans="1:15" x14ac:dyDescent="0.25">
      <c r="A246" s="15"/>
      <c r="B246" s="15"/>
      <c r="C246">
        <v>40</v>
      </c>
      <c r="D246">
        <v>168</v>
      </c>
      <c r="E246">
        <v>112</v>
      </c>
      <c r="F246">
        <v>729.2</v>
      </c>
      <c r="G246">
        <v>1087.2</v>
      </c>
      <c r="H246">
        <v>0</v>
      </c>
      <c r="I246">
        <v>0</v>
      </c>
      <c r="J246">
        <v>176.6</v>
      </c>
      <c r="K246">
        <v>90</v>
      </c>
      <c r="L246" s="10">
        <v>22.19</v>
      </c>
      <c r="M246" s="2">
        <f t="shared" si="6"/>
        <v>211.79835999999997</v>
      </c>
      <c r="N246" s="2">
        <f t="shared" si="7"/>
        <v>92.980499999999992</v>
      </c>
      <c r="O246">
        <v>0</v>
      </c>
    </row>
    <row r="247" spans="1:15" x14ac:dyDescent="0.25">
      <c r="A247" s="15"/>
      <c r="B247" s="15"/>
      <c r="C247">
        <v>45</v>
      </c>
      <c r="D247">
        <v>154</v>
      </c>
      <c r="E247">
        <v>126</v>
      </c>
      <c r="F247">
        <v>729.2</v>
      </c>
      <c r="G247">
        <v>1087.2</v>
      </c>
      <c r="H247">
        <v>0</v>
      </c>
      <c r="I247">
        <v>0</v>
      </c>
      <c r="J247">
        <v>176.6</v>
      </c>
      <c r="K247">
        <v>14</v>
      </c>
      <c r="L247" s="10">
        <v>14.79</v>
      </c>
      <c r="M247" s="2">
        <f t="shared" si="6"/>
        <v>201.71835999999999</v>
      </c>
      <c r="N247" s="2">
        <f t="shared" si="7"/>
        <v>87.730499999999992</v>
      </c>
      <c r="O247">
        <v>0</v>
      </c>
    </row>
    <row r="248" spans="1:15" x14ac:dyDescent="0.25">
      <c r="A248" s="15"/>
      <c r="B248" s="15"/>
      <c r="C248">
        <v>45</v>
      </c>
      <c r="D248">
        <v>154</v>
      </c>
      <c r="E248">
        <v>126</v>
      </c>
      <c r="F248">
        <v>729.2</v>
      </c>
      <c r="G248">
        <v>1087.2</v>
      </c>
      <c r="H248">
        <v>0</v>
      </c>
      <c r="I248">
        <v>0</v>
      </c>
      <c r="J248">
        <v>176.6</v>
      </c>
      <c r="K248">
        <v>21</v>
      </c>
      <c r="L248" s="10">
        <v>22.48</v>
      </c>
      <c r="M248" s="2">
        <f t="shared" si="6"/>
        <v>201.71835999999999</v>
      </c>
      <c r="N248" s="2">
        <f t="shared" si="7"/>
        <v>87.730499999999992</v>
      </c>
      <c r="O248">
        <v>0</v>
      </c>
    </row>
    <row r="249" spans="1:15" x14ac:dyDescent="0.25">
      <c r="A249" s="15"/>
      <c r="B249" s="15"/>
      <c r="C249">
        <v>45</v>
      </c>
      <c r="D249">
        <v>154</v>
      </c>
      <c r="E249">
        <v>126</v>
      </c>
      <c r="F249">
        <v>729.2</v>
      </c>
      <c r="G249">
        <v>1087.2</v>
      </c>
      <c r="H249">
        <v>0</v>
      </c>
      <c r="I249">
        <v>0</v>
      </c>
      <c r="J249">
        <v>176.6</v>
      </c>
      <c r="K249">
        <v>56</v>
      </c>
      <c r="L249" s="10">
        <v>21.02</v>
      </c>
      <c r="M249" s="2">
        <f t="shared" si="6"/>
        <v>201.71835999999999</v>
      </c>
      <c r="N249" s="2">
        <f t="shared" si="7"/>
        <v>87.730499999999992</v>
      </c>
      <c r="O249">
        <v>0</v>
      </c>
    </row>
    <row r="250" spans="1:15" x14ac:dyDescent="0.25">
      <c r="A250" s="15"/>
      <c r="B250" s="15"/>
      <c r="C250">
        <v>45</v>
      </c>
      <c r="D250">
        <v>154</v>
      </c>
      <c r="E250">
        <v>126</v>
      </c>
      <c r="F250">
        <v>729.2</v>
      </c>
      <c r="G250">
        <v>1087.2</v>
      </c>
      <c r="H250">
        <v>0</v>
      </c>
      <c r="I250">
        <v>0</v>
      </c>
      <c r="J250">
        <v>176.6</v>
      </c>
      <c r="K250">
        <v>90</v>
      </c>
      <c r="L250" s="10">
        <v>19.63</v>
      </c>
      <c r="M250" s="2">
        <f t="shared" si="6"/>
        <v>201.71835999999999</v>
      </c>
      <c r="N250" s="2">
        <f t="shared" si="7"/>
        <v>87.730499999999992</v>
      </c>
      <c r="O250">
        <v>0</v>
      </c>
    </row>
    <row r="251" spans="1:15" x14ac:dyDescent="0.25">
      <c r="A251" s="15"/>
      <c r="B251" s="15"/>
      <c r="C251">
        <v>50</v>
      </c>
      <c r="D251">
        <v>140</v>
      </c>
      <c r="E251">
        <v>140</v>
      </c>
      <c r="F251">
        <v>729.2</v>
      </c>
      <c r="G251">
        <v>1087.2</v>
      </c>
      <c r="H251">
        <v>0</v>
      </c>
      <c r="I251">
        <v>0</v>
      </c>
      <c r="J251">
        <v>176.6</v>
      </c>
      <c r="K251">
        <v>14</v>
      </c>
      <c r="L251" s="10">
        <v>14.83</v>
      </c>
      <c r="M251" s="2">
        <f t="shared" si="6"/>
        <v>191.63836000000001</v>
      </c>
      <c r="N251" s="2">
        <f t="shared" si="7"/>
        <v>82.480499999999992</v>
      </c>
      <c r="O251">
        <v>0</v>
      </c>
    </row>
    <row r="252" spans="1:15" x14ac:dyDescent="0.25">
      <c r="A252" s="15"/>
      <c r="B252" s="15"/>
      <c r="C252">
        <v>50</v>
      </c>
      <c r="D252">
        <v>140</v>
      </c>
      <c r="E252">
        <v>140</v>
      </c>
      <c r="F252">
        <v>729.2</v>
      </c>
      <c r="G252">
        <v>1087.2</v>
      </c>
      <c r="H252">
        <v>0</v>
      </c>
      <c r="I252">
        <v>0</v>
      </c>
      <c r="J252">
        <v>176.6</v>
      </c>
      <c r="K252">
        <v>21</v>
      </c>
      <c r="L252" s="10">
        <v>20.51</v>
      </c>
      <c r="M252" s="2">
        <f t="shared" si="6"/>
        <v>191.63836000000001</v>
      </c>
      <c r="N252" s="2">
        <f t="shared" si="7"/>
        <v>82.480499999999992</v>
      </c>
      <c r="O252">
        <v>0</v>
      </c>
    </row>
    <row r="253" spans="1:15" x14ac:dyDescent="0.25">
      <c r="A253" s="15"/>
      <c r="B253" s="15"/>
      <c r="C253">
        <v>50</v>
      </c>
      <c r="D253">
        <v>140</v>
      </c>
      <c r="E253">
        <v>140</v>
      </c>
      <c r="F253">
        <v>729.2</v>
      </c>
      <c r="G253">
        <v>1087.2</v>
      </c>
      <c r="H253">
        <v>0</v>
      </c>
      <c r="I253">
        <v>0</v>
      </c>
      <c r="J253">
        <v>176.6</v>
      </c>
      <c r="K253">
        <v>56</v>
      </c>
      <c r="L253" s="10">
        <v>18.489999999999998</v>
      </c>
      <c r="M253" s="2">
        <f t="shared" si="6"/>
        <v>191.63836000000001</v>
      </c>
      <c r="N253" s="2">
        <f t="shared" si="7"/>
        <v>82.480499999999992</v>
      </c>
      <c r="O253">
        <v>0</v>
      </c>
    </row>
    <row r="254" spans="1:15" x14ac:dyDescent="0.25">
      <c r="A254" s="15"/>
      <c r="B254" s="15"/>
      <c r="C254">
        <v>50</v>
      </c>
      <c r="D254">
        <v>140</v>
      </c>
      <c r="E254">
        <v>140</v>
      </c>
      <c r="F254">
        <v>729.2</v>
      </c>
      <c r="G254">
        <v>1087.2</v>
      </c>
      <c r="H254">
        <v>0</v>
      </c>
      <c r="I254">
        <v>0</v>
      </c>
      <c r="J254">
        <v>176.6</v>
      </c>
      <c r="K254">
        <v>90</v>
      </c>
      <c r="L254" s="10">
        <v>17.95</v>
      </c>
      <c r="M254" s="2">
        <f t="shared" si="6"/>
        <v>191.63836000000001</v>
      </c>
      <c r="N254" s="2">
        <f t="shared" si="7"/>
        <v>82.480499999999992</v>
      </c>
      <c r="O254">
        <v>0</v>
      </c>
    </row>
    <row r="255" spans="1:15" x14ac:dyDescent="0.25">
      <c r="A255" s="15" t="s">
        <v>67</v>
      </c>
      <c r="B255" s="15" t="s">
        <v>68</v>
      </c>
      <c r="C255">
        <v>0</v>
      </c>
      <c r="D255">
        <v>328</v>
      </c>
      <c r="E255">
        <v>0</v>
      </c>
      <c r="F255">
        <v>765</v>
      </c>
      <c r="G255">
        <v>1148</v>
      </c>
      <c r="H255">
        <v>0</v>
      </c>
      <c r="I255">
        <v>0</v>
      </c>
      <c r="J255">
        <v>190</v>
      </c>
      <c r="K255">
        <v>14</v>
      </c>
      <c r="L255" s="10">
        <v>22.87</v>
      </c>
      <c r="M255" s="2">
        <f t="shared" si="6"/>
        <v>335.56670000000003</v>
      </c>
      <c r="N255" s="2">
        <f t="shared" si="7"/>
        <v>154.56375</v>
      </c>
      <c r="O255">
        <v>0</v>
      </c>
    </row>
    <row r="256" spans="1:15" x14ac:dyDescent="0.25">
      <c r="A256" s="15"/>
      <c r="B256" s="15"/>
      <c r="C256">
        <v>0</v>
      </c>
      <c r="D256">
        <v>328</v>
      </c>
      <c r="E256">
        <v>0</v>
      </c>
      <c r="F256">
        <v>765</v>
      </c>
      <c r="G256">
        <v>1148</v>
      </c>
      <c r="H256">
        <v>0</v>
      </c>
      <c r="I256">
        <v>0</v>
      </c>
      <c r="J256">
        <v>190</v>
      </c>
      <c r="K256">
        <v>28</v>
      </c>
      <c r="L256" s="10">
        <v>25.8</v>
      </c>
      <c r="M256" s="2">
        <f t="shared" si="6"/>
        <v>335.56670000000003</v>
      </c>
      <c r="N256" s="2">
        <f t="shared" si="7"/>
        <v>154.56375</v>
      </c>
      <c r="O256">
        <v>0</v>
      </c>
    </row>
    <row r="257" spans="1:15" x14ac:dyDescent="0.25">
      <c r="A257" s="15"/>
      <c r="B257" s="15"/>
      <c r="C257">
        <v>0</v>
      </c>
      <c r="D257">
        <v>328</v>
      </c>
      <c r="E257">
        <v>0</v>
      </c>
      <c r="F257">
        <v>765</v>
      </c>
      <c r="G257">
        <v>1148</v>
      </c>
      <c r="H257">
        <v>0</v>
      </c>
      <c r="I257">
        <v>0</v>
      </c>
      <c r="J257">
        <v>190</v>
      </c>
      <c r="K257">
        <v>56</v>
      </c>
      <c r="L257" s="10">
        <v>27.02</v>
      </c>
      <c r="M257" s="2">
        <f t="shared" si="6"/>
        <v>335.56670000000003</v>
      </c>
      <c r="N257" s="2">
        <f t="shared" si="7"/>
        <v>154.56375</v>
      </c>
      <c r="O257">
        <v>0</v>
      </c>
    </row>
    <row r="258" spans="1:15" x14ac:dyDescent="0.25">
      <c r="A258" s="15"/>
      <c r="B258" s="15"/>
      <c r="C258">
        <v>0</v>
      </c>
      <c r="D258">
        <v>328</v>
      </c>
      <c r="E258">
        <v>0</v>
      </c>
      <c r="F258">
        <v>765</v>
      </c>
      <c r="G258">
        <v>1148</v>
      </c>
      <c r="H258">
        <v>0</v>
      </c>
      <c r="I258">
        <v>0</v>
      </c>
      <c r="J258">
        <v>190</v>
      </c>
      <c r="K258">
        <v>90</v>
      </c>
      <c r="L258" s="10">
        <v>28.68</v>
      </c>
      <c r="M258" s="2">
        <f t="shared" ref="M258:M321" si="8">SUM((D258*0.83)+(E258*0.11)+(F258*0.0139)+(G258*0.0459)+(I258*2))</f>
        <v>335.56670000000003</v>
      </c>
      <c r="N258" s="2">
        <f t="shared" si="7"/>
        <v>154.56375</v>
      </c>
      <c r="O258">
        <v>0</v>
      </c>
    </row>
    <row r="259" spans="1:15" x14ac:dyDescent="0.25">
      <c r="A259" s="15"/>
      <c r="B259" s="15"/>
      <c r="C259">
        <v>5</v>
      </c>
      <c r="D259">
        <v>311.60000000000002</v>
      </c>
      <c r="E259">
        <v>16.399999999999999</v>
      </c>
      <c r="F259">
        <v>765</v>
      </c>
      <c r="G259">
        <v>1148</v>
      </c>
      <c r="H259">
        <v>0</v>
      </c>
      <c r="I259">
        <v>0</v>
      </c>
      <c r="J259">
        <v>190</v>
      </c>
      <c r="K259">
        <v>14</v>
      </c>
      <c r="L259" s="10">
        <v>22.15</v>
      </c>
      <c r="M259" s="2">
        <f t="shared" si="8"/>
        <v>323.75869999999998</v>
      </c>
      <c r="N259" s="2">
        <f t="shared" ref="N259:N322" si="9">SUM((D259*5)+((F259*0.25)+(G259*0.2)+(I259*20)))*0.075</f>
        <v>148.41374999999999</v>
      </c>
      <c r="O259">
        <v>0</v>
      </c>
    </row>
    <row r="260" spans="1:15" x14ac:dyDescent="0.25">
      <c r="A260" s="15"/>
      <c r="B260" s="15"/>
      <c r="C260">
        <v>5</v>
      </c>
      <c r="D260">
        <v>311.60000000000002</v>
      </c>
      <c r="E260">
        <v>16.399999999999999</v>
      </c>
      <c r="F260">
        <v>765</v>
      </c>
      <c r="G260">
        <v>1148</v>
      </c>
      <c r="H260">
        <v>0</v>
      </c>
      <c r="I260">
        <v>0</v>
      </c>
      <c r="J260">
        <v>190</v>
      </c>
      <c r="K260">
        <v>28</v>
      </c>
      <c r="L260" s="10">
        <v>24.22</v>
      </c>
      <c r="M260" s="2">
        <f t="shared" si="8"/>
        <v>323.75869999999998</v>
      </c>
      <c r="N260" s="2">
        <f t="shared" si="9"/>
        <v>148.41374999999999</v>
      </c>
      <c r="O260">
        <v>0</v>
      </c>
    </row>
    <row r="261" spans="1:15" x14ac:dyDescent="0.25">
      <c r="A261" s="15"/>
      <c r="B261" s="15"/>
      <c r="C261">
        <v>5</v>
      </c>
      <c r="D261">
        <v>311.60000000000002</v>
      </c>
      <c r="E261">
        <v>16.399999999999999</v>
      </c>
      <c r="F261">
        <v>765</v>
      </c>
      <c r="G261">
        <v>1148</v>
      </c>
      <c r="H261">
        <v>0</v>
      </c>
      <c r="I261">
        <v>0</v>
      </c>
      <c r="J261">
        <v>190</v>
      </c>
      <c r="K261">
        <v>56</v>
      </c>
      <c r="L261" s="10">
        <v>31.14</v>
      </c>
      <c r="M261" s="2">
        <f t="shared" si="8"/>
        <v>323.75869999999998</v>
      </c>
      <c r="N261" s="2">
        <f t="shared" si="9"/>
        <v>148.41374999999999</v>
      </c>
      <c r="O261">
        <v>0</v>
      </c>
    </row>
    <row r="262" spans="1:15" x14ac:dyDescent="0.25">
      <c r="A262" s="15"/>
      <c r="B262" s="15"/>
      <c r="C262">
        <v>5</v>
      </c>
      <c r="D262">
        <v>311.60000000000002</v>
      </c>
      <c r="E262">
        <v>16.399999999999999</v>
      </c>
      <c r="F262">
        <v>765</v>
      </c>
      <c r="G262">
        <v>1148</v>
      </c>
      <c r="H262">
        <v>0</v>
      </c>
      <c r="I262">
        <v>0</v>
      </c>
      <c r="J262">
        <v>190</v>
      </c>
      <c r="K262">
        <v>90</v>
      </c>
      <c r="L262" s="10">
        <v>24.62</v>
      </c>
      <c r="M262" s="2">
        <f t="shared" si="8"/>
        <v>323.75869999999998</v>
      </c>
      <c r="N262" s="2">
        <f t="shared" si="9"/>
        <v>148.41374999999999</v>
      </c>
      <c r="O262">
        <v>0</v>
      </c>
    </row>
    <row r="263" spans="1:15" x14ac:dyDescent="0.25">
      <c r="A263" s="15"/>
      <c r="B263" s="15"/>
      <c r="C263">
        <v>10</v>
      </c>
      <c r="D263">
        <v>295.2</v>
      </c>
      <c r="E263">
        <v>32.799999999999997</v>
      </c>
      <c r="F263">
        <v>765</v>
      </c>
      <c r="G263">
        <v>1148</v>
      </c>
      <c r="H263">
        <v>0</v>
      </c>
      <c r="I263">
        <v>0</v>
      </c>
      <c r="J263">
        <v>190</v>
      </c>
      <c r="K263">
        <v>14</v>
      </c>
      <c r="L263" s="10">
        <v>22.41</v>
      </c>
      <c r="M263" s="2">
        <f t="shared" si="8"/>
        <v>311.95069999999998</v>
      </c>
      <c r="N263" s="2">
        <f t="shared" si="9"/>
        <v>142.26374999999999</v>
      </c>
      <c r="O263">
        <v>0</v>
      </c>
    </row>
    <row r="264" spans="1:15" x14ac:dyDescent="0.25">
      <c r="A264" s="15"/>
      <c r="B264" s="15"/>
      <c r="C264">
        <v>10</v>
      </c>
      <c r="D264">
        <v>295.2</v>
      </c>
      <c r="E264">
        <v>32.799999999999997</v>
      </c>
      <c r="F264">
        <v>765</v>
      </c>
      <c r="G264">
        <v>1148</v>
      </c>
      <c r="H264">
        <v>0</v>
      </c>
      <c r="I264">
        <v>0</v>
      </c>
      <c r="J264">
        <v>190</v>
      </c>
      <c r="K264">
        <v>28</v>
      </c>
      <c r="L264" s="10">
        <v>22.13</v>
      </c>
      <c r="M264" s="2">
        <f t="shared" si="8"/>
        <v>311.95069999999998</v>
      </c>
      <c r="N264" s="2">
        <f t="shared" si="9"/>
        <v>142.26374999999999</v>
      </c>
      <c r="O264">
        <v>0</v>
      </c>
    </row>
    <row r="265" spans="1:15" x14ac:dyDescent="0.25">
      <c r="A265" s="15"/>
      <c r="B265" s="15"/>
      <c r="C265">
        <v>10</v>
      </c>
      <c r="D265">
        <v>295.2</v>
      </c>
      <c r="E265">
        <v>32.799999999999997</v>
      </c>
      <c r="F265">
        <v>765</v>
      </c>
      <c r="G265">
        <v>1148</v>
      </c>
      <c r="H265">
        <v>0</v>
      </c>
      <c r="I265">
        <v>0</v>
      </c>
      <c r="J265">
        <v>190</v>
      </c>
      <c r="K265">
        <v>56</v>
      </c>
      <c r="L265" s="10">
        <v>26.88</v>
      </c>
      <c r="M265" s="2">
        <f t="shared" si="8"/>
        <v>311.95069999999998</v>
      </c>
      <c r="N265" s="2">
        <f t="shared" si="9"/>
        <v>142.26374999999999</v>
      </c>
      <c r="O265">
        <v>0</v>
      </c>
    </row>
    <row r="266" spans="1:15" x14ac:dyDescent="0.25">
      <c r="A266" s="15"/>
      <c r="B266" s="15"/>
      <c r="C266">
        <v>10</v>
      </c>
      <c r="D266">
        <v>295.2</v>
      </c>
      <c r="E266">
        <v>32.799999999999997</v>
      </c>
      <c r="F266">
        <v>765</v>
      </c>
      <c r="G266">
        <v>1148</v>
      </c>
      <c r="H266">
        <v>0</v>
      </c>
      <c r="I266">
        <v>0</v>
      </c>
      <c r="J266">
        <v>190</v>
      </c>
      <c r="K266">
        <v>90</v>
      </c>
      <c r="L266" s="10">
        <v>25.71</v>
      </c>
      <c r="M266" s="2">
        <f t="shared" si="8"/>
        <v>311.95069999999998</v>
      </c>
      <c r="N266" s="2">
        <f t="shared" si="9"/>
        <v>142.26374999999999</v>
      </c>
      <c r="O266">
        <v>0</v>
      </c>
    </row>
    <row r="267" spans="1:15" x14ac:dyDescent="0.25">
      <c r="A267" s="15"/>
      <c r="B267" s="15"/>
      <c r="C267">
        <v>15</v>
      </c>
      <c r="D267">
        <v>278.8</v>
      </c>
      <c r="E267">
        <v>49.2</v>
      </c>
      <c r="F267">
        <v>765</v>
      </c>
      <c r="G267">
        <v>1148</v>
      </c>
      <c r="H267">
        <v>0</v>
      </c>
      <c r="I267">
        <v>0</v>
      </c>
      <c r="J267">
        <v>190</v>
      </c>
      <c r="K267">
        <v>14</v>
      </c>
      <c r="L267" s="10">
        <v>20.55</v>
      </c>
      <c r="M267" s="2">
        <f t="shared" si="8"/>
        <v>300.14269999999999</v>
      </c>
      <c r="N267" s="2">
        <f t="shared" si="9"/>
        <v>136.11374999999998</v>
      </c>
      <c r="O267">
        <v>0</v>
      </c>
    </row>
    <row r="268" spans="1:15" x14ac:dyDescent="0.25">
      <c r="A268" s="15"/>
      <c r="B268" s="15"/>
      <c r="C268">
        <v>15</v>
      </c>
      <c r="D268">
        <v>278.8</v>
      </c>
      <c r="E268">
        <v>49.2</v>
      </c>
      <c r="F268">
        <v>765</v>
      </c>
      <c r="G268">
        <v>1148</v>
      </c>
      <c r="H268">
        <v>0</v>
      </c>
      <c r="I268">
        <v>0</v>
      </c>
      <c r="J268">
        <v>190</v>
      </c>
      <c r="K268">
        <v>28</v>
      </c>
      <c r="L268" s="10">
        <v>21.2</v>
      </c>
      <c r="M268" s="2">
        <f t="shared" si="8"/>
        <v>300.14269999999999</v>
      </c>
      <c r="N268" s="2">
        <f t="shared" si="9"/>
        <v>136.11374999999998</v>
      </c>
      <c r="O268">
        <v>0</v>
      </c>
    </row>
    <row r="269" spans="1:15" x14ac:dyDescent="0.25">
      <c r="A269" s="15"/>
      <c r="B269" s="15"/>
      <c r="C269">
        <v>15</v>
      </c>
      <c r="D269">
        <v>278.8</v>
      </c>
      <c r="E269">
        <v>49.2</v>
      </c>
      <c r="F269">
        <v>765</v>
      </c>
      <c r="G269">
        <v>1148</v>
      </c>
      <c r="H269">
        <v>0</v>
      </c>
      <c r="I269">
        <v>0</v>
      </c>
      <c r="J269">
        <v>190</v>
      </c>
      <c r="K269">
        <v>56</v>
      </c>
      <c r="L269" s="10">
        <v>24.42</v>
      </c>
      <c r="M269" s="2">
        <f t="shared" si="8"/>
        <v>300.14269999999999</v>
      </c>
      <c r="N269" s="2">
        <f t="shared" si="9"/>
        <v>136.11374999999998</v>
      </c>
      <c r="O269">
        <v>0</v>
      </c>
    </row>
    <row r="270" spans="1:15" x14ac:dyDescent="0.25">
      <c r="A270" s="15"/>
      <c r="B270" s="15"/>
      <c r="C270">
        <v>15</v>
      </c>
      <c r="D270">
        <v>278.8</v>
      </c>
      <c r="E270">
        <v>49.2</v>
      </c>
      <c r="F270">
        <v>765</v>
      </c>
      <c r="G270">
        <v>1148</v>
      </c>
      <c r="H270">
        <v>0</v>
      </c>
      <c r="I270">
        <v>0</v>
      </c>
      <c r="J270">
        <v>190</v>
      </c>
      <c r="K270">
        <v>90</v>
      </c>
      <c r="L270" s="10">
        <v>25.93</v>
      </c>
      <c r="M270" s="2">
        <f t="shared" si="8"/>
        <v>300.14269999999999</v>
      </c>
      <c r="N270" s="2">
        <f t="shared" si="9"/>
        <v>136.11374999999998</v>
      </c>
      <c r="O270">
        <v>0</v>
      </c>
    </row>
    <row r="271" spans="1:15" x14ac:dyDescent="0.25">
      <c r="A271" s="15"/>
      <c r="B271" s="15"/>
      <c r="C271">
        <v>20</v>
      </c>
      <c r="D271">
        <v>262.39999999999998</v>
      </c>
      <c r="E271">
        <v>65.599999999999994</v>
      </c>
      <c r="F271">
        <v>765</v>
      </c>
      <c r="G271">
        <v>1148</v>
      </c>
      <c r="H271">
        <v>0</v>
      </c>
      <c r="I271">
        <v>0</v>
      </c>
      <c r="J271">
        <v>190</v>
      </c>
      <c r="K271">
        <v>14</v>
      </c>
      <c r="L271" s="10">
        <v>21.7</v>
      </c>
      <c r="M271" s="2">
        <f t="shared" si="8"/>
        <v>288.3347</v>
      </c>
      <c r="N271" s="2">
        <f t="shared" si="9"/>
        <v>129.96374999999998</v>
      </c>
      <c r="O271">
        <v>0</v>
      </c>
    </row>
    <row r="272" spans="1:15" x14ac:dyDescent="0.25">
      <c r="A272" s="15"/>
      <c r="B272" s="15"/>
      <c r="C272">
        <v>20</v>
      </c>
      <c r="D272">
        <v>262.39999999999998</v>
      </c>
      <c r="E272">
        <v>65.599999999999994</v>
      </c>
      <c r="F272">
        <v>765</v>
      </c>
      <c r="G272">
        <v>1148</v>
      </c>
      <c r="H272">
        <v>0</v>
      </c>
      <c r="I272">
        <v>0</v>
      </c>
      <c r="J272">
        <v>190</v>
      </c>
      <c r="K272">
        <v>28</v>
      </c>
      <c r="L272" s="10">
        <v>22.73</v>
      </c>
      <c r="M272" s="2">
        <f t="shared" si="8"/>
        <v>288.3347</v>
      </c>
      <c r="N272" s="2">
        <f t="shared" si="9"/>
        <v>129.96374999999998</v>
      </c>
      <c r="O272">
        <v>0</v>
      </c>
    </row>
    <row r="273" spans="1:15" x14ac:dyDescent="0.25">
      <c r="A273" s="15"/>
      <c r="B273" s="15"/>
      <c r="C273">
        <v>20</v>
      </c>
      <c r="D273">
        <v>262.39999999999998</v>
      </c>
      <c r="E273">
        <v>65.599999999999994</v>
      </c>
      <c r="F273">
        <v>765</v>
      </c>
      <c r="G273">
        <v>1148</v>
      </c>
      <c r="H273">
        <v>0</v>
      </c>
      <c r="I273">
        <v>0</v>
      </c>
      <c r="J273">
        <v>190</v>
      </c>
      <c r="K273">
        <v>56</v>
      </c>
      <c r="L273" s="10">
        <v>23.74</v>
      </c>
      <c r="M273" s="2">
        <f t="shared" si="8"/>
        <v>288.3347</v>
      </c>
      <c r="N273" s="2">
        <f t="shared" si="9"/>
        <v>129.96374999999998</v>
      </c>
      <c r="O273">
        <v>0</v>
      </c>
    </row>
    <row r="274" spans="1:15" x14ac:dyDescent="0.25">
      <c r="A274" s="15"/>
      <c r="B274" s="15"/>
      <c r="C274">
        <v>20</v>
      </c>
      <c r="D274">
        <v>262.39999999999998</v>
      </c>
      <c r="E274">
        <v>65.599999999999994</v>
      </c>
      <c r="F274">
        <v>765</v>
      </c>
      <c r="G274">
        <v>1148</v>
      </c>
      <c r="H274">
        <v>0</v>
      </c>
      <c r="I274">
        <v>0</v>
      </c>
      <c r="J274">
        <v>190</v>
      </c>
      <c r="K274">
        <v>90</v>
      </c>
      <c r="L274" s="10">
        <v>26.34</v>
      </c>
      <c r="M274" s="2">
        <f t="shared" si="8"/>
        <v>288.3347</v>
      </c>
      <c r="N274" s="2">
        <f t="shared" si="9"/>
        <v>129.96374999999998</v>
      </c>
      <c r="O274">
        <v>0</v>
      </c>
    </row>
    <row r="275" spans="1:15" x14ac:dyDescent="0.25">
      <c r="A275" s="15"/>
      <c r="B275" s="15"/>
      <c r="C275">
        <v>25</v>
      </c>
      <c r="D275">
        <v>246</v>
      </c>
      <c r="E275">
        <v>82</v>
      </c>
      <c r="F275">
        <v>765</v>
      </c>
      <c r="G275">
        <v>1148</v>
      </c>
      <c r="H275">
        <v>0</v>
      </c>
      <c r="I275">
        <v>0</v>
      </c>
      <c r="J275">
        <v>190</v>
      </c>
      <c r="K275">
        <v>14</v>
      </c>
      <c r="L275" s="10">
        <v>18.010000000000002</v>
      </c>
      <c r="M275" s="2">
        <f t="shared" si="8"/>
        <v>276.52670000000001</v>
      </c>
      <c r="N275" s="2">
        <f t="shared" si="9"/>
        <v>123.81374999999998</v>
      </c>
      <c r="O275">
        <v>0</v>
      </c>
    </row>
    <row r="276" spans="1:15" x14ac:dyDescent="0.25">
      <c r="A276" s="15"/>
      <c r="B276" s="15"/>
      <c r="C276">
        <v>25</v>
      </c>
      <c r="D276">
        <v>246</v>
      </c>
      <c r="E276">
        <v>82</v>
      </c>
      <c r="F276">
        <v>765</v>
      </c>
      <c r="G276">
        <v>1148</v>
      </c>
      <c r="H276">
        <v>0</v>
      </c>
      <c r="I276">
        <v>0</v>
      </c>
      <c r="J276">
        <v>190</v>
      </c>
      <c r="K276">
        <v>28</v>
      </c>
      <c r="L276" s="10">
        <v>22.15</v>
      </c>
      <c r="M276" s="2">
        <f t="shared" si="8"/>
        <v>276.52670000000001</v>
      </c>
      <c r="N276" s="2">
        <f t="shared" si="9"/>
        <v>123.81374999999998</v>
      </c>
      <c r="O276">
        <v>0</v>
      </c>
    </row>
    <row r="277" spans="1:15" x14ac:dyDescent="0.25">
      <c r="A277" s="15"/>
      <c r="B277" s="15"/>
      <c r="C277">
        <v>25</v>
      </c>
      <c r="D277">
        <v>246</v>
      </c>
      <c r="E277">
        <v>82</v>
      </c>
      <c r="F277">
        <v>765</v>
      </c>
      <c r="G277">
        <v>1148</v>
      </c>
      <c r="H277">
        <v>0</v>
      </c>
      <c r="I277">
        <v>0</v>
      </c>
      <c r="J277">
        <v>190</v>
      </c>
      <c r="K277">
        <v>56</v>
      </c>
      <c r="L277" s="10">
        <v>22.02</v>
      </c>
      <c r="M277" s="2">
        <f t="shared" si="8"/>
        <v>276.52670000000001</v>
      </c>
      <c r="N277" s="2">
        <f t="shared" si="9"/>
        <v>123.81374999999998</v>
      </c>
      <c r="O277">
        <v>0</v>
      </c>
    </row>
    <row r="278" spans="1:15" x14ac:dyDescent="0.25">
      <c r="A278" s="15"/>
      <c r="B278" s="15"/>
      <c r="C278">
        <v>25</v>
      </c>
      <c r="D278">
        <v>246</v>
      </c>
      <c r="E278">
        <v>82</v>
      </c>
      <c r="F278">
        <v>765</v>
      </c>
      <c r="G278">
        <v>1148</v>
      </c>
      <c r="H278">
        <v>0</v>
      </c>
      <c r="I278">
        <v>0</v>
      </c>
      <c r="J278">
        <v>190</v>
      </c>
      <c r="K278">
        <v>90</v>
      </c>
      <c r="L278" s="10">
        <v>24.28</v>
      </c>
      <c r="M278" s="2">
        <f t="shared" si="8"/>
        <v>276.52670000000001</v>
      </c>
      <c r="N278" s="2">
        <f t="shared" si="9"/>
        <v>123.81374999999998</v>
      </c>
      <c r="O278">
        <v>0</v>
      </c>
    </row>
    <row r="279" spans="1:15" x14ac:dyDescent="0.25">
      <c r="A279" s="15"/>
      <c r="B279" s="15"/>
      <c r="C279">
        <v>30</v>
      </c>
      <c r="D279">
        <v>229.6</v>
      </c>
      <c r="E279">
        <v>98.4</v>
      </c>
      <c r="F279">
        <v>765</v>
      </c>
      <c r="G279">
        <v>1148</v>
      </c>
      <c r="H279">
        <v>0</v>
      </c>
      <c r="I279">
        <v>0</v>
      </c>
      <c r="J279">
        <v>190</v>
      </c>
      <c r="K279">
        <v>14</v>
      </c>
      <c r="L279" s="10">
        <v>18.22</v>
      </c>
      <c r="M279" s="2">
        <f t="shared" si="8"/>
        <v>264.71870000000001</v>
      </c>
      <c r="N279" s="2">
        <f t="shared" si="9"/>
        <v>117.66374999999999</v>
      </c>
      <c r="O279">
        <v>0</v>
      </c>
    </row>
    <row r="280" spans="1:15" x14ac:dyDescent="0.25">
      <c r="A280" s="15"/>
      <c r="B280" s="15"/>
      <c r="C280">
        <v>30</v>
      </c>
      <c r="D280">
        <v>229.6</v>
      </c>
      <c r="E280">
        <v>98.4</v>
      </c>
      <c r="F280">
        <v>765</v>
      </c>
      <c r="G280">
        <v>1148</v>
      </c>
      <c r="H280">
        <v>0</v>
      </c>
      <c r="I280">
        <v>0</v>
      </c>
      <c r="J280">
        <v>190</v>
      </c>
      <c r="K280">
        <v>28</v>
      </c>
      <c r="L280" s="10">
        <v>20.99</v>
      </c>
      <c r="M280" s="2">
        <f t="shared" si="8"/>
        <v>264.71870000000001</v>
      </c>
      <c r="N280" s="2">
        <f t="shared" si="9"/>
        <v>117.66374999999999</v>
      </c>
      <c r="O280">
        <v>0</v>
      </c>
    </row>
    <row r="281" spans="1:15" x14ac:dyDescent="0.25">
      <c r="A281" s="15"/>
      <c r="B281" s="15"/>
      <c r="C281">
        <v>30</v>
      </c>
      <c r="D281">
        <v>229.6</v>
      </c>
      <c r="E281">
        <v>98.4</v>
      </c>
      <c r="F281">
        <v>765</v>
      </c>
      <c r="G281">
        <v>1148</v>
      </c>
      <c r="H281">
        <v>0</v>
      </c>
      <c r="I281">
        <v>0</v>
      </c>
      <c r="J281">
        <v>190</v>
      </c>
      <c r="K281">
        <v>56</v>
      </c>
      <c r="L281" s="10">
        <v>20.32</v>
      </c>
      <c r="M281" s="2">
        <f t="shared" si="8"/>
        <v>264.71870000000001</v>
      </c>
      <c r="N281" s="2">
        <f t="shared" si="9"/>
        <v>117.66374999999999</v>
      </c>
      <c r="O281">
        <v>0</v>
      </c>
    </row>
    <row r="282" spans="1:15" x14ac:dyDescent="0.25">
      <c r="A282" s="15"/>
      <c r="B282" s="15"/>
      <c r="C282">
        <v>30</v>
      </c>
      <c r="D282">
        <v>229.6</v>
      </c>
      <c r="E282">
        <v>98.4</v>
      </c>
      <c r="F282">
        <v>765</v>
      </c>
      <c r="G282">
        <v>1148</v>
      </c>
      <c r="H282">
        <v>0</v>
      </c>
      <c r="I282">
        <v>0</v>
      </c>
      <c r="J282">
        <v>190</v>
      </c>
      <c r="K282">
        <v>90</v>
      </c>
      <c r="L282" s="10">
        <v>22.13</v>
      </c>
      <c r="M282" s="2">
        <f t="shared" si="8"/>
        <v>264.71870000000001</v>
      </c>
      <c r="N282" s="2">
        <f t="shared" si="9"/>
        <v>117.66374999999999</v>
      </c>
      <c r="O282">
        <v>0</v>
      </c>
    </row>
    <row r="283" spans="1:15" x14ac:dyDescent="0.25">
      <c r="A283" s="15"/>
      <c r="B283" s="15"/>
      <c r="C283">
        <v>35</v>
      </c>
      <c r="D283">
        <v>213.2</v>
      </c>
      <c r="E283">
        <v>114.8</v>
      </c>
      <c r="F283">
        <v>765</v>
      </c>
      <c r="G283">
        <v>1148</v>
      </c>
      <c r="H283">
        <v>0</v>
      </c>
      <c r="I283">
        <v>0</v>
      </c>
      <c r="J283">
        <v>190</v>
      </c>
      <c r="K283">
        <v>14</v>
      </c>
      <c r="L283" s="10">
        <v>17.940000000000001</v>
      </c>
      <c r="M283" s="2">
        <f t="shared" si="8"/>
        <v>252.91070000000002</v>
      </c>
      <c r="N283" s="2">
        <f t="shared" si="9"/>
        <v>111.51374999999999</v>
      </c>
      <c r="O283">
        <v>0</v>
      </c>
    </row>
    <row r="284" spans="1:15" x14ac:dyDescent="0.25">
      <c r="A284" s="15"/>
      <c r="B284" s="15"/>
      <c r="C284">
        <v>35</v>
      </c>
      <c r="D284">
        <v>213.2</v>
      </c>
      <c r="E284">
        <v>114.8</v>
      </c>
      <c r="F284">
        <v>765</v>
      </c>
      <c r="G284">
        <v>1148</v>
      </c>
      <c r="H284">
        <v>0</v>
      </c>
      <c r="I284">
        <v>0</v>
      </c>
      <c r="J284">
        <v>190</v>
      </c>
      <c r="K284">
        <v>28</v>
      </c>
      <c r="L284" s="10">
        <v>25.43</v>
      </c>
      <c r="M284" s="2">
        <f t="shared" si="8"/>
        <v>252.91070000000002</v>
      </c>
      <c r="N284" s="2">
        <f t="shared" si="9"/>
        <v>111.51374999999999</v>
      </c>
      <c r="O284">
        <v>0</v>
      </c>
    </row>
    <row r="285" spans="1:15" x14ac:dyDescent="0.25">
      <c r="A285" s="15"/>
      <c r="B285" s="15"/>
      <c r="C285">
        <v>35</v>
      </c>
      <c r="D285">
        <v>213.2</v>
      </c>
      <c r="E285">
        <v>114.8</v>
      </c>
      <c r="F285">
        <v>765</v>
      </c>
      <c r="G285">
        <v>1148</v>
      </c>
      <c r="H285">
        <v>0</v>
      </c>
      <c r="I285">
        <v>0</v>
      </c>
      <c r="J285">
        <v>190</v>
      </c>
      <c r="K285">
        <v>56</v>
      </c>
      <c r="L285" s="10">
        <v>18.96</v>
      </c>
      <c r="M285" s="2">
        <f t="shared" si="8"/>
        <v>252.91070000000002</v>
      </c>
      <c r="N285" s="2">
        <f t="shared" si="9"/>
        <v>111.51374999999999</v>
      </c>
      <c r="O285">
        <v>0</v>
      </c>
    </row>
    <row r="286" spans="1:15" x14ac:dyDescent="0.25">
      <c r="A286" s="15"/>
      <c r="B286" s="15"/>
      <c r="C286">
        <v>35</v>
      </c>
      <c r="D286">
        <v>213.2</v>
      </c>
      <c r="E286">
        <v>114.8</v>
      </c>
      <c r="F286">
        <v>765</v>
      </c>
      <c r="G286">
        <v>1148</v>
      </c>
      <c r="H286">
        <v>0</v>
      </c>
      <c r="I286">
        <v>0</v>
      </c>
      <c r="J286">
        <v>190</v>
      </c>
      <c r="K286">
        <v>90</v>
      </c>
      <c r="L286" s="10">
        <v>18.190000000000001</v>
      </c>
      <c r="M286" s="2">
        <f t="shared" si="8"/>
        <v>252.91070000000002</v>
      </c>
      <c r="N286" s="2">
        <f t="shared" si="9"/>
        <v>111.51374999999999</v>
      </c>
      <c r="O286">
        <v>0</v>
      </c>
    </row>
    <row r="287" spans="1:15" x14ac:dyDescent="0.25">
      <c r="A287" s="15"/>
      <c r="B287" s="15"/>
      <c r="C287">
        <v>40</v>
      </c>
      <c r="D287">
        <v>196.8</v>
      </c>
      <c r="E287">
        <v>131.19999999999999</v>
      </c>
      <c r="F287">
        <v>765</v>
      </c>
      <c r="G287">
        <v>1148</v>
      </c>
      <c r="H287">
        <v>0</v>
      </c>
      <c r="I287">
        <v>0</v>
      </c>
      <c r="J287">
        <v>190</v>
      </c>
      <c r="K287">
        <v>14</v>
      </c>
      <c r="L287" s="10">
        <v>17.309999999999999</v>
      </c>
      <c r="M287" s="2">
        <f t="shared" si="8"/>
        <v>241.10269999999997</v>
      </c>
      <c r="N287" s="2">
        <f t="shared" si="9"/>
        <v>105.36375</v>
      </c>
      <c r="O287">
        <v>0</v>
      </c>
    </row>
    <row r="288" spans="1:15" x14ac:dyDescent="0.25">
      <c r="A288" s="15"/>
      <c r="B288" s="15"/>
      <c r="C288">
        <v>40</v>
      </c>
      <c r="D288">
        <v>196.8</v>
      </c>
      <c r="E288">
        <v>131.19999999999999</v>
      </c>
      <c r="F288">
        <v>765</v>
      </c>
      <c r="G288">
        <v>1148</v>
      </c>
      <c r="H288">
        <v>0</v>
      </c>
      <c r="I288">
        <v>0</v>
      </c>
      <c r="J288">
        <v>190</v>
      </c>
      <c r="K288">
        <v>28</v>
      </c>
      <c r="L288" s="10">
        <v>20.8</v>
      </c>
      <c r="M288" s="2">
        <f t="shared" si="8"/>
        <v>241.10269999999997</v>
      </c>
      <c r="N288" s="2">
        <f t="shared" si="9"/>
        <v>105.36375</v>
      </c>
      <c r="O288">
        <v>0</v>
      </c>
    </row>
    <row r="289" spans="1:15" x14ac:dyDescent="0.25">
      <c r="A289" s="15"/>
      <c r="B289" s="15"/>
      <c r="C289">
        <v>40</v>
      </c>
      <c r="D289">
        <v>196.8</v>
      </c>
      <c r="E289">
        <v>131.19999999999999</v>
      </c>
      <c r="F289">
        <v>765</v>
      </c>
      <c r="G289">
        <v>1148</v>
      </c>
      <c r="H289">
        <v>0</v>
      </c>
      <c r="I289">
        <v>0</v>
      </c>
      <c r="J289">
        <v>190</v>
      </c>
      <c r="K289">
        <v>56</v>
      </c>
      <c r="L289" s="10">
        <v>20.11</v>
      </c>
      <c r="M289" s="2">
        <f t="shared" si="8"/>
        <v>241.10269999999997</v>
      </c>
      <c r="N289" s="2">
        <f t="shared" si="9"/>
        <v>105.36375</v>
      </c>
      <c r="O289">
        <v>0</v>
      </c>
    </row>
    <row r="290" spans="1:15" x14ac:dyDescent="0.25">
      <c r="A290" s="15"/>
      <c r="B290" s="15"/>
      <c r="C290">
        <v>40</v>
      </c>
      <c r="D290">
        <v>196.8</v>
      </c>
      <c r="E290">
        <v>131.19999999999999</v>
      </c>
      <c r="F290">
        <v>765</v>
      </c>
      <c r="G290">
        <v>1148</v>
      </c>
      <c r="H290">
        <v>0</v>
      </c>
      <c r="I290">
        <v>0</v>
      </c>
      <c r="J290">
        <v>190</v>
      </c>
      <c r="K290">
        <v>90</v>
      </c>
      <c r="L290" s="10">
        <v>19.23</v>
      </c>
      <c r="M290" s="2">
        <f t="shared" si="8"/>
        <v>241.10269999999997</v>
      </c>
      <c r="N290" s="2">
        <f t="shared" si="9"/>
        <v>105.36375</v>
      </c>
      <c r="O290">
        <v>0</v>
      </c>
    </row>
    <row r="291" spans="1:15" x14ac:dyDescent="0.25">
      <c r="A291" s="15"/>
      <c r="B291" s="15"/>
      <c r="C291">
        <v>45</v>
      </c>
      <c r="D291">
        <v>180.4</v>
      </c>
      <c r="E291">
        <v>147.6</v>
      </c>
      <c r="F291">
        <v>765</v>
      </c>
      <c r="G291">
        <v>1148</v>
      </c>
      <c r="H291">
        <v>0</v>
      </c>
      <c r="I291">
        <v>0</v>
      </c>
      <c r="J291">
        <v>190</v>
      </c>
      <c r="K291">
        <v>14</v>
      </c>
      <c r="L291" s="10">
        <v>14.05</v>
      </c>
      <c r="M291" s="2">
        <f t="shared" si="8"/>
        <v>229.29469999999998</v>
      </c>
      <c r="N291" s="2">
        <f t="shared" si="9"/>
        <v>99.21374999999999</v>
      </c>
      <c r="O291">
        <v>0</v>
      </c>
    </row>
    <row r="292" spans="1:15" x14ac:dyDescent="0.25">
      <c r="A292" s="15"/>
      <c r="B292" s="15"/>
      <c r="C292">
        <v>45</v>
      </c>
      <c r="D292">
        <v>180.4</v>
      </c>
      <c r="E292">
        <v>147.6</v>
      </c>
      <c r="F292">
        <v>765</v>
      </c>
      <c r="G292">
        <v>1148</v>
      </c>
      <c r="H292">
        <v>0</v>
      </c>
      <c r="I292">
        <v>0</v>
      </c>
      <c r="J292">
        <v>190</v>
      </c>
      <c r="K292">
        <v>28</v>
      </c>
      <c r="L292" s="10">
        <v>16.11</v>
      </c>
      <c r="M292" s="2">
        <f t="shared" si="8"/>
        <v>229.29469999999998</v>
      </c>
      <c r="N292" s="2">
        <f t="shared" si="9"/>
        <v>99.21374999999999</v>
      </c>
      <c r="O292">
        <v>0</v>
      </c>
    </row>
    <row r="293" spans="1:15" x14ac:dyDescent="0.25">
      <c r="A293" s="15"/>
      <c r="B293" s="15"/>
      <c r="C293">
        <v>45</v>
      </c>
      <c r="D293">
        <v>180.4</v>
      </c>
      <c r="E293">
        <v>147.6</v>
      </c>
      <c r="F293">
        <v>765</v>
      </c>
      <c r="G293">
        <v>1148</v>
      </c>
      <c r="H293">
        <v>0</v>
      </c>
      <c r="I293">
        <v>0</v>
      </c>
      <c r="J293">
        <v>190</v>
      </c>
      <c r="K293">
        <v>56</v>
      </c>
      <c r="L293" s="10">
        <v>23.21</v>
      </c>
      <c r="M293" s="2">
        <f t="shared" si="8"/>
        <v>229.29469999999998</v>
      </c>
      <c r="N293" s="2">
        <f t="shared" si="9"/>
        <v>99.21374999999999</v>
      </c>
      <c r="O293">
        <v>0</v>
      </c>
    </row>
    <row r="294" spans="1:15" x14ac:dyDescent="0.25">
      <c r="A294" s="15"/>
      <c r="B294" s="15"/>
      <c r="C294">
        <v>45</v>
      </c>
      <c r="D294">
        <v>180.4</v>
      </c>
      <c r="E294">
        <v>147.6</v>
      </c>
      <c r="F294">
        <v>765</v>
      </c>
      <c r="G294">
        <v>1148</v>
      </c>
      <c r="H294">
        <v>0</v>
      </c>
      <c r="I294">
        <v>0</v>
      </c>
      <c r="J294">
        <v>190</v>
      </c>
      <c r="K294">
        <v>90</v>
      </c>
      <c r="L294" s="10">
        <v>16.93</v>
      </c>
      <c r="M294" s="2">
        <f t="shared" si="8"/>
        <v>229.29469999999998</v>
      </c>
      <c r="N294" s="2">
        <f t="shared" si="9"/>
        <v>99.21374999999999</v>
      </c>
      <c r="O294">
        <v>0</v>
      </c>
    </row>
    <row r="295" spans="1:15" x14ac:dyDescent="0.25">
      <c r="A295" s="15"/>
      <c r="B295" s="15"/>
      <c r="C295">
        <v>50</v>
      </c>
      <c r="D295">
        <v>164</v>
      </c>
      <c r="E295">
        <v>164</v>
      </c>
      <c r="F295">
        <v>765</v>
      </c>
      <c r="G295">
        <v>1148</v>
      </c>
      <c r="H295">
        <v>0</v>
      </c>
      <c r="I295">
        <v>0</v>
      </c>
      <c r="J295">
        <v>190</v>
      </c>
      <c r="K295">
        <v>14</v>
      </c>
      <c r="L295" s="10">
        <v>15.95</v>
      </c>
      <c r="M295" s="2">
        <f t="shared" si="8"/>
        <v>217.48669999999998</v>
      </c>
      <c r="N295" s="2">
        <f t="shared" si="9"/>
        <v>93.063749999999985</v>
      </c>
      <c r="O295">
        <v>0</v>
      </c>
    </row>
    <row r="296" spans="1:15" x14ac:dyDescent="0.25">
      <c r="A296" s="15"/>
      <c r="B296" s="15"/>
      <c r="C296">
        <v>50</v>
      </c>
      <c r="D296">
        <v>164</v>
      </c>
      <c r="E296">
        <v>164</v>
      </c>
      <c r="F296">
        <v>765</v>
      </c>
      <c r="G296">
        <v>1148</v>
      </c>
      <c r="H296">
        <v>0</v>
      </c>
      <c r="I296">
        <v>0</v>
      </c>
      <c r="J296">
        <v>190</v>
      </c>
      <c r="K296">
        <v>28</v>
      </c>
      <c r="L296" s="10">
        <v>16.47</v>
      </c>
      <c r="M296" s="2">
        <f t="shared" si="8"/>
        <v>217.48669999999998</v>
      </c>
      <c r="N296" s="2">
        <f t="shared" si="9"/>
        <v>93.063749999999985</v>
      </c>
      <c r="O296">
        <v>0</v>
      </c>
    </row>
    <row r="297" spans="1:15" x14ac:dyDescent="0.25">
      <c r="A297" s="15"/>
      <c r="B297" s="15"/>
      <c r="C297">
        <v>50</v>
      </c>
      <c r="D297">
        <v>164</v>
      </c>
      <c r="E297">
        <v>164</v>
      </c>
      <c r="F297">
        <v>765</v>
      </c>
      <c r="G297">
        <v>1148</v>
      </c>
      <c r="H297">
        <v>0</v>
      </c>
      <c r="I297">
        <v>0</v>
      </c>
      <c r="J297">
        <v>190</v>
      </c>
      <c r="K297">
        <v>56</v>
      </c>
      <c r="L297" s="10">
        <v>19.54</v>
      </c>
      <c r="M297" s="2">
        <f t="shared" si="8"/>
        <v>217.48669999999998</v>
      </c>
      <c r="N297" s="2">
        <f t="shared" si="9"/>
        <v>93.063749999999985</v>
      </c>
      <c r="O297">
        <v>0</v>
      </c>
    </row>
    <row r="298" spans="1:15" x14ac:dyDescent="0.25">
      <c r="A298" s="15"/>
      <c r="B298" s="15"/>
      <c r="C298">
        <v>50</v>
      </c>
      <c r="D298">
        <v>164</v>
      </c>
      <c r="E298">
        <v>164</v>
      </c>
      <c r="F298">
        <v>765</v>
      </c>
      <c r="G298">
        <v>1148</v>
      </c>
      <c r="H298">
        <v>0</v>
      </c>
      <c r="I298">
        <v>0</v>
      </c>
      <c r="J298">
        <v>190</v>
      </c>
      <c r="K298">
        <v>90</v>
      </c>
      <c r="L298" s="10">
        <v>15.88</v>
      </c>
      <c r="M298" s="2">
        <f t="shared" si="8"/>
        <v>217.48669999999998</v>
      </c>
      <c r="N298" s="2">
        <f t="shared" si="9"/>
        <v>93.063749999999985</v>
      </c>
      <c r="O298">
        <v>0</v>
      </c>
    </row>
    <row r="299" spans="1:15" x14ac:dyDescent="0.25">
      <c r="A299" s="15" t="s">
        <v>69</v>
      </c>
      <c r="B299" s="15" t="s">
        <v>70</v>
      </c>
      <c r="C299">
        <v>0</v>
      </c>
      <c r="D299">
        <v>475</v>
      </c>
      <c r="E299">
        <v>0</v>
      </c>
      <c r="F299">
        <v>700</v>
      </c>
      <c r="G299">
        <v>1000</v>
      </c>
      <c r="H299">
        <v>25</v>
      </c>
      <c r="I299">
        <v>3</v>
      </c>
      <c r="J299">
        <v>175</v>
      </c>
      <c r="K299">
        <v>7</v>
      </c>
      <c r="L299" s="10">
        <v>43.78</v>
      </c>
      <c r="M299" s="2">
        <f t="shared" si="8"/>
        <v>455.88</v>
      </c>
      <c r="N299" s="2">
        <f t="shared" si="9"/>
        <v>210.75</v>
      </c>
      <c r="O299">
        <v>0</v>
      </c>
    </row>
    <row r="300" spans="1:15" x14ac:dyDescent="0.25">
      <c r="A300" s="15"/>
      <c r="B300" s="15"/>
      <c r="C300">
        <v>0</v>
      </c>
      <c r="D300">
        <v>475</v>
      </c>
      <c r="E300">
        <v>0</v>
      </c>
      <c r="F300">
        <v>700</v>
      </c>
      <c r="G300">
        <v>1000</v>
      </c>
      <c r="H300">
        <v>25</v>
      </c>
      <c r="I300">
        <v>3</v>
      </c>
      <c r="J300">
        <v>175</v>
      </c>
      <c r="K300">
        <v>14</v>
      </c>
      <c r="L300" s="10">
        <v>51.14</v>
      </c>
      <c r="M300" s="2">
        <f t="shared" si="8"/>
        <v>455.88</v>
      </c>
      <c r="N300" s="2">
        <f t="shared" si="9"/>
        <v>210.75</v>
      </c>
      <c r="O300">
        <v>0</v>
      </c>
    </row>
    <row r="301" spans="1:15" x14ac:dyDescent="0.25">
      <c r="A301" s="15"/>
      <c r="B301" s="15"/>
      <c r="C301">
        <v>0</v>
      </c>
      <c r="D301">
        <v>475</v>
      </c>
      <c r="E301">
        <v>0</v>
      </c>
      <c r="F301">
        <v>700</v>
      </c>
      <c r="G301">
        <v>1000</v>
      </c>
      <c r="H301">
        <v>25</v>
      </c>
      <c r="I301">
        <v>3</v>
      </c>
      <c r="J301">
        <v>175</v>
      </c>
      <c r="K301">
        <v>56</v>
      </c>
      <c r="L301" s="10">
        <v>56.24</v>
      </c>
      <c r="M301" s="2">
        <f t="shared" si="8"/>
        <v>455.88</v>
      </c>
      <c r="N301" s="2">
        <f t="shared" si="9"/>
        <v>210.75</v>
      </c>
      <c r="O301">
        <v>0</v>
      </c>
    </row>
    <row r="302" spans="1:15" x14ac:dyDescent="0.25">
      <c r="A302" s="15"/>
      <c r="B302" s="15"/>
      <c r="C302">
        <v>0</v>
      </c>
      <c r="D302">
        <v>475</v>
      </c>
      <c r="E302">
        <v>0</v>
      </c>
      <c r="F302">
        <v>700</v>
      </c>
      <c r="G302">
        <v>1000</v>
      </c>
      <c r="H302">
        <v>25</v>
      </c>
      <c r="I302">
        <v>3</v>
      </c>
      <c r="J302">
        <v>175</v>
      </c>
      <c r="K302">
        <v>90</v>
      </c>
      <c r="L302" s="10">
        <v>58.1</v>
      </c>
      <c r="M302" s="2">
        <f t="shared" si="8"/>
        <v>455.88</v>
      </c>
      <c r="N302" s="2">
        <f t="shared" si="9"/>
        <v>210.75</v>
      </c>
      <c r="O302">
        <v>0</v>
      </c>
    </row>
    <row r="303" spans="1:15" x14ac:dyDescent="0.25">
      <c r="A303" s="15"/>
      <c r="B303" s="15"/>
      <c r="C303">
        <v>5</v>
      </c>
      <c r="D303">
        <v>451.25</v>
      </c>
      <c r="E303">
        <v>23.75</v>
      </c>
      <c r="F303">
        <v>700</v>
      </c>
      <c r="G303">
        <v>1000</v>
      </c>
      <c r="H303">
        <v>25</v>
      </c>
      <c r="I303">
        <v>3</v>
      </c>
      <c r="J303">
        <v>175</v>
      </c>
      <c r="K303">
        <v>7</v>
      </c>
      <c r="L303" s="10">
        <v>41.19</v>
      </c>
      <c r="M303" s="2">
        <f t="shared" si="8"/>
        <v>438.78</v>
      </c>
      <c r="N303" s="2">
        <f t="shared" si="9"/>
        <v>201.84375</v>
      </c>
      <c r="O303">
        <v>0</v>
      </c>
    </row>
    <row r="304" spans="1:15" x14ac:dyDescent="0.25">
      <c r="A304" s="15"/>
      <c r="B304" s="15"/>
      <c r="C304">
        <v>5</v>
      </c>
      <c r="D304">
        <v>451.25</v>
      </c>
      <c r="E304">
        <v>23.75</v>
      </c>
      <c r="F304">
        <v>700</v>
      </c>
      <c r="G304">
        <v>1000</v>
      </c>
      <c r="H304">
        <v>25</v>
      </c>
      <c r="I304">
        <v>3</v>
      </c>
      <c r="J304">
        <v>175</v>
      </c>
      <c r="K304">
        <v>14</v>
      </c>
      <c r="L304" s="10">
        <v>45.57</v>
      </c>
      <c r="M304" s="2">
        <f t="shared" si="8"/>
        <v>438.78</v>
      </c>
      <c r="N304" s="2">
        <f t="shared" si="9"/>
        <v>201.84375</v>
      </c>
      <c r="O304">
        <v>0</v>
      </c>
    </row>
    <row r="305" spans="1:15" x14ac:dyDescent="0.25">
      <c r="A305" s="15"/>
      <c r="B305" s="15"/>
      <c r="C305">
        <v>5</v>
      </c>
      <c r="D305">
        <v>451.25</v>
      </c>
      <c r="E305">
        <v>23.75</v>
      </c>
      <c r="F305">
        <v>700</v>
      </c>
      <c r="G305">
        <v>1000</v>
      </c>
      <c r="H305">
        <v>25</v>
      </c>
      <c r="I305">
        <v>3</v>
      </c>
      <c r="J305">
        <v>175</v>
      </c>
      <c r="K305">
        <v>56</v>
      </c>
      <c r="L305" s="10">
        <v>56.49</v>
      </c>
      <c r="M305" s="2">
        <f t="shared" si="8"/>
        <v>438.78</v>
      </c>
      <c r="N305" s="2">
        <f t="shared" si="9"/>
        <v>201.84375</v>
      </c>
      <c r="O305">
        <v>0</v>
      </c>
    </row>
    <row r="306" spans="1:15" x14ac:dyDescent="0.25">
      <c r="A306" s="15"/>
      <c r="B306" s="15"/>
      <c r="C306">
        <v>5</v>
      </c>
      <c r="D306">
        <v>451.25</v>
      </c>
      <c r="E306">
        <v>23.75</v>
      </c>
      <c r="F306">
        <v>700</v>
      </c>
      <c r="G306">
        <v>1000</v>
      </c>
      <c r="H306">
        <v>25</v>
      </c>
      <c r="I306">
        <v>3</v>
      </c>
      <c r="J306">
        <v>175</v>
      </c>
      <c r="K306">
        <v>90</v>
      </c>
      <c r="L306" s="10">
        <v>56.49</v>
      </c>
      <c r="M306" s="2">
        <f t="shared" si="8"/>
        <v>438.78</v>
      </c>
      <c r="N306" s="2">
        <f t="shared" si="9"/>
        <v>201.84375</v>
      </c>
      <c r="O306">
        <v>0</v>
      </c>
    </row>
    <row r="307" spans="1:15" x14ac:dyDescent="0.25">
      <c r="A307" s="15"/>
      <c r="B307" s="15"/>
      <c r="C307">
        <v>10</v>
      </c>
      <c r="D307">
        <v>427.5</v>
      </c>
      <c r="E307">
        <v>47.5</v>
      </c>
      <c r="F307">
        <v>700</v>
      </c>
      <c r="G307">
        <v>1000</v>
      </c>
      <c r="H307">
        <v>25</v>
      </c>
      <c r="I307">
        <v>3</v>
      </c>
      <c r="J307">
        <v>175</v>
      </c>
      <c r="K307">
        <v>7</v>
      </c>
      <c r="L307" s="10">
        <v>42.29</v>
      </c>
      <c r="M307" s="2">
        <f t="shared" si="8"/>
        <v>421.68000000000006</v>
      </c>
      <c r="N307" s="2">
        <f t="shared" si="9"/>
        <v>192.9375</v>
      </c>
      <c r="O307">
        <v>0</v>
      </c>
    </row>
    <row r="308" spans="1:15" x14ac:dyDescent="0.25">
      <c r="A308" s="15"/>
      <c r="B308" s="15"/>
      <c r="C308">
        <v>10</v>
      </c>
      <c r="D308">
        <v>427.5</v>
      </c>
      <c r="E308">
        <v>47.5</v>
      </c>
      <c r="F308">
        <v>700</v>
      </c>
      <c r="G308">
        <v>1000</v>
      </c>
      <c r="H308">
        <v>25</v>
      </c>
      <c r="I308">
        <v>3</v>
      </c>
      <c r="J308">
        <v>175</v>
      </c>
      <c r="K308">
        <v>14</v>
      </c>
      <c r="L308" s="10">
        <v>46.47</v>
      </c>
      <c r="M308" s="2">
        <f t="shared" si="8"/>
        <v>421.68000000000006</v>
      </c>
      <c r="N308" s="2">
        <f t="shared" si="9"/>
        <v>192.9375</v>
      </c>
      <c r="O308">
        <v>0</v>
      </c>
    </row>
    <row r="309" spans="1:15" x14ac:dyDescent="0.25">
      <c r="A309" s="15"/>
      <c r="B309" s="15"/>
      <c r="C309">
        <v>10</v>
      </c>
      <c r="D309">
        <v>427.5</v>
      </c>
      <c r="E309">
        <v>47.5</v>
      </c>
      <c r="F309">
        <v>700</v>
      </c>
      <c r="G309">
        <v>1000</v>
      </c>
      <c r="H309">
        <v>25</v>
      </c>
      <c r="I309">
        <v>3</v>
      </c>
      <c r="J309">
        <v>175</v>
      </c>
      <c r="K309">
        <v>56</v>
      </c>
      <c r="L309" s="10">
        <v>51.93</v>
      </c>
      <c r="M309" s="2">
        <f t="shared" si="8"/>
        <v>421.68000000000006</v>
      </c>
      <c r="N309" s="2">
        <f t="shared" si="9"/>
        <v>192.9375</v>
      </c>
      <c r="O309">
        <v>0</v>
      </c>
    </row>
    <row r="310" spans="1:15" x14ac:dyDescent="0.25">
      <c r="A310" s="15"/>
      <c r="B310" s="15"/>
      <c r="C310">
        <v>10</v>
      </c>
      <c r="D310">
        <v>427.5</v>
      </c>
      <c r="E310">
        <v>47.5</v>
      </c>
      <c r="F310">
        <v>700</v>
      </c>
      <c r="G310">
        <v>1000</v>
      </c>
      <c r="H310">
        <v>25</v>
      </c>
      <c r="I310">
        <v>3</v>
      </c>
      <c r="J310">
        <v>175</v>
      </c>
      <c r="K310">
        <v>90</v>
      </c>
      <c r="L310" s="10">
        <v>55.85</v>
      </c>
      <c r="M310" s="2">
        <f t="shared" si="8"/>
        <v>421.68000000000006</v>
      </c>
      <c r="N310" s="2">
        <f t="shared" si="9"/>
        <v>192.9375</v>
      </c>
      <c r="O310">
        <v>0</v>
      </c>
    </row>
    <row r="311" spans="1:15" x14ac:dyDescent="0.25">
      <c r="A311" s="15"/>
      <c r="B311" s="15"/>
      <c r="C311">
        <v>15</v>
      </c>
      <c r="D311">
        <v>403.75</v>
      </c>
      <c r="E311">
        <v>71.25</v>
      </c>
      <c r="F311">
        <v>700</v>
      </c>
      <c r="G311">
        <v>1000</v>
      </c>
      <c r="H311">
        <v>25</v>
      </c>
      <c r="I311">
        <v>3</v>
      </c>
      <c r="J311">
        <v>175</v>
      </c>
      <c r="K311">
        <v>7</v>
      </c>
      <c r="L311" s="10">
        <v>37.29</v>
      </c>
      <c r="M311" s="2">
        <f t="shared" si="8"/>
        <v>404.58000000000004</v>
      </c>
      <c r="N311" s="2">
        <f t="shared" si="9"/>
        <v>184.03125</v>
      </c>
      <c r="O311">
        <v>0</v>
      </c>
    </row>
    <row r="312" spans="1:15" x14ac:dyDescent="0.25">
      <c r="A312" s="15"/>
      <c r="B312" s="15"/>
      <c r="C312">
        <v>15</v>
      </c>
      <c r="D312">
        <v>403.75</v>
      </c>
      <c r="E312">
        <v>71.25</v>
      </c>
      <c r="F312">
        <v>700</v>
      </c>
      <c r="G312">
        <v>1000</v>
      </c>
      <c r="H312">
        <v>25</v>
      </c>
      <c r="I312">
        <v>3</v>
      </c>
      <c r="J312">
        <v>175</v>
      </c>
      <c r="K312">
        <v>14</v>
      </c>
      <c r="L312" s="10">
        <v>44.18</v>
      </c>
      <c r="M312" s="2">
        <f t="shared" si="8"/>
        <v>404.58000000000004</v>
      </c>
      <c r="N312" s="2">
        <f t="shared" si="9"/>
        <v>184.03125</v>
      </c>
      <c r="O312">
        <v>0</v>
      </c>
    </row>
    <row r="313" spans="1:15" x14ac:dyDescent="0.25">
      <c r="A313" s="15"/>
      <c r="B313" s="15"/>
      <c r="C313">
        <v>15</v>
      </c>
      <c r="D313">
        <v>403.75</v>
      </c>
      <c r="E313">
        <v>71.25</v>
      </c>
      <c r="F313">
        <v>700</v>
      </c>
      <c r="G313">
        <v>1000</v>
      </c>
      <c r="H313">
        <v>25</v>
      </c>
      <c r="I313">
        <v>3</v>
      </c>
      <c r="J313">
        <v>175</v>
      </c>
      <c r="K313">
        <v>56</v>
      </c>
      <c r="L313" s="10">
        <v>52.26</v>
      </c>
      <c r="M313" s="2">
        <f t="shared" si="8"/>
        <v>404.58000000000004</v>
      </c>
      <c r="N313" s="2">
        <f t="shared" si="9"/>
        <v>184.03125</v>
      </c>
      <c r="O313">
        <v>0</v>
      </c>
    </row>
    <row r="314" spans="1:15" x14ac:dyDescent="0.25">
      <c r="A314" s="15"/>
      <c r="B314" s="15"/>
      <c r="C314">
        <v>15</v>
      </c>
      <c r="D314">
        <v>403.75</v>
      </c>
      <c r="E314">
        <v>71.25</v>
      </c>
      <c r="F314">
        <v>700</v>
      </c>
      <c r="G314">
        <v>1000</v>
      </c>
      <c r="H314">
        <v>25</v>
      </c>
      <c r="I314">
        <v>3</v>
      </c>
      <c r="J314">
        <v>175</v>
      </c>
      <c r="K314">
        <v>90</v>
      </c>
      <c r="L314" s="10">
        <v>52.94</v>
      </c>
      <c r="M314" s="2">
        <f t="shared" si="8"/>
        <v>404.58000000000004</v>
      </c>
      <c r="N314" s="2">
        <f t="shared" si="9"/>
        <v>184.03125</v>
      </c>
      <c r="O314">
        <v>0</v>
      </c>
    </row>
    <row r="315" spans="1:15" x14ac:dyDescent="0.25">
      <c r="A315" s="15"/>
      <c r="B315" s="15"/>
      <c r="C315">
        <v>20</v>
      </c>
      <c r="D315">
        <v>380</v>
      </c>
      <c r="E315">
        <v>95</v>
      </c>
      <c r="F315">
        <v>700</v>
      </c>
      <c r="G315">
        <v>1000</v>
      </c>
      <c r="H315">
        <v>25</v>
      </c>
      <c r="I315">
        <v>3</v>
      </c>
      <c r="J315">
        <v>175</v>
      </c>
      <c r="K315">
        <v>7</v>
      </c>
      <c r="L315" s="10">
        <v>35.75</v>
      </c>
      <c r="M315" s="2">
        <f t="shared" si="8"/>
        <v>387.48</v>
      </c>
      <c r="N315" s="2">
        <f t="shared" si="9"/>
        <v>175.125</v>
      </c>
      <c r="O315">
        <v>0</v>
      </c>
    </row>
    <row r="316" spans="1:15" x14ac:dyDescent="0.25">
      <c r="A316" s="15"/>
      <c r="B316" s="15"/>
      <c r="C316">
        <v>20</v>
      </c>
      <c r="D316">
        <v>380</v>
      </c>
      <c r="E316">
        <v>95</v>
      </c>
      <c r="F316">
        <v>700</v>
      </c>
      <c r="G316">
        <v>1000</v>
      </c>
      <c r="H316">
        <v>25</v>
      </c>
      <c r="I316">
        <v>3</v>
      </c>
      <c r="J316">
        <v>175</v>
      </c>
      <c r="K316">
        <v>14</v>
      </c>
      <c r="L316" s="10">
        <v>41.98</v>
      </c>
      <c r="M316" s="2">
        <f t="shared" si="8"/>
        <v>387.48</v>
      </c>
      <c r="N316" s="2">
        <f t="shared" si="9"/>
        <v>175.125</v>
      </c>
      <c r="O316">
        <v>0</v>
      </c>
    </row>
    <row r="317" spans="1:15" x14ac:dyDescent="0.25">
      <c r="A317" s="15"/>
      <c r="B317" s="15"/>
      <c r="C317">
        <v>20</v>
      </c>
      <c r="D317">
        <v>380</v>
      </c>
      <c r="E317">
        <v>95</v>
      </c>
      <c r="F317">
        <v>700</v>
      </c>
      <c r="G317">
        <v>1000</v>
      </c>
      <c r="H317">
        <v>25</v>
      </c>
      <c r="I317">
        <v>3</v>
      </c>
      <c r="J317">
        <v>175</v>
      </c>
      <c r="K317">
        <v>56</v>
      </c>
      <c r="L317" s="10">
        <v>47.71</v>
      </c>
      <c r="M317" s="2">
        <f t="shared" si="8"/>
        <v>387.48</v>
      </c>
      <c r="N317" s="2">
        <f t="shared" si="9"/>
        <v>175.125</v>
      </c>
      <c r="O317">
        <v>0</v>
      </c>
    </row>
    <row r="318" spans="1:15" x14ac:dyDescent="0.25">
      <c r="A318" s="15"/>
      <c r="B318" s="15"/>
      <c r="C318">
        <v>20</v>
      </c>
      <c r="D318">
        <v>380</v>
      </c>
      <c r="E318">
        <v>95</v>
      </c>
      <c r="F318">
        <v>700</v>
      </c>
      <c r="G318">
        <v>1000</v>
      </c>
      <c r="H318">
        <v>25</v>
      </c>
      <c r="I318">
        <v>3</v>
      </c>
      <c r="J318">
        <v>175</v>
      </c>
      <c r="K318">
        <v>90</v>
      </c>
      <c r="L318" s="10">
        <v>50.02</v>
      </c>
      <c r="M318" s="2">
        <f t="shared" si="8"/>
        <v>387.48</v>
      </c>
      <c r="N318" s="2">
        <f t="shared" si="9"/>
        <v>175.125</v>
      </c>
      <c r="O318">
        <v>0</v>
      </c>
    </row>
    <row r="319" spans="1:15" x14ac:dyDescent="0.25">
      <c r="A319" s="15"/>
      <c r="B319" s="15"/>
      <c r="C319">
        <v>25</v>
      </c>
      <c r="D319">
        <v>356.25</v>
      </c>
      <c r="E319">
        <v>118.75</v>
      </c>
      <c r="F319">
        <v>700</v>
      </c>
      <c r="G319">
        <v>1000</v>
      </c>
      <c r="H319">
        <v>25</v>
      </c>
      <c r="I319">
        <v>3</v>
      </c>
      <c r="J319">
        <v>175</v>
      </c>
      <c r="K319">
        <v>7</v>
      </c>
      <c r="L319" s="10">
        <v>37.68</v>
      </c>
      <c r="M319" s="2">
        <f t="shared" si="8"/>
        <v>370.38</v>
      </c>
      <c r="N319" s="2">
        <f t="shared" si="9"/>
        <v>166.21875</v>
      </c>
      <c r="O319">
        <v>0</v>
      </c>
    </row>
    <row r="320" spans="1:15" x14ac:dyDescent="0.25">
      <c r="A320" s="15"/>
      <c r="B320" s="15"/>
      <c r="C320">
        <v>25</v>
      </c>
      <c r="D320">
        <v>356.25</v>
      </c>
      <c r="E320">
        <v>118.75</v>
      </c>
      <c r="F320">
        <v>700</v>
      </c>
      <c r="G320">
        <v>1000</v>
      </c>
      <c r="H320">
        <v>25</v>
      </c>
      <c r="I320">
        <v>3</v>
      </c>
      <c r="J320">
        <v>175</v>
      </c>
      <c r="K320">
        <v>14</v>
      </c>
      <c r="L320" s="10">
        <v>42.44</v>
      </c>
      <c r="M320" s="2">
        <f t="shared" si="8"/>
        <v>370.38</v>
      </c>
      <c r="N320" s="2">
        <f t="shared" si="9"/>
        <v>166.21875</v>
      </c>
      <c r="O320">
        <v>0</v>
      </c>
    </row>
    <row r="321" spans="1:15" x14ac:dyDescent="0.25">
      <c r="A321" s="15"/>
      <c r="B321" s="15"/>
      <c r="C321">
        <v>25</v>
      </c>
      <c r="D321">
        <v>356.25</v>
      </c>
      <c r="E321">
        <v>118.75</v>
      </c>
      <c r="F321">
        <v>700</v>
      </c>
      <c r="G321">
        <v>1000</v>
      </c>
      <c r="H321">
        <v>25</v>
      </c>
      <c r="I321">
        <v>3</v>
      </c>
      <c r="J321">
        <v>175</v>
      </c>
      <c r="K321">
        <v>56</v>
      </c>
      <c r="L321" s="10">
        <v>48.89</v>
      </c>
      <c r="M321" s="2">
        <f t="shared" si="8"/>
        <v>370.38</v>
      </c>
      <c r="N321" s="2">
        <f t="shared" si="9"/>
        <v>166.21875</v>
      </c>
      <c r="O321">
        <v>0</v>
      </c>
    </row>
    <row r="322" spans="1:15" x14ac:dyDescent="0.25">
      <c r="A322" s="15"/>
      <c r="B322" s="15"/>
      <c r="C322">
        <v>25</v>
      </c>
      <c r="D322">
        <v>356.25</v>
      </c>
      <c r="E322">
        <v>118.75</v>
      </c>
      <c r="F322">
        <v>700</v>
      </c>
      <c r="G322">
        <v>1000</v>
      </c>
      <c r="H322">
        <v>25</v>
      </c>
      <c r="I322">
        <v>3</v>
      </c>
      <c r="J322">
        <v>175</v>
      </c>
      <c r="K322">
        <v>90</v>
      </c>
      <c r="L322" s="10">
        <v>49.88</v>
      </c>
      <c r="M322" s="2">
        <f t="shared" ref="M322:M385" si="10">SUM((D322*0.83)+(E322*0.11)+(F322*0.0139)+(G322*0.0459)+(I322*2))</f>
        <v>370.38</v>
      </c>
      <c r="N322" s="2">
        <f t="shared" si="9"/>
        <v>166.21875</v>
      </c>
      <c r="O322">
        <v>0</v>
      </c>
    </row>
    <row r="323" spans="1:15" x14ac:dyDescent="0.25">
      <c r="A323" s="15"/>
      <c r="B323" s="15"/>
      <c r="C323">
        <v>30</v>
      </c>
      <c r="D323">
        <v>332.5</v>
      </c>
      <c r="E323">
        <v>142.5</v>
      </c>
      <c r="F323">
        <v>700</v>
      </c>
      <c r="G323">
        <v>1000</v>
      </c>
      <c r="H323">
        <v>25</v>
      </c>
      <c r="I323">
        <v>3</v>
      </c>
      <c r="J323">
        <v>175</v>
      </c>
      <c r="K323">
        <v>7</v>
      </c>
      <c r="L323" s="10">
        <v>39.68</v>
      </c>
      <c r="M323" s="2">
        <f t="shared" si="10"/>
        <v>353.28</v>
      </c>
      <c r="N323" s="2">
        <f t="shared" ref="N323:N386" si="11">SUM((D323*5)+((F323*0.25)+(G323*0.2)+(I323*20)))*0.075</f>
        <v>157.3125</v>
      </c>
      <c r="O323">
        <v>0</v>
      </c>
    </row>
    <row r="324" spans="1:15" x14ac:dyDescent="0.25">
      <c r="A324" s="15"/>
      <c r="B324" s="15"/>
      <c r="C324">
        <v>30</v>
      </c>
      <c r="D324">
        <v>332.5</v>
      </c>
      <c r="E324">
        <v>142.5</v>
      </c>
      <c r="F324">
        <v>700</v>
      </c>
      <c r="G324">
        <v>1000</v>
      </c>
      <c r="H324">
        <v>25</v>
      </c>
      <c r="I324">
        <v>3</v>
      </c>
      <c r="J324">
        <v>175</v>
      </c>
      <c r="K324">
        <v>14</v>
      </c>
      <c r="L324" s="10">
        <v>41.5</v>
      </c>
      <c r="M324" s="2">
        <f t="shared" si="10"/>
        <v>353.28</v>
      </c>
      <c r="N324" s="2">
        <f t="shared" si="11"/>
        <v>157.3125</v>
      </c>
      <c r="O324">
        <v>0</v>
      </c>
    </row>
    <row r="325" spans="1:15" x14ac:dyDescent="0.25">
      <c r="A325" s="15"/>
      <c r="B325" s="15"/>
      <c r="C325">
        <v>30</v>
      </c>
      <c r="D325">
        <v>332.5</v>
      </c>
      <c r="E325">
        <v>142.5</v>
      </c>
      <c r="F325">
        <v>700</v>
      </c>
      <c r="G325">
        <v>1000</v>
      </c>
      <c r="H325">
        <v>25</v>
      </c>
      <c r="I325">
        <v>3</v>
      </c>
      <c r="J325">
        <v>175</v>
      </c>
      <c r="K325">
        <v>56</v>
      </c>
      <c r="L325" s="10">
        <v>47.86</v>
      </c>
      <c r="M325" s="2">
        <f t="shared" si="10"/>
        <v>353.28</v>
      </c>
      <c r="N325" s="2">
        <f t="shared" si="11"/>
        <v>157.3125</v>
      </c>
      <c r="O325">
        <v>0</v>
      </c>
    </row>
    <row r="326" spans="1:15" x14ac:dyDescent="0.25">
      <c r="A326" s="15"/>
      <c r="B326" s="15"/>
      <c r="C326">
        <v>30</v>
      </c>
      <c r="D326">
        <v>332.5</v>
      </c>
      <c r="E326">
        <v>142.5</v>
      </c>
      <c r="F326">
        <v>700</v>
      </c>
      <c r="G326">
        <v>1000</v>
      </c>
      <c r="H326">
        <v>25</v>
      </c>
      <c r="I326">
        <v>3</v>
      </c>
      <c r="J326">
        <v>175</v>
      </c>
      <c r="K326">
        <v>90</v>
      </c>
      <c r="L326" s="10">
        <v>46.93</v>
      </c>
      <c r="M326" s="2">
        <f t="shared" si="10"/>
        <v>353.28</v>
      </c>
      <c r="N326" s="2">
        <f t="shared" si="11"/>
        <v>157.3125</v>
      </c>
      <c r="O326">
        <v>0</v>
      </c>
    </row>
    <row r="327" spans="1:15" x14ac:dyDescent="0.25">
      <c r="A327" s="15"/>
      <c r="B327" s="15"/>
      <c r="C327">
        <v>35</v>
      </c>
      <c r="D327">
        <v>308.75</v>
      </c>
      <c r="E327">
        <v>166.25</v>
      </c>
      <c r="F327">
        <v>700</v>
      </c>
      <c r="G327">
        <v>1000</v>
      </c>
      <c r="H327">
        <v>25</v>
      </c>
      <c r="I327">
        <v>3</v>
      </c>
      <c r="J327">
        <v>175</v>
      </c>
      <c r="K327">
        <v>7</v>
      </c>
      <c r="L327" s="10">
        <v>35.549999999999997</v>
      </c>
      <c r="M327" s="2">
        <f t="shared" si="10"/>
        <v>336.18000000000006</v>
      </c>
      <c r="N327" s="2">
        <f t="shared" si="11"/>
        <v>148.40625</v>
      </c>
      <c r="O327">
        <v>0</v>
      </c>
    </row>
    <row r="328" spans="1:15" x14ac:dyDescent="0.25">
      <c r="A328" s="15"/>
      <c r="B328" s="15"/>
      <c r="C328">
        <v>35</v>
      </c>
      <c r="D328">
        <v>308.75</v>
      </c>
      <c r="E328">
        <v>166.25</v>
      </c>
      <c r="F328">
        <v>700</v>
      </c>
      <c r="G328">
        <v>1000</v>
      </c>
      <c r="H328">
        <v>25</v>
      </c>
      <c r="I328">
        <v>3</v>
      </c>
      <c r="J328">
        <v>175</v>
      </c>
      <c r="K328">
        <v>14</v>
      </c>
      <c r="L328" s="10">
        <v>37.64</v>
      </c>
      <c r="M328" s="2">
        <f t="shared" si="10"/>
        <v>336.18000000000006</v>
      </c>
      <c r="N328" s="2">
        <f t="shared" si="11"/>
        <v>148.40625</v>
      </c>
      <c r="O328">
        <v>0</v>
      </c>
    </row>
    <row r="329" spans="1:15" x14ac:dyDescent="0.25">
      <c r="A329" s="15"/>
      <c r="B329" s="15"/>
      <c r="C329">
        <v>35</v>
      </c>
      <c r="D329">
        <v>308.75</v>
      </c>
      <c r="E329">
        <v>166.25</v>
      </c>
      <c r="F329">
        <v>700</v>
      </c>
      <c r="G329">
        <v>1000</v>
      </c>
      <c r="H329">
        <v>25</v>
      </c>
      <c r="I329">
        <v>3</v>
      </c>
      <c r="J329">
        <v>175</v>
      </c>
      <c r="K329">
        <v>56</v>
      </c>
      <c r="L329" s="10">
        <v>41.38</v>
      </c>
      <c r="M329" s="2">
        <f t="shared" si="10"/>
        <v>336.18000000000006</v>
      </c>
      <c r="N329" s="2">
        <f t="shared" si="11"/>
        <v>148.40625</v>
      </c>
      <c r="O329">
        <v>0</v>
      </c>
    </row>
    <row r="330" spans="1:15" x14ac:dyDescent="0.25">
      <c r="A330" s="15"/>
      <c r="B330" s="15"/>
      <c r="C330">
        <v>35</v>
      </c>
      <c r="D330">
        <v>308.75</v>
      </c>
      <c r="E330">
        <v>166.25</v>
      </c>
      <c r="F330">
        <v>700</v>
      </c>
      <c r="G330">
        <v>1000</v>
      </c>
      <c r="H330">
        <v>25</v>
      </c>
      <c r="I330">
        <v>3</v>
      </c>
      <c r="J330">
        <v>175</v>
      </c>
      <c r="K330">
        <v>90</v>
      </c>
      <c r="L330" s="10">
        <v>47.68</v>
      </c>
      <c r="M330" s="2">
        <f t="shared" si="10"/>
        <v>336.18000000000006</v>
      </c>
      <c r="N330" s="2">
        <f t="shared" si="11"/>
        <v>148.40625</v>
      </c>
      <c r="O330">
        <v>0</v>
      </c>
    </row>
    <row r="331" spans="1:15" x14ac:dyDescent="0.25">
      <c r="A331" s="15"/>
      <c r="B331" s="15"/>
      <c r="C331">
        <v>40</v>
      </c>
      <c r="D331">
        <v>285</v>
      </c>
      <c r="E331">
        <v>190</v>
      </c>
      <c r="F331">
        <v>700</v>
      </c>
      <c r="G331">
        <v>1000</v>
      </c>
      <c r="H331">
        <v>25</v>
      </c>
      <c r="I331">
        <v>3</v>
      </c>
      <c r="J331">
        <v>175</v>
      </c>
      <c r="K331">
        <v>7</v>
      </c>
      <c r="L331" s="10">
        <v>31.87</v>
      </c>
      <c r="M331" s="2">
        <f t="shared" si="10"/>
        <v>319.08000000000004</v>
      </c>
      <c r="N331" s="2">
        <f t="shared" si="11"/>
        <v>139.5</v>
      </c>
      <c r="O331">
        <v>0</v>
      </c>
    </row>
    <row r="332" spans="1:15" x14ac:dyDescent="0.25">
      <c r="A332" s="15"/>
      <c r="B332" s="15"/>
      <c r="C332">
        <v>40</v>
      </c>
      <c r="D332">
        <v>285</v>
      </c>
      <c r="E332">
        <v>190</v>
      </c>
      <c r="F332">
        <v>700</v>
      </c>
      <c r="G332">
        <v>1000</v>
      </c>
      <c r="H332">
        <v>25</v>
      </c>
      <c r="I332">
        <v>3</v>
      </c>
      <c r="J332">
        <v>175</v>
      </c>
      <c r="K332">
        <v>14</v>
      </c>
      <c r="L332" s="10">
        <v>33.270000000000003</v>
      </c>
      <c r="M332" s="2">
        <f t="shared" si="10"/>
        <v>319.08000000000004</v>
      </c>
      <c r="N332" s="2">
        <f t="shared" si="11"/>
        <v>139.5</v>
      </c>
      <c r="O332">
        <v>0</v>
      </c>
    </row>
    <row r="333" spans="1:15" x14ac:dyDescent="0.25">
      <c r="A333" s="15"/>
      <c r="B333" s="15"/>
      <c r="C333">
        <v>40</v>
      </c>
      <c r="D333">
        <v>285</v>
      </c>
      <c r="E333">
        <v>190</v>
      </c>
      <c r="F333">
        <v>700</v>
      </c>
      <c r="G333">
        <v>1000</v>
      </c>
      <c r="H333">
        <v>25</v>
      </c>
      <c r="I333">
        <v>3</v>
      </c>
      <c r="J333">
        <v>175</v>
      </c>
      <c r="K333">
        <v>56</v>
      </c>
      <c r="L333" s="10">
        <v>40.54</v>
      </c>
      <c r="M333" s="2">
        <f t="shared" si="10"/>
        <v>319.08000000000004</v>
      </c>
      <c r="N333" s="2">
        <f t="shared" si="11"/>
        <v>139.5</v>
      </c>
      <c r="O333">
        <v>0</v>
      </c>
    </row>
    <row r="334" spans="1:15" x14ac:dyDescent="0.25">
      <c r="A334" s="15"/>
      <c r="B334" s="15"/>
      <c r="C334">
        <v>40</v>
      </c>
      <c r="D334">
        <v>285</v>
      </c>
      <c r="E334">
        <v>190</v>
      </c>
      <c r="F334">
        <v>700</v>
      </c>
      <c r="G334">
        <v>1000</v>
      </c>
      <c r="H334">
        <v>25</v>
      </c>
      <c r="I334">
        <v>3</v>
      </c>
      <c r="J334">
        <v>175</v>
      </c>
      <c r="K334">
        <v>90</v>
      </c>
      <c r="L334" s="10">
        <v>43.58</v>
      </c>
      <c r="M334" s="2">
        <f t="shared" si="10"/>
        <v>319.08000000000004</v>
      </c>
      <c r="N334" s="2">
        <f t="shared" si="11"/>
        <v>139.5</v>
      </c>
      <c r="O334">
        <v>0</v>
      </c>
    </row>
    <row r="335" spans="1:15" x14ac:dyDescent="0.25">
      <c r="A335" s="15"/>
      <c r="B335" s="15"/>
      <c r="C335">
        <v>45</v>
      </c>
      <c r="D335">
        <v>261.25</v>
      </c>
      <c r="E335">
        <v>213.75</v>
      </c>
      <c r="F335">
        <v>700</v>
      </c>
      <c r="G335">
        <v>1000</v>
      </c>
      <c r="H335">
        <v>25</v>
      </c>
      <c r="I335">
        <v>3</v>
      </c>
      <c r="J335">
        <v>175</v>
      </c>
      <c r="K335">
        <v>7</v>
      </c>
      <c r="L335" s="10">
        <v>35.69</v>
      </c>
      <c r="M335" s="2">
        <f t="shared" si="10"/>
        <v>301.97999999999996</v>
      </c>
      <c r="N335" s="2">
        <f t="shared" si="11"/>
        <v>130.59375</v>
      </c>
      <c r="O335">
        <v>0</v>
      </c>
    </row>
    <row r="336" spans="1:15" x14ac:dyDescent="0.25">
      <c r="A336" s="15"/>
      <c r="B336" s="15"/>
      <c r="C336">
        <v>45</v>
      </c>
      <c r="D336">
        <v>261.25</v>
      </c>
      <c r="E336">
        <v>213.75</v>
      </c>
      <c r="F336">
        <v>700</v>
      </c>
      <c r="G336">
        <v>1000</v>
      </c>
      <c r="H336">
        <v>25</v>
      </c>
      <c r="I336">
        <v>3</v>
      </c>
      <c r="J336">
        <v>175</v>
      </c>
      <c r="K336">
        <v>14</v>
      </c>
      <c r="L336" s="10">
        <v>33.24</v>
      </c>
      <c r="M336" s="2">
        <f t="shared" si="10"/>
        <v>301.97999999999996</v>
      </c>
      <c r="N336" s="2">
        <f t="shared" si="11"/>
        <v>130.59375</v>
      </c>
      <c r="O336">
        <v>0</v>
      </c>
    </row>
    <row r="337" spans="1:15" x14ac:dyDescent="0.25">
      <c r="A337" s="15"/>
      <c r="B337" s="15"/>
      <c r="C337">
        <v>45</v>
      </c>
      <c r="D337">
        <v>261.25</v>
      </c>
      <c r="E337">
        <v>213.75</v>
      </c>
      <c r="F337">
        <v>700</v>
      </c>
      <c r="G337">
        <v>1000</v>
      </c>
      <c r="H337">
        <v>25</v>
      </c>
      <c r="I337">
        <v>3</v>
      </c>
      <c r="J337">
        <v>175</v>
      </c>
      <c r="K337">
        <v>56</v>
      </c>
      <c r="L337" s="10">
        <v>41.95</v>
      </c>
      <c r="M337" s="2">
        <f t="shared" si="10"/>
        <v>301.97999999999996</v>
      </c>
      <c r="N337" s="2">
        <f t="shared" si="11"/>
        <v>130.59375</v>
      </c>
      <c r="O337">
        <v>0</v>
      </c>
    </row>
    <row r="338" spans="1:15" x14ac:dyDescent="0.25">
      <c r="A338" s="15"/>
      <c r="B338" s="15"/>
      <c r="C338">
        <v>45</v>
      </c>
      <c r="D338">
        <v>261.25</v>
      </c>
      <c r="E338">
        <v>213.75</v>
      </c>
      <c r="F338">
        <v>700</v>
      </c>
      <c r="G338">
        <v>1000</v>
      </c>
      <c r="H338">
        <v>25</v>
      </c>
      <c r="I338">
        <v>3</v>
      </c>
      <c r="J338">
        <v>175</v>
      </c>
      <c r="K338">
        <v>90</v>
      </c>
      <c r="L338" s="10">
        <v>41.64</v>
      </c>
      <c r="M338" s="2">
        <f t="shared" si="10"/>
        <v>301.97999999999996</v>
      </c>
      <c r="N338" s="2">
        <f t="shared" si="11"/>
        <v>130.59375</v>
      </c>
      <c r="O338">
        <v>0</v>
      </c>
    </row>
    <row r="339" spans="1:15" x14ac:dyDescent="0.25">
      <c r="A339" s="15"/>
      <c r="B339" s="15"/>
      <c r="C339">
        <v>50</v>
      </c>
      <c r="D339">
        <v>237.5</v>
      </c>
      <c r="E339">
        <v>237.5</v>
      </c>
      <c r="F339">
        <v>700</v>
      </c>
      <c r="G339">
        <v>1000</v>
      </c>
      <c r="H339">
        <v>25</v>
      </c>
      <c r="I339">
        <v>3</v>
      </c>
      <c r="J339">
        <v>175</v>
      </c>
      <c r="K339">
        <v>7</v>
      </c>
      <c r="L339" s="10">
        <v>29.25</v>
      </c>
      <c r="M339" s="2">
        <f t="shared" si="10"/>
        <v>284.88</v>
      </c>
      <c r="N339" s="2">
        <f t="shared" si="11"/>
        <v>121.6875</v>
      </c>
      <c r="O339">
        <v>0</v>
      </c>
    </row>
    <row r="340" spans="1:15" x14ac:dyDescent="0.25">
      <c r="A340" s="15"/>
      <c r="B340" s="15"/>
      <c r="C340">
        <v>50</v>
      </c>
      <c r="D340">
        <v>237.5</v>
      </c>
      <c r="E340">
        <v>237.5</v>
      </c>
      <c r="F340">
        <v>700</v>
      </c>
      <c r="G340">
        <v>1000</v>
      </c>
      <c r="H340">
        <v>25</v>
      </c>
      <c r="I340">
        <v>3</v>
      </c>
      <c r="J340">
        <v>175</v>
      </c>
      <c r="K340">
        <v>14</v>
      </c>
      <c r="L340" s="10">
        <v>34.82</v>
      </c>
      <c r="M340" s="2">
        <f t="shared" si="10"/>
        <v>284.88</v>
      </c>
      <c r="N340" s="2">
        <f t="shared" si="11"/>
        <v>121.6875</v>
      </c>
      <c r="O340">
        <v>0</v>
      </c>
    </row>
    <row r="341" spans="1:15" x14ac:dyDescent="0.25">
      <c r="A341" s="15"/>
      <c r="B341" s="15"/>
      <c r="C341">
        <v>50</v>
      </c>
      <c r="D341">
        <v>237.5</v>
      </c>
      <c r="E341">
        <v>237.5</v>
      </c>
      <c r="F341">
        <v>700</v>
      </c>
      <c r="G341">
        <v>1000</v>
      </c>
      <c r="H341">
        <v>25</v>
      </c>
      <c r="I341">
        <v>3</v>
      </c>
      <c r="J341">
        <v>175</v>
      </c>
      <c r="K341">
        <v>56</v>
      </c>
      <c r="L341" s="10">
        <v>44.6</v>
      </c>
      <c r="M341" s="2">
        <f t="shared" si="10"/>
        <v>284.88</v>
      </c>
      <c r="N341" s="2">
        <f t="shared" si="11"/>
        <v>121.6875</v>
      </c>
      <c r="O341">
        <v>0</v>
      </c>
    </row>
    <row r="342" spans="1:15" x14ac:dyDescent="0.25">
      <c r="A342" s="15"/>
      <c r="B342" s="15"/>
      <c r="C342">
        <v>50</v>
      </c>
      <c r="D342">
        <v>237.5</v>
      </c>
      <c r="E342">
        <v>237.5</v>
      </c>
      <c r="F342">
        <v>700</v>
      </c>
      <c r="G342">
        <v>1000</v>
      </c>
      <c r="H342">
        <v>25</v>
      </c>
      <c r="I342">
        <v>3</v>
      </c>
      <c r="J342">
        <v>175</v>
      </c>
      <c r="K342">
        <v>90</v>
      </c>
      <c r="L342" s="10">
        <v>42.9</v>
      </c>
      <c r="M342" s="2">
        <f t="shared" si="10"/>
        <v>284.88</v>
      </c>
      <c r="N342" s="2">
        <f t="shared" si="11"/>
        <v>121.6875</v>
      </c>
      <c r="O342">
        <v>0</v>
      </c>
    </row>
    <row r="343" spans="1:15" x14ac:dyDescent="0.25">
      <c r="A343" s="15" t="s">
        <v>71</v>
      </c>
      <c r="B343" s="15" t="s">
        <v>72</v>
      </c>
      <c r="C343">
        <v>0</v>
      </c>
      <c r="D343">
        <v>403.8</v>
      </c>
      <c r="E343">
        <v>0</v>
      </c>
      <c r="F343">
        <v>757</v>
      </c>
      <c r="G343">
        <v>1037.2</v>
      </c>
      <c r="H343">
        <v>0</v>
      </c>
      <c r="I343">
        <v>0</v>
      </c>
      <c r="J343">
        <v>180.8</v>
      </c>
      <c r="K343">
        <v>14</v>
      </c>
      <c r="L343" s="10">
        <v>31.52</v>
      </c>
      <c r="M343" s="2">
        <f t="shared" si="10"/>
        <v>393.28377999999998</v>
      </c>
      <c r="N343" s="2">
        <f t="shared" si="11"/>
        <v>181.17675</v>
      </c>
      <c r="O343">
        <v>0</v>
      </c>
    </row>
    <row r="344" spans="1:15" x14ac:dyDescent="0.25">
      <c r="A344" s="15"/>
      <c r="B344" s="15"/>
      <c r="C344">
        <v>0</v>
      </c>
      <c r="D344">
        <v>403.8</v>
      </c>
      <c r="E344">
        <v>0</v>
      </c>
      <c r="F344">
        <v>757</v>
      </c>
      <c r="G344">
        <v>1037.2</v>
      </c>
      <c r="H344">
        <v>0</v>
      </c>
      <c r="I344">
        <v>0</v>
      </c>
      <c r="J344">
        <v>180.8</v>
      </c>
      <c r="K344">
        <v>28</v>
      </c>
      <c r="L344" s="10">
        <v>30.15</v>
      </c>
      <c r="M344" s="2">
        <f t="shared" si="10"/>
        <v>393.28377999999998</v>
      </c>
      <c r="N344" s="2">
        <f t="shared" si="11"/>
        <v>181.17675</v>
      </c>
      <c r="O344">
        <v>0</v>
      </c>
    </row>
    <row r="345" spans="1:15" x14ac:dyDescent="0.25">
      <c r="A345" s="15"/>
      <c r="B345" s="15"/>
      <c r="C345">
        <v>0</v>
      </c>
      <c r="D345">
        <v>403.8</v>
      </c>
      <c r="E345">
        <v>0</v>
      </c>
      <c r="F345">
        <v>757</v>
      </c>
      <c r="G345">
        <v>1037.2</v>
      </c>
      <c r="H345">
        <v>0</v>
      </c>
      <c r="I345">
        <v>0</v>
      </c>
      <c r="J345">
        <v>180.8</v>
      </c>
      <c r="K345">
        <v>56</v>
      </c>
      <c r="L345" s="10">
        <v>35.549999999999997</v>
      </c>
      <c r="M345" s="2">
        <f t="shared" si="10"/>
        <v>393.28377999999998</v>
      </c>
      <c r="N345" s="2">
        <f t="shared" si="11"/>
        <v>181.17675</v>
      </c>
      <c r="O345">
        <v>0</v>
      </c>
    </row>
    <row r="346" spans="1:15" x14ac:dyDescent="0.25">
      <c r="A346" s="15"/>
      <c r="B346" s="15"/>
      <c r="C346">
        <v>0</v>
      </c>
      <c r="D346">
        <v>403.8</v>
      </c>
      <c r="E346">
        <v>0</v>
      </c>
      <c r="F346">
        <v>757</v>
      </c>
      <c r="G346">
        <v>1037.2</v>
      </c>
      <c r="H346">
        <v>0</v>
      </c>
      <c r="I346">
        <v>0</v>
      </c>
      <c r="J346">
        <v>180.8</v>
      </c>
      <c r="K346">
        <v>90</v>
      </c>
      <c r="L346" s="10">
        <v>38.57</v>
      </c>
      <c r="M346" s="2">
        <f t="shared" si="10"/>
        <v>393.28377999999998</v>
      </c>
      <c r="N346" s="2">
        <f t="shared" si="11"/>
        <v>181.17675</v>
      </c>
      <c r="O346">
        <v>0</v>
      </c>
    </row>
    <row r="347" spans="1:15" x14ac:dyDescent="0.25">
      <c r="A347" s="15"/>
      <c r="B347" s="15"/>
      <c r="C347">
        <v>5</v>
      </c>
      <c r="D347">
        <v>383.61</v>
      </c>
      <c r="E347">
        <v>20.190000000000001</v>
      </c>
      <c r="F347">
        <v>757</v>
      </c>
      <c r="G347">
        <v>1037.2</v>
      </c>
      <c r="H347">
        <v>0</v>
      </c>
      <c r="I347">
        <v>0</v>
      </c>
      <c r="J347">
        <v>180.8</v>
      </c>
      <c r="K347">
        <v>14</v>
      </c>
      <c r="L347" s="10">
        <v>30.26</v>
      </c>
      <c r="M347" s="2">
        <f t="shared" si="10"/>
        <v>378.74698000000001</v>
      </c>
      <c r="N347" s="2">
        <f t="shared" si="11"/>
        <v>173.60550000000001</v>
      </c>
      <c r="O347">
        <v>0</v>
      </c>
    </row>
    <row r="348" spans="1:15" x14ac:dyDescent="0.25">
      <c r="A348" s="15"/>
      <c r="B348" s="15"/>
      <c r="C348">
        <v>5</v>
      </c>
      <c r="D348">
        <v>383.61</v>
      </c>
      <c r="E348">
        <v>20.190000000000001</v>
      </c>
      <c r="F348">
        <v>757</v>
      </c>
      <c r="G348">
        <v>1037.2</v>
      </c>
      <c r="H348">
        <v>0</v>
      </c>
      <c r="I348">
        <v>0</v>
      </c>
      <c r="J348">
        <v>180.8</v>
      </c>
      <c r="K348">
        <v>28</v>
      </c>
      <c r="L348" s="10">
        <v>32.53</v>
      </c>
      <c r="M348" s="2">
        <f t="shared" si="10"/>
        <v>378.74698000000001</v>
      </c>
      <c r="N348" s="2">
        <f t="shared" si="11"/>
        <v>173.60550000000001</v>
      </c>
      <c r="O348">
        <v>0</v>
      </c>
    </row>
    <row r="349" spans="1:15" x14ac:dyDescent="0.25">
      <c r="A349" s="15"/>
      <c r="B349" s="15"/>
      <c r="C349">
        <v>5</v>
      </c>
      <c r="D349">
        <v>383.61</v>
      </c>
      <c r="E349">
        <v>20.190000000000001</v>
      </c>
      <c r="F349">
        <v>757</v>
      </c>
      <c r="G349">
        <v>1037.2</v>
      </c>
      <c r="H349">
        <v>0</v>
      </c>
      <c r="I349">
        <v>0</v>
      </c>
      <c r="J349">
        <v>180.8</v>
      </c>
      <c r="K349">
        <v>56</v>
      </c>
      <c r="L349" s="10">
        <v>37.06</v>
      </c>
      <c r="M349" s="2">
        <f t="shared" si="10"/>
        <v>378.74698000000001</v>
      </c>
      <c r="N349" s="2">
        <f t="shared" si="11"/>
        <v>173.60550000000001</v>
      </c>
      <c r="O349">
        <v>0</v>
      </c>
    </row>
    <row r="350" spans="1:15" x14ac:dyDescent="0.25">
      <c r="A350" s="15"/>
      <c r="B350" s="15"/>
      <c r="C350">
        <v>5</v>
      </c>
      <c r="D350">
        <v>383.61</v>
      </c>
      <c r="E350">
        <v>20.190000000000001</v>
      </c>
      <c r="F350">
        <v>757</v>
      </c>
      <c r="G350">
        <v>1037.2</v>
      </c>
      <c r="H350">
        <v>0</v>
      </c>
      <c r="I350">
        <v>0</v>
      </c>
      <c r="J350">
        <v>180.8</v>
      </c>
      <c r="K350">
        <v>90</v>
      </c>
      <c r="L350" s="10">
        <v>37.96</v>
      </c>
      <c r="M350" s="2">
        <f t="shared" si="10"/>
        <v>378.74698000000001</v>
      </c>
      <c r="N350" s="2">
        <f t="shared" si="11"/>
        <v>173.60550000000001</v>
      </c>
      <c r="O350">
        <v>0</v>
      </c>
    </row>
    <row r="351" spans="1:15" x14ac:dyDescent="0.25">
      <c r="A351" s="15"/>
      <c r="B351" s="15"/>
      <c r="C351">
        <v>10</v>
      </c>
      <c r="D351">
        <v>363.42</v>
      </c>
      <c r="E351">
        <v>40.380000000000003</v>
      </c>
      <c r="F351">
        <v>757</v>
      </c>
      <c r="G351">
        <v>1037.2</v>
      </c>
      <c r="H351">
        <v>0</v>
      </c>
      <c r="I351">
        <v>0</v>
      </c>
      <c r="J351">
        <v>180.8</v>
      </c>
      <c r="K351">
        <v>14</v>
      </c>
      <c r="L351" s="10">
        <v>29.07</v>
      </c>
      <c r="M351" s="2">
        <f t="shared" si="10"/>
        <v>364.21017999999998</v>
      </c>
      <c r="N351" s="2">
        <f t="shared" si="11"/>
        <v>166.03424999999999</v>
      </c>
      <c r="O351">
        <v>0</v>
      </c>
    </row>
    <row r="352" spans="1:15" x14ac:dyDescent="0.25">
      <c r="A352" s="15"/>
      <c r="B352" s="15"/>
      <c r="C352">
        <v>10</v>
      </c>
      <c r="D352">
        <v>363.42</v>
      </c>
      <c r="E352">
        <v>40.380000000000003</v>
      </c>
      <c r="F352">
        <v>757</v>
      </c>
      <c r="G352">
        <v>1037.2</v>
      </c>
      <c r="H352">
        <v>0</v>
      </c>
      <c r="I352">
        <v>0</v>
      </c>
      <c r="J352">
        <v>180.8</v>
      </c>
      <c r="K352">
        <v>28</v>
      </c>
      <c r="L352" s="10">
        <v>28.88</v>
      </c>
      <c r="M352" s="2">
        <f t="shared" si="10"/>
        <v>364.21017999999998</v>
      </c>
      <c r="N352" s="2">
        <f t="shared" si="11"/>
        <v>166.03424999999999</v>
      </c>
      <c r="O352">
        <v>0</v>
      </c>
    </row>
    <row r="353" spans="1:15" x14ac:dyDescent="0.25">
      <c r="A353" s="15"/>
      <c r="B353" s="15"/>
      <c r="C353">
        <v>10</v>
      </c>
      <c r="D353">
        <v>363.42</v>
      </c>
      <c r="E353">
        <v>40.380000000000003</v>
      </c>
      <c r="F353">
        <v>757</v>
      </c>
      <c r="G353">
        <v>1037.2</v>
      </c>
      <c r="H353">
        <v>0</v>
      </c>
      <c r="I353">
        <v>0</v>
      </c>
      <c r="J353">
        <v>180.8</v>
      </c>
      <c r="K353">
        <v>56</v>
      </c>
      <c r="L353" s="10">
        <v>32.93</v>
      </c>
      <c r="M353" s="2">
        <f t="shared" si="10"/>
        <v>364.21017999999998</v>
      </c>
      <c r="N353" s="2">
        <f t="shared" si="11"/>
        <v>166.03424999999999</v>
      </c>
      <c r="O353">
        <v>0</v>
      </c>
    </row>
    <row r="354" spans="1:15" x14ac:dyDescent="0.25">
      <c r="A354" s="15"/>
      <c r="B354" s="15"/>
      <c r="C354">
        <v>10</v>
      </c>
      <c r="D354">
        <v>363.42</v>
      </c>
      <c r="E354">
        <v>40.380000000000003</v>
      </c>
      <c r="F354">
        <v>757</v>
      </c>
      <c r="G354">
        <v>1037.2</v>
      </c>
      <c r="H354">
        <v>0</v>
      </c>
      <c r="I354">
        <v>0</v>
      </c>
      <c r="J354">
        <v>180.8</v>
      </c>
      <c r="K354">
        <v>90</v>
      </c>
      <c r="L354" s="10">
        <v>36.54</v>
      </c>
      <c r="M354" s="2">
        <f t="shared" si="10"/>
        <v>364.21017999999998</v>
      </c>
      <c r="N354" s="2">
        <f t="shared" si="11"/>
        <v>166.03424999999999</v>
      </c>
      <c r="O354">
        <v>0</v>
      </c>
    </row>
    <row r="355" spans="1:15" x14ac:dyDescent="0.25">
      <c r="A355" s="15"/>
      <c r="B355" s="15"/>
      <c r="C355">
        <v>15</v>
      </c>
      <c r="D355">
        <v>343.23</v>
      </c>
      <c r="E355">
        <v>60.57</v>
      </c>
      <c r="F355">
        <v>757</v>
      </c>
      <c r="G355">
        <v>1037.2</v>
      </c>
      <c r="H355">
        <v>0</v>
      </c>
      <c r="I355">
        <v>0</v>
      </c>
      <c r="J355">
        <v>180.8</v>
      </c>
      <c r="K355">
        <v>14</v>
      </c>
      <c r="L355" s="10">
        <v>27.82</v>
      </c>
      <c r="M355" s="2">
        <f t="shared" si="10"/>
        <v>349.67337999999995</v>
      </c>
      <c r="N355" s="2">
        <f t="shared" si="11"/>
        <v>158.46299999999999</v>
      </c>
      <c r="O355">
        <v>0</v>
      </c>
    </row>
    <row r="356" spans="1:15" x14ac:dyDescent="0.25">
      <c r="A356" s="15"/>
      <c r="B356" s="15"/>
      <c r="C356">
        <v>15</v>
      </c>
      <c r="D356">
        <v>343.23</v>
      </c>
      <c r="E356">
        <v>60.57</v>
      </c>
      <c r="F356">
        <v>757</v>
      </c>
      <c r="G356">
        <v>1037.2</v>
      </c>
      <c r="H356">
        <v>0</v>
      </c>
      <c r="I356">
        <v>0</v>
      </c>
      <c r="J356">
        <v>180.8</v>
      </c>
      <c r="K356">
        <v>28</v>
      </c>
      <c r="L356" s="10">
        <v>29.11</v>
      </c>
      <c r="M356" s="2">
        <f t="shared" si="10"/>
        <v>349.67337999999995</v>
      </c>
      <c r="N356" s="2">
        <f t="shared" si="11"/>
        <v>158.46299999999999</v>
      </c>
      <c r="O356">
        <v>0</v>
      </c>
    </row>
    <row r="357" spans="1:15" x14ac:dyDescent="0.25">
      <c r="A357" s="15"/>
      <c r="B357" s="15"/>
      <c r="C357">
        <v>15</v>
      </c>
      <c r="D357">
        <v>343.23</v>
      </c>
      <c r="E357">
        <v>60.57</v>
      </c>
      <c r="F357">
        <v>757</v>
      </c>
      <c r="G357">
        <v>1037.2</v>
      </c>
      <c r="H357">
        <v>0</v>
      </c>
      <c r="I357">
        <v>0</v>
      </c>
      <c r="J357">
        <v>180.8</v>
      </c>
      <c r="K357">
        <v>56</v>
      </c>
      <c r="L357" s="10">
        <v>33.31</v>
      </c>
      <c r="M357" s="2">
        <f t="shared" si="10"/>
        <v>349.67337999999995</v>
      </c>
      <c r="N357" s="2">
        <f t="shared" si="11"/>
        <v>158.46299999999999</v>
      </c>
      <c r="O357">
        <v>0</v>
      </c>
    </row>
    <row r="358" spans="1:15" x14ac:dyDescent="0.25">
      <c r="A358" s="15"/>
      <c r="B358" s="15"/>
      <c r="C358">
        <v>15</v>
      </c>
      <c r="D358">
        <v>343.23</v>
      </c>
      <c r="E358">
        <v>60.57</v>
      </c>
      <c r="F358">
        <v>757</v>
      </c>
      <c r="G358">
        <v>1037.2</v>
      </c>
      <c r="H358">
        <v>0</v>
      </c>
      <c r="I358">
        <v>0</v>
      </c>
      <c r="J358">
        <v>180.8</v>
      </c>
      <c r="K358">
        <v>90</v>
      </c>
      <c r="L358" s="10">
        <v>36.06</v>
      </c>
      <c r="M358" s="2">
        <f t="shared" si="10"/>
        <v>349.67337999999995</v>
      </c>
      <c r="N358" s="2">
        <f t="shared" si="11"/>
        <v>158.46299999999999</v>
      </c>
      <c r="O358">
        <v>0</v>
      </c>
    </row>
    <row r="359" spans="1:15" x14ac:dyDescent="0.25">
      <c r="A359" s="15"/>
      <c r="B359" s="15"/>
      <c r="C359">
        <v>20</v>
      </c>
      <c r="D359">
        <v>323.04000000000002</v>
      </c>
      <c r="E359">
        <v>80.760000000000005</v>
      </c>
      <c r="F359">
        <v>757</v>
      </c>
      <c r="G359">
        <v>1037.2</v>
      </c>
      <c r="H359">
        <v>0</v>
      </c>
      <c r="I359">
        <v>0</v>
      </c>
      <c r="J359">
        <v>180.8</v>
      </c>
      <c r="K359">
        <v>14</v>
      </c>
      <c r="L359" s="10">
        <v>24.66</v>
      </c>
      <c r="M359" s="2">
        <f t="shared" si="10"/>
        <v>335.13657999999998</v>
      </c>
      <c r="N359" s="2">
        <f t="shared" si="11"/>
        <v>150.89175</v>
      </c>
      <c r="O359">
        <v>0</v>
      </c>
    </row>
    <row r="360" spans="1:15" x14ac:dyDescent="0.25">
      <c r="A360" s="15"/>
      <c r="B360" s="15"/>
      <c r="C360">
        <v>20</v>
      </c>
      <c r="D360">
        <v>323.04000000000002</v>
      </c>
      <c r="E360">
        <v>80.760000000000005</v>
      </c>
      <c r="F360">
        <v>757</v>
      </c>
      <c r="G360">
        <v>1037.2</v>
      </c>
      <c r="H360">
        <v>0</v>
      </c>
      <c r="I360">
        <v>0</v>
      </c>
      <c r="J360">
        <v>180.8</v>
      </c>
      <c r="K360">
        <v>28</v>
      </c>
      <c r="L360" s="10">
        <v>26.8</v>
      </c>
      <c r="M360" s="2">
        <f t="shared" si="10"/>
        <v>335.13657999999998</v>
      </c>
      <c r="N360" s="2">
        <f t="shared" si="11"/>
        <v>150.89175</v>
      </c>
      <c r="O360">
        <v>0</v>
      </c>
    </row>
    <row r="361" spans="1:15" x14ac:dyDescent="0.25">
      <c r="A361" s="15"/>
      <c r="B361" s="15"/>
      <c r="C361">
        <v>20</v>
      </c>
      <c r="D361">
        <v>323.04000000000002</v>
      </c>
      <c r="E361">
        <v>80.760000000000005</v>
      </c>
      <c r="F361">
        <v>757</v>
      </c>
      <c r="G361">
        <v>1037.2</v>
      </c>
      <c r="H361">
        <v>0</v>
      </c>
      <c r="I361">
        <v>0</v>
      </c>
      <c r="J361">
        <v>180.8</v>
      </c>
      <c r="K361">
        <v>56</v>
      </c>
      <c r="L361" s="10">
        <v>33.61</v>
      </c>
      <c r="M361" s="2">
        <f t="shared" si="10"/>
        <v>335.13657999999998</v>
      </c>
      <c r="N361" s="2">
        <f t="shared" si="11"/>
        <v>150.89175</v>
      </c>
      <c r="O361">
        <v>0</v>
      </c>
    </row>
    <row r="362" spans="1:15" x14ac:dyDescent="0.25">
      <c r="A362" s="15"/>
      <c r="B362" s="15"/>
      <c r="C362">
        <v>20</v>
      </c>
      <c r="D362">
        <v>323.04000000000002</v>
      </c>
      <c r="E362">
        <v>80.760000000000005</v>
      </c>
      <c r="F362">
        <v>757</v>
      </c>
      <c r="G362">
        <v>1037.2</v>
      </c>
      <c r="H362">
        <v>0</v>
      </c>
      <c r="I362">
        <v>0</v>
      </c>
      <c r="J362">
        <v>180.8</v>
      </c>
      <c r="K362">
        <v>90</v>
      </c>
      <c r="L362" s="10">
        <v>33.159999999999997</v>
      </c>
      <c r="M362" s="2">
        <f t="shared" si="10"/>
        <v>335.13657999999998</v>
      </c>
      <c r="N362" s="2">
        <f t="shared" si="11"/>
        <v>150.89175</v>
      </c>
      <c r="O362">
        <v>0</v>
      </c>
    </row>
    <row r="363" spans="1:15" x14ac:dyDescent="0.25">
      <c r="A363" s="15"/>
      <c r="B363" s="15"/>
      <c r="C363">
        <v>25</v>
      </c>
      <c r="D363">
        <v>302.85000000000002</v>
      </c>
      <c r="E363">
        <v>100.95</v>
      </c>
      <c r="F363">
        <v>757</v>
      </c>
      <c r="G363">
        <v>1037.2</v>
      </c>
      <c r="H363">
        <v>0</v>
      </c>
      <c r="I363">
        <v>0</v>
      </c>
      <c r="J363">
        <v>180.8</v>
      </c>
      <c r="K363">
        <v>14</v>
      </c>
      <c r="L363" s="10">
        <v>24.94</v>
      </c>
      <c r="M363" s="2">
        <f t="shared" si="10"/>
        <v>320.59977999999995</v>
      </c>
      <c r="N363" s="2">
        <f t="shared" si="11"/>
        <v>143.32050000000001</v>
      </c>
      <c r="O363">
        <v>0</v>
      </c>
    </row>
    <row r="364" spans="1:15" x14ac:dyDescent="0.25">
      <c r="A364" s="15"/>
      <c r="B364" s="15"/>
      <c r="C364">
        <v>25</v>
      </c>
      <c r="D364">
        <v>302.85000000000002</v>
      </c>
      <c r="E364">
        <v>100.95</v>
      </c>
      <c r="F364">
        <v>757</v>
      </c>
      <c r="G364">
        <v>1037.2</v>
      </c>
      <c r="H364">
        <v>0</v>
      </c>
      <c r="I364">
        <v>0</v>
      </c>
      <c r="J364">
        <v>180.8</v>
      </c>
      <c r="K364">
        <v>28</v>
      </c>
      <c r="L364" s="10">
        <v>27.33</v>
      </c>
      <c r="M364" s="2">
        <f t="shared" si="10"/>
        <v>320.59977999999995</v>
      </c>
      <c r="N364" s="2">
        <f t="shared" si="11"/>
        <v>143.32050000000001</v>
      </c>
      <c r="O364">
        <v>0</v>
      </c>
    </row>
    <row r="365" spans="1:15" x14ac:dyDescent="0.25">
      <c r="A365" s="15"/>
      <c r="B365" s="15"/>
      <c r="C365">
        <v>25</v>
      </c>
      <c r="D365">
        <v>302.85000000000002</v>
      </c>
      <c r="E365">
        <v>100.95</v>
      </c>
      <c r="F365">
        <v>757</v>
      </c>
      <c r="G365">
        <v>1037.2</v>
      </c>
      <c r="H365">
        <v>0</v>
      </c>
      <c r="I365">
        <v>0</v>
      </c>
      <c r="J365">
        <v>180.8</v>
      </c>
      <c r="K365">
        <v>56</v>
      </c>
      <c r="L365" s="10">
        <v>31.16</v>
      </c>
      <c r="M365" s="2">
        <f t="shared" si="10"/>
        <v>320.59977999999995</v>
      </c>
      <c r="N365" s="2">
        <f t="shared" si="11"/>
        <v>143.32050000000001</v>
      </c>
      <c r="O365">
        <v>0</v>
      </c>
    </row>
    <row r="366" spans="1:15" x14ac:dyDescent="0.25">
      <c r="A366" s="15"/>
      <c r="B366" s="15"/>
      <c r="C366">
        <v>25</v>
      </c>
      <c r="D366">
        <v>302.85000000000002</v>
      </c>
      <c r="E366">
        <v>100.95</v>
      </c>
      <c r="F366">
        <v>757</v>
      </c>
      <c r="G366">
        <v>1037.2</v>
      </c>
      <c r="H366">
        <v>0</v>
      </c>
      <c r="I366">
        <v>0</v>
      </c>
      <c r="J366">
        <v>180.8</v>
      </c>
      <c r="K366">
        <v>90</v>
      </c>
      <c r="L366" s="10">
        <v>29.27</v>
      </c>
      <c r="M366" s="2">
        <f t="shared" si="10"/>
        <v>320.59977999999995</v>
      </c>
      <c r="N366" s="2">
        <f t="shared" si="11"/>
        <v>143.32050000000001</v>
      </c>
      <c r="O366">
        <v>0</v>
      </c>
    </row>
    <row r="367" spans="1:15" x14ac:dyDescent="0.25">
      <c r="A367" s="15"/>
      <c r="B367" s="15"/>
      <c r="C367">
        <v>30</v>
      </c>
      <c r="D367">
        <v>282.66000000000003</v>
      </c>
      <c r="E367">
        <v>121.14</v>
      </c>
      <c r="F367">
        <v>757</v>
      </c>
      <c r="G367">
        <v>1037.2</v>
      </c>
      <c r="H367">
        <v>0</v>
      </c>
      <c r="I367">
        <v>0</v>
      </c>
      <c r="J367">
        <v>180.8</v>
      </c>
      <c r="K367">
        <v>14</v>
      </c>
      <c r="L367" s="10">
        <v>24.99</v>
      </c>
      <c r="M367" s="2">
        <f t="shared" si="10"/>
        <v>306.06297999999998</v>
      </c>
      <c r="N367" s="2">
        <f t="shared" si="11"/>
        <v>135.74925000000002</v>
      </c>
      <c r="O367">
        <v>0</v>
      </c>
    </row>
    <row r="368" spans="1:15" x14ac:dyDescent="0.25">
      <c r="A368" s="15"/>
      <c r="B368" s="15"/>
      <c r="C368">
        <v>30</v>
      </c>
      <c r="D368">
        <v>282.66000000000003</v>
      </c>
      <c r="E368">
        <v>121.14</v>
      </c>
      <c r="F368">
        <v>757</v>
      </c>
      <c r="G368">
        <v>1037.2</v>
      </c>
      <c r="H368">
        <v>0</v>
      </c>
      <c r="I368">
        <v>0</v>
      </c>
      <c r="J368">
        <v>180.8</v>
      </c>
      <c r="K368">
        <v>28</v>
      </c>
      <c r="L368" s="10">
        <v>26.78</v>
      </c>
      <c r="M368" s="2">
        <f t="shared" si="10"/>
        <v>306.06297999999998</v>
      </c>
      <c r="N368" s="2">
        <f t="shared" si="11"/>
        <v>135.74925000000002</v>
      </c>
      <c r="O368">
        <v>0</v>
      </c>
    </row>
    <row r="369" spans="1:15" x14ac:dyDescent="0.25">
      <c r="A369" s="15"/>
      <c r="B369" s="15"/>
      <c r="C369">
        <v>30</v>
      </c>
      <c r="D369">
        <v>282.66000000000003</v>
      </c>
      <c r="E369">
        <v>121.14</v>
      </c>
      <c r="F369">
        <v>757</v>
      </c>
      <c r="G369">
        <v>1037.2</v>
      </c>
      <c r="H369">
        <v>0</v>
      </c>
      <c r="I369">
        <v>0</v>
      </c>
      <c r="J369">
        <v>180.8</v>
      </c>
      <c r="K369">
        <v>56</v>
      </c>
      <c r="L369" s="10">
        <v>29.46</v>
      </c>
      <c r="M369" s="2">
        <f t="shared" si="10"/>
        <v>306.06297999999998</v>
      </c>
      <c r="N369" s="2">
        <f t="shared" si="11"/>
        <v>135.74925000000002</v>
      </c>
      <c r="O369">
        <v>0</v>
      </c>
    </row>
    <row r="370" spans="1:15" x14ac:dyDescent="0.25">
      <c r="A370" s="15"/>
      <c r="B370" s="15"/>
      <c r="C370">
        <v>30</v>
      </c>
      <c r="D370">
        <v>282.66000000000003</v>
      </c>
      <c r="E370">
        <v>121.14</v>
      </c>
      <c r="F370">
        <v>757</v>
      </c>
      <c r="G370">
        <v>1037.2</v>
      </c>
      <c r="H370">
        <v>0</v>
      </c>
      <c r="I370">
        <v>0</v>
      </c>
      <c r="J370">
        <v>180.8</v>
      </c>
      <c r="K370">
        <v>90</v>
      </c>
      <c r="L370" s="10">
        <v>27.05</v>
      </c>
      <c r="M370" s="2">
        <f t="shared" si="10"/>
        <v>306.06297999999998</v>
      </c>
      <c r="N370" s="2">
        <f t="shared" si="11"/>
        <v>135.74925000000002</v>
      </c>
      <c r="O370">
        <v>0</v>
      </c>
    </row>
    <row r="371" spans="1:15" x14ac:dyDescent="0.25">
      <c r="A371" s="15"/>
      <c r="B371" s="15"/>
      <c r="C371">
        <v>35</v>
      </c>
      <c r="D371">
        <v>262.47000000000003</v>
      </c>
      <c r="E371">
        <v>141.33000000000001</v>
      </c>
      <c r="F371">
        <v>757</v>
      </c>
      <c r="G371">
        <v>1037.2</v>
      </c>
      <c r="H371">
        <v>0</v>
      </c>
      <c r="I371">
        <v>0</v>
      </c>
      <c r="J371">
        <v>180.8</v>
      </c>
      <c r="K371">
        <v>14</v>
      </c>
      <c r="L371" s="10">
        <v>23.16</v>
      </c>
      <c r="M371" s="2">
        <f t="shared" si="10"/>
        <v>291.52618000000001</v>
      </c>
      <c r="N371" s="2">
        <f t="shared" si="11"/>
        <v>128.178</v>
      </c>
      <c r="O371">
        <v>0</v>
      </c>
    </row>
    <row r="372" spans="1:15" x14ac:dyDescent="0.25">
      <c r="A372" s="15"/>
      <c r="B372" s="15"/>
      <c r="C372">
        <v>35</v>
      </c>
      <c r="D372">
        <v>262.47000000000003</v>
      </c>
      <c r="E372">
        <v>141.33000000000001</v>
      </c>
      <c r="F372">
        <v>757</v>
      </c>
      <c r="G372">
        <v>1037.2</v>
      </c>
      <c r="H372">
        <v>0</v>
      </c>
      <c r="I372">
        <v>0</v>
      </c>
      <c r="J372">
        <v>180.8</v>
      </c>
      <c r="K372">
        <v>28</v>
      </c>
      <c r="L372" s="10">
        <v>28.2</v>
      </c>
      <c r="M372" s="2">
        <f t="shared" si="10"/>
        <v>291.52618000000001</v>
      </c>
      <c r="N372" s="2">
        <f t="shared" si="11"/>
        <v>128.178</v>
      </c>
      <c r="O372">
        <v>0</v>
      </c>
    </row>
    <row r="373" spans="1:15" x14ac:dyDescent="0.25">
      <c r="A373" s="15"/>
      <c r="B373" s="15"/>
      <c r="C373">
        <v>35</v>
      </c>
      <c r="D373">
        <v>262.47000000000003</v>
      </c>
      <c r="E373">
        <v>141.33000000000001</v>
      </c>
      <c r="F373">
        <v>757</v>
      </c>
      <c r="G373">
        <v>1037.2</v>
      </c>
      <c r="H373">
        <v>0</v>
      </c>
      <c r="I373">
        <v>0</v>
      </c>
      <c r="J373">
        <v>180.8</v>
      </c>
      <c r="K373">
        <v>56</v>
      </c>
      <c r="L373" s="10">
        <v>26.96</v>
      </c>
      <c r="M373" s="2">
        <f t="shared" si="10"/>
        <v>291.52618000000001</v>
      </c>
      <c r="N373" s="2">
        <f t="shared" si="11"/>
        <v>128.178</v>
      </c>
      <c r="O373">
        <v>0</v>
      </c>
    </row>
    <row r="374" spans="1:15" x14ac:dyDescent="0.25">
      <c r="A374" s="15"/>
      <c r="B374" s="15"/>
      <c r="C374">
        <v>35</v>
      </c>
      <c r="D374">
        <v>262.47000000000003</v>
      </c>
      <c r="E374">
        <v>141.33000000000001</v>
      </c>
      <c r="F374">
        <v>757</v>
      </c>
      <c r="G374">
        <v>1037.2</v>
      </c>
      <c r="H374">
        <v>0</v>
      </c>
      <c r="I374">
        <v>0</v>
      </c>
      <c r="J374">
        <v>180.8</v>
      </c>
      <c r="K374">
        <v>90</v>
      </c>
      <c r="L374" s="10">
        <v>27.83</v>
      </c>
      <c r="M374" s="2">
        <f t="shared" si="10"/>
        <v>291.52618000000001</v>
      </c>
      <c r="N374" s="2">
        <f t="shared" si="11"/>
        <v>128.178</v>
      </c>
      <c r="O374">
        <v>0</v>
      </c>
    </row>
    <row r="375" spans="1:15" x14ac:dyDescent="0.25">
      <c r="A375" s="15"/>
      <c r="B375" s="15"/>
      <c r="C375">
        <v>40</v>
      </c>
      <c r="D375">
        <v>242.28</v>
      </c>
      <c r="E375">
        <v>161.52000000000001</v>
      </c>
      <c r="F375">
        <v>757</v>
      </c>
      <c r="G375">
        <v>1037.2</v>
      </c>
      <c r="H375">
        <v>0</v>
      </c>
      <c r="I375">
        <v>0</v>
      </c>
      <c r="J375">
        <v>180.8</v>
      </c>
      <c r="K375">
        <v>14</v>
      </c>
      <c r="L375" s="10">
        <v>24.31</v>
      </c>
      <c r="M375" s="2">
        <f t="shared" si="10"/>
        <v>276.98937999999998</v>
      </c>
      <c r="N375" s="2">
        <f t="shared" si="11"/>
        <v>120.60675000000001</v>
      </c>
      <c r="O375">
        <v>0</v>
      </c>
    </row>
    <row r="376" spans="1:15" x14ac:dyDescent="0.25">
      <c r="A376" s="15"/>
      <c r="B376" s="15"/>
      <c r="C376">
        <v>40</v>
      </c>
      <c r="D376">
        <v>242.28</v>
      </c>
      <c r="E376">
        <v>161.52000000000001</v>
      </c>
      <c r="F376">
        <v>757</v>
      </c>
      <c r="G376">
        <v>1037.2</v>
      </c>
      <c r="H376">
        <v>0</v>
      </c>
      <c r="I376">
        <v>0</v>
      </c>
      <c r="J376">
        <v>180.8</v>
      </c>
      <c r="K376">
        <v>28</v>
      </c>
      <c r="L376" s="10">
        <v>25.69</v>
      </c>
      <c r="M376" s="2">
        <f t="shared" si="10"/>
        <v>276.98937999999998</v>
      </c>
      <c r="N376" s="2">
        <f t="shared" si="11"/>
        <v>120.60675000000001</v>
      </c>
      <c r="O376">
        <v>0</v>
      </c>
    </row>
    <row r="377" spans="1:15" x14ac:dyDescent="0.25">
      <c r="A377" s="15"/>
      <c r="B377" s="15"/>
      <c r="C377">
        <v>40</v>
      </c>
      <c r="D377">
        <v>242.28</v>
      </c>
      <c r="E377">
        <v>161.52000000000001</v>
      </c>
      <c r="F377">
        <v>757</v>
      </c>
      <c r="G377">
        <v>1037.2</v>
      </c>
      <c r="H377">
        <v>0</v>
      </c>
      <c r="I377">
        <v>0</v>
      </c>
      <c r="J377">
        <v>180.8</v>
      </c>
      <c r="K377">
        <v>56</v>
      </c>
      <c r="L377" s="10">
        <v>25.78</v>
      </c>
      <c r="M377" s="2">
        <f t="shared" si="10"/>
        <v>276.98937999999998</v>
      </c>
      <c r="N377" s="2">
        <f t="shared" si="11"/>
        <v>120.60675000000001</v>
      </c>
      <c r="O377">
        <v>0</v>
      </c>
    </row>
    <row r="378" spans="1:15" x14ac:dyDescent="0.25">
      <c r="A378" s="15"/>
      <c r="B378" s="15"/>
      <c r="C378">
        <v>40</v>
      </c>
      <c r="D378">
        <v>242.28</v>
      </c>
      <c r="E378">
        <v>161.52000000000001</v>
      </c>
      <c r="F378">
        <v>757</v>
      </c>
      <c r="G378">
        <v>1037.2</v>
      </c>
      <c r="H378">
        <v>0</v>
      </c>
      <c r="I378">
        <v>0</v>
      </c>
      <c r="J378">
        <v>180.8</v>
      </c>
      <c r="K378">
        <v>90</v>
      </c>
      <c r="L378" s="10">
        <v>31.66</v>
      </c>
      <c r="M378" s="2">
        <f t="shared" si="10"/>
        <v>276.98937999999998</v>
      </c>
      <c r="N378" s="2">
        <f t="shared" si="11"/>
        <v>120.60675000000001</v>
      </c>
      <c r="O378">
        <v>0</v>
      </c>
    </row>
    <row r="379" spans="1:15" x14ac:dyDescent="0.25">
      <c r="A379" s="15"/>
      <c r="B379" s="15"/>
      <c r="C379">
        <v>45</v>
      </c>
      <c r="D379">
        <v>222.09</v>
      </c>
      <c r="E379">
        <v>181.71</v>
      </c>
      <c r="F379">
        <v>757</v>
      </c>
      <c r="G379">
        <v>1037.2</v>
      </c>
      <c r="H379">
        <v>0</v>
      </c>
      <c r="I379">
        <v>0</v>
      </c>
      <c r="J379">
        <v>180.8</v>
      </c>
      <c r="K379">
        <v>14</v>
      </c>
      <c r="L379" s="10">
        <v>17.47</v>
      </c>
      <c r="M379" s="2">
        <f t="shared" si="10"/>
        <v>262.45258000000001</v>
      </c>
      <c r="N379" s="2">
        <f t="shared" si="11"/>
        <v>113.0355</v>
      </c>
      <c r="O379">
        <v>0</v>
      </c>
    </row>
    <row r="380" spans="1:15" x14ac:dyDescent="0.25">
      <c r="A380" s="15"/>
      <c r="B380" s="15"/>
      <c r="C380">
        <v>45</v>
      </c>
      <c r="D380">
        <v>222.09</v>
      </c>
      <c r="E380">
        <v>181.71</v>
      </c>
      <c r="F380">
        <v>757</v>
      </c>
      <c r="G380">
        <v>1037.2</v>
      </c>
      <c r="H380">
        <v>0</v>
      </c>
      <c r="I380">
        <v>0</v>
      </c>
      <c r="J380">
        <v>180.8</v>
      </c>
      <c r="K380">
        <v>28</v>
      </c>
      <c r="L380" s="10">
        <v>23.92</v>
      </c>
      <c r="M380" s="2">
        <f t="shared" si="10"/>
        <v>262.45258000000001</v>
      </c>
      <c r="N380" s="2">
        <f t="shared" si="11"/>
        <v>113.0355</v>
      </c>
      <c r="O380">
        <v>0</v>
      </c>
    </row>
    <row r="381" spans="1:15" x14ac:dyDescent="0.25">
      <c r="A381" s="15"/>
      <c r="B381" s="15"/>
      <c r="C381">
        <v>45</v>
      </c>
      <c r="D381">
        <v>222.09</v>
      </c>
      <c r="E381">
        <v>181.71</v>
      </c>
      <c r="F381">
        <v>757</v>
      </c>
      <c r="G381">
        <v>1037.2</v>
      </c>
      <c r="H381">
        <v>0</v>
      </c>
      <c r="I381">
        <v>0</v>
      </c>
      <c r="J381">
        <v>180.8</v>
      </c>
      <c r="K381">
        <v>56</v>
      </c>
      <c r="L381" s="10">
        <v>26.59</v>
      </c>
      <c r="M381" s="2">
        <f t="shared" si="10"/>
        <v>262.45258000000001</v>
      </c>
      <c r="N381" s="2">
        <f t="shared" si="11"/>
        <v>113.0355</v>
      </c>
      <c r="O381">
        <v>0</v>
      </c>
    </row>
    <row r="382" spans="1:15" x14ac:dyDescent="0.25">
      <c r="A382" s="15"/>
      <c r="B382" s="15"/>
      <c r="C382">
        <v>45</v>
      </c>
      <c r="D382">
        <v>222.09</v>
      </c>
      <c r="E382">
        <v>181.71</v>
      </c>
      <c r="F382">
        <v>757</v>
      </c>
      <c r="G382">
        <v>1037.2</v>
      </c>
      <c r="H382">
        <v>0</v>
      </c>
      <c r="I382">
        <v>0</v>
      </c>
      <c r="J382">
        <v>180.8</v>
      </c>
      <c r="K382">
        <v>90</v>
      </c>
      <c r="L382" s="10">
        <v>29.52</v>
      </c>
      <c r="M382" s="2">
        <f t="shared" si="10"/>
        <v>262.45258000000001</v>
      </c>
      <c r="N382" s="2">
        <f t="shared" si="11"/>
        <v>113.0355</v>
      </c>
      <c r="O382">
        <v>0</v>
      </c>
    </row>
    <row r="383" spans="1:15" x14ac:dyDescent="0.25">
      <c r="A383" s="15"/>
      <c r="B383" s="15"/>
      <c r="C383">
        <v>50</v>
      </c>
      <c r="D383">
        <v>201.9</v>
      </c>
      <c r="E383">
        <v>201.9</v>
      </c>
      <c r="F383">
        <v>757</v>
      </c>
      <c r="G383">
        <v>1037.2</v>
      </c>
      <c r="H383">
        <v>0</v>
      </c>
      <c r="I383">
        <v>0</v>
      </c>
      <c r="J383">
        <v>180.8</v>
      </c>
      <c r="K383">
        <v>14</v>
      </c>
      <c r="L383" s="10">
        <v>22.76</v>
      </c>
      <c r="M383" s="2">
        <f t="shared" si="10"/>
        <v>247.91578000000001</v>
      </c>
      <c r="N383" s="2">
        <f t="shared" si="11"/>
        <v>105.46425000000001</v>
      </c>
      <c r="O383">
        <v>0</v>
      </c>
    </row>
    <row r="384" spans="1:15" x14ac:dyDescent="0.25">
      <c r="A384" s="15"/>
      <c r="B384" s="15"/>
      <c r="C384">
        <v>50</v>
      </c>
      <c r="D384">
        <v>201.9</v>
      </c>
      <c r="E384">
        <v>201.9</v>
      </c>
      <c r="F384">
        <v>757</v>
      </c>
      <c r="G384">
        <v>1037.2</v>
      </c>
      <c r="H384">
        <v>0</v>
      </c>
      <c r="I384">
        <v>0</v>
      </c>
      <c r="J384">
        <v>180.8</v>
      </c>
      <c r="K384">
        <v>28</v>
      </c>
      <c r="L384" s="10">
        <v>21.06</v>
      </c>
      <c r="M384" s="2">
        <f t="shared" si="10"/>
        <v>247.91578000000001</v>
      </c>
      <c r="N384" s="2">
        <f t="shared" si="11"/>
        <v>105.46425000000001</v>
      </c>
      <c r="O384">
        <v>0</v>
      </c>
    </row>
    <row r="385" spans="1:15" x14ac:dyDescent="0.25">
      <c r="A385" s="15"/>
      <c r="B385" s="15"/>
      <c r="C385">
        <v>50</v>
      </c>
      <c r="D385">
        <v>201.9</v>
      </c>
      <c r="E385">
        <v>201.9</v>
      </c>
      <c r="F385">
        <v>757</v>
      </c>
      <c r="G385">
        <v>1037.2</v>
      </c>
      <c r="H385">
        <v>0</v>
      </c>
      <c r="I385">
        <v>0</v>
      </c>
      <c r="J385">
        <v>180.8</v>
      </c>
      <c r="K385">
        <v>56</v>
      </c>
      <c r="L385" s="10">
        <v>24.23</v>
      </c>
      <c r="M385" s="2">
        <f t="shared" si="10"/>
        <v>247.91578000000001</v>
      </c>
      <c r="N385" s="2">
        <f t="shared" si="11"/>
        <v>105.46425000000001</v>
      </c>
      <c r="O385">
        <v>0</v>
      </c>
    </row>
    <row r="386" spans="1:15" x14ac:dyDescent="0.25">
      <c r="A386" s="15"/>
      <c r="B386" s="15"/>
      <c r="C386">
        <v>50</v>
      </c>
      <c r="D386">
        <v>201.9</v>
      </c>
      <c r="E386">
        <v>201.9</v>
      </c>
      <c r="F386">
        <v>757</v>
      </c>
      <c r="G386">
        <v>1037.2</v>
      </c>
      <c r="H386">
        <v>0</v>
      </c>
      <c r="I386">
        <v>0</v>
      </c>
      <c r="J386">
        <v>180.8</v>
      </c>
      <c r="K386">
        <v>90</v>
      </c>
      <c r="L386" s="10">
        <v>26.31</v>
      </c>
      <c r="M386" s="2">
        <f t="shared" ref="M386:M449" si="12">SUM((D386*0.83)+(E386*0.11)+(F386*0.0139)+(G386*0.0459)+(I386*2))</f>
        <v>247.91578000000001</v>
      </c>
      <c r="N386" s="2">
        <f t="shared" si="11"/>
        <v>105.46425000000001</v>
      </c>
      <c r="O386">
        <v>0</v>
      </c>
    </row>
    <row r="387" spans="1:15" x14ac:dyDescent="0.25">
      <c r="A387" s="15" t="s">
        <v>73</v>
      </c>
      <c r="B387" s="15" t="s">
        <v>51</v>
      </c>
      <c r="C387">
        <v>0</v>
      </c>
      <c r="D387">
        <v>395.1</v>
      </c>
      <c r="E387">
        <v>0</v>
      </c>
      <c r="F387">
        <v>711</v>
      </c>
      <c r="G387">
        <v>1053.3</v>
      </c>
      <c r="H387">
        <v>0</v>
      </c>
      <c r="I387">
        <v>0</v>
      </c>
      <c r="J387">
        <v>196.7</v>
      </c>
      <c r="K387">
        <v>14</v>
      </c>
      <c r="L387" s="10">
        <v>25.65</v>
      </c>
      <c r="M387" s="2">
        <f t="shared" si="12"/>
        <v>386.16237000000001</v>
      </c>
      <c r="N387" s="2">
        <f t="shared" ref="N387:N450" si="13">SUM((D387*5)+((F387*0.25)+(G387*0.2)+(I387*20)))*0.075</f>
        <v>177.29324999999997</v>
      </c>
      <c r="O387">
        <v>0</v>
      </c>
    </row>
    <row r="388" spans="1:15" x14ac:dyDescent="0.25">
      <c r="A388" s="15"/>
      <c r="B388" s="15"/>
      <c r="C388">
        <v>0</v>
      </c>
      <c r="D388">
        <v>395.1</v>
      </c>
      <c r="E388">
        <v>0</v>
      </c>
      <c r="F388">
        <v>711</v>
      </c>
      <c r="G388">
        <v>1053.3</v>
      </c>
      <c r="H388">
        <v>0</v>
      </c>
      <c r="I388">
        <v>0</v>
      </c>
      <c r="J388">
        <v>196.7</v>
      </c>
      <c r="K388">
        <v>28</v>
      </c>
      <c r="L388" s="10">
        <v>27.01</v>
      </c>
      <c r="M388" s="2">
        <f t="shared" si="12"/>
        <v>386.16237000000001</v>
      </c>
      <c r="N388" s="2">
        <f t="shared" si="13"/>
        <v>177.29324999999997</v>
      </c>
      <c r="O388">
        <v>0</v>
      </c>
    </row>
    <row r="389" spans="1:15" x14ac:dyDescent="0.25">
      <c r="A389" s="15"/>
      <c r="B389" s="15"/>
      <c r="C389">
        <v>0</v>
      </c>
      <c r="D389">
        <v>395.1</v>
      </c>
      <c r="E389">
        <v>0</v>
      </c>
      <c r="F389">
        <v>711</v>
      </c>
      <c r="G389">
        <v>1053.3</v>
      </c>
      <c r="H389">
        <v>0</v>
      </c>
      <c r="I389">
        <v>0</v>
      </c>
      <c r="J389">
        <v>196.7</v>
      </c>
      <c r="K389">
        <v>56</v>
      </c>
      <c r="L389" s="10">
        <v>31.89</v>
      </c>
      <c r="M389" s="2">
        <f t="shared" si="12"/>
        <v>386.16237000000001</v>
      </c>
      <c r="N389" s="2">
        <f t="shared" si="13"/>
        <v>177.29324999999997</v>
      </c>
      <c r="O389">
        <v>0</v>
      </c>
    </row>
    <row r="390" spans="1:15" x14ac:dyDescent="0.25">
      <c r="A390" s="15"/>
      <c r="B390" s="15"/>
      <c r="C390">
        <v>0</v>
      </c>
      <c r="D390">
        <v>395.1</v>
      </c>
      <c r="E390">
        <v>0</v>
      </c>
      <c r="F390">
        <v>711</v>
      </c>
      <c r="G390">
        <v>1053.3</v>
      </c>
      <c r="H390">
        <v>0</v>
      </c>
      <c r="I390">
        <v>0</v>
      </c>
      <c r="J390">
        <v>196.7</v>
      </c>
      <c r="K390">
        <v>90</v>
      </c>
      <c r="L390" s="10">
        <v>37.380000000000003</v>
      </c>
      <c r="M390" s="2">
        <f t="shared" si="12"/>
        <v>386.16237000000001</v>
      </c>
      <c r="N390" s="2">
        <f t="shared" si="13"/>
        <v>177.29324999999997</v>
      </c>
      <c r="O390">
        <v>0</v>
      </c>
    </row>
    <row r="391" spans="1:15" x14ac:dyDescent="0.25">
      <c r="A391" s="15"/>
      <c r="B391" s="15"/>
      <c r="C391">
        <v>5</v>
      </c>
      <c r="D391">
        <v>375.34500000000003</v>
      </c>
      <c r="E391">
        <v>19.754999999999999</v>
      </c>
      <c r="F391">
        <v>711</v>
      </c>
      <c r="G391">
        <v>1053.3</v>
      </c>
      <c r="H391">
        <v>0</v>
      </c>
      <c r="I391">
        <v>0</v>
      </c>
      <c r="J391">
        <v>196.7</v>
      </c>
      <c r="K391">
        <v>14</v>
      </c>
      <c r="L391" s="10">
        <v>24.43</v>
      </c>
      <c r="M391" s="2">
        <f t="shared" si="12"/>
        <v>371.93877000000003</v>
      </c>
      <c r="N391" s="2">
        <f t="shared" si="13"/>
        <v>169.88512500000002</v>
      </c>
      <c r="O391">
        <v>0</v>
      </c>
    </row>
    <row r="392" spans="1:15" x14ac:dyDescent="0.25">
      <c r="A392" s="15"/>
      <c r="B392" s="15"/>
      <c r="C392">
        <v>5</v>
      </c>
      <c r="D392">
        <v>375.34500000000003</v>
      </c>
      <c r="E392">
        <v>19.754999999999999</v>
      </c>
      <c r="F392">
        <v>711</v>
      </c>
      <c r="G392">
        <v>1053.3</v>
      </c>
      <c r="H392">
        <v>0</v>
      </c>
      <c r="I392">
        <v>0</v>
      </c>
      <c r="J392">
        <v>196.7</v>
      </c>
      <c r="K392">
        <v>28</v>
      </c>
      <c r="L392" s="10">
        <v>28.96</v>
      </c>
      <c r="M392" s="2">
        <f t="shared" si="12"/>
        <v>371.93877000000003</v>
      </c>
      <c r="N392" s="2">
        <f t="shared" si="13"/>
        <v>169.88512500000002</v>
      </c>
      <c r="O392">
        <v>0</v>
      </c>
    </row>
    <row r="393" spans="1:15" x14ac:dyDescent="0.25">
      <c r="A393" s="15"/>
      <c r="B393" s="15"/>
      <c r="C393">
        <v>5</v>
      </c>
      <c r="D393">
        <v>375.34500000000003</v>
      </c>
      <c r="E393">
        <v>19.754999999999999</v>
      </c>
      <c r="F393">
        <v>711</v>
      </c>
      <c r="G393">
        <v>1053.3</v>
      </c>
      <c r="H393">
        <v>0</v>
      </c>
      <c r="I393">
        <v>0</v>
      </c>
      <c r="J393">
        <v>196.7</v>
      </c>
      <c r="K393">
        <v>56</v>
      </c>
      <c r="L393" s="10">
        <v>33</v>
      </c>
      <c r="M393" s="2">
        <f t="shared" si="12"/>
        <v>371.93877000000003</v>
      </c>
      <c r="N393" s="2">
        <f t="shared" si="13"/>
        <v>169.88512500000002</v>
      </c>
      <c r="O393">
        <v>0</v>
      </c>
    </row>
    <row r="394" spans="1:15" x14ac:dyDescent="0.25">
      <c r="A394" s="15"/>
      <c r="B394" s="15"/>
      <c r="C394">
        <v>5</v>
      </c>
      <c r="D394">
        <v>375.34500000000003</v>
      </c>
      <c r="E394">
        <v>19.754999999999999</v>
      </c>
      <c r="F394">
        <v>711</v>
      </c>
      <c r="G394">
        <v>1053.3</v>
      </c>
      <c r="H394">
        <v>0</v>
      </c>
      <c r="I394">
        <v>0</v>
      </c>
      <c r="J394">
        <v>196.7</v>
      </c>
      <c r="K394">
        <v>90</v>
      </c>
      <c r="L394" s="10">
        <v>28.68</v>
      </c>
      <c r="M394" s="2">
        <f t="shared" si="12"/>
        <v>371.93877000000003</v>
      </c>
      <c r="N394" s="2">
        <f t="shared" si="13"/>
        <v>169.88512500000002</v>
      </c>
      <c r="O394">
        <v>0</v>
      </c>
    </row>
    <row r="395" spans="1:15" x14ac:dyDescent="0.25">
      <c r="A395" s="15"/>
      <c r="B395" s="15"/>
      <c r="C395">
        <v>10</v>
      </c>
      <c r="D395">
        <v>355.59</v>
      </c>
      <c r="E395">
        <v>39.51</v>
      </c>
      <c r="F395">
        <v>711</v>
      </c>
      <c r="G395">
        <v>1053.3</v>
      </c>
      <c r="H395">
        <v>0</v>
      </c>
      <c r="I395">
        <v>0</v>
      </c>
      <c r="J395">
        <v>196.7</v>
      </c>
      <c r="K395">
        <v>14</v>
      </c>
      <c r="L395" s="10">
        <v>24.74</v>
      </c>
      <c r="M395" s="2">
        <f t="shared" si="12"/>
        <v>357.71516999999994</v>
      </c>
      <c r="N395" s="2">
        <f t="shared" si="13"/>
        <v>162.47699999999998</v>
      </c>
      <c r="O395">
        <v>0</v>
      </c>
    </row>
    <row r="396" spans="1:15" x14ac:dyDescent="0.25">
      <c r="A396" s="15"/>
      <c r="B396" s="15"/>
      <c r="C396">
        <v>10</v>
      </c>
      <c r="D396">
        <v>355.59</v>
      </c>
      <c r="E396">
        <v>39.51</v>
      </c>
      <c r="F396">
        <v>711</v>
      </c>
      <c r="G396">
        <v>1053.3</v>
      </c>
      <c r="H396">
        <v>0</v>
      </c>
      <c r="I396">
        <v>0</v>
      </c>
      <c r="J396">
        <v>196.7</v>
      </c>
      <c r="K396">
        <v>28</v>
      </c>
      <c r="L396" s="10">
        <v>26.96</v>
      </c>
      <c r="M396" s="2">
        <f t="shared" si="12"/>
        <v>357.71516999999994</v>
      </c>
      <c r="N396" s="2">
        <f t="shared" si="13"/>
        <v>162.47699999999998</v>
      </c>
      <c r="O396">
        <v>0</v>
      </c>
    </row>
    <row r="397" spans="1:15" x14ac:dyDescent="0.25">
      <c r="A397" s="15"/>
      <c r="B397" s="15"/>
      <c r="C397">
        <v>10</v>
      </c>
      <c r="D397">
        <v>355.59</v>
      </c>
      <c r="E397">
        <v>39.51</v>
      </c>
      <c r="F397">
        <v>711</v>
      </c>
      <c r="G397">
        <v>1053.3</v>
      </c>
      <c r="H397">
        <v>0</v>
      </c>
      <c r="I397">
        <v>0</v>
      </c>
      <c r="J397">
        <v>196.7</v>
      </c>
      <c r="K397">
        <v>56</v>
      </c>
      <c r="L397" s="10">
        <v>33.909999999999997</v>
      </c>
      <c r="M397" s="2">
        <f t="shared" si="12"/>
        <v>357.71516999999994</v>
      </c>
      <c r="N397" s="2">
        <f t="shared" si="13"/>
        <v>162.47699999999998</v>
      </c>
      <c r="O397">
        <v>0</v>
      </c>
    </row>
    <row r="398" spans="1:15" x14ac:dyDescent="0.25">
      <c r="A398" s="15"/>
      <c r="B398" s="15"/>
      <c r="C398">
        <v>10</v>
      </c>
      <c r="D398">
        <v>355.59</v>
      </c>
      <c r="E398">
        <v>39.51</v>
      </c>
      <c r="F398">
        <v>711</v>
      </c>
      <c r="G398">
        <v>1053.3</v>
      </c>
      <c r="H398">
        <v>0</v>
      </c>
      <c r="I398">
        <v>0</v>
      </c>
      <c r="J398">
        <v>196.7</v>
      </c>
      <c r="K398">
        <v>90</v>
      </c>
      <c r="L398" s="10">
        <v>32.200000000000003</v>
      </c>
      <c r="M398" s="2">
        <f t="shared" si="12"/>
        <v>357.71516999999994</v>
      </c>
      <c r="N398" s="2">
        <f t="shared" si="13"/>
        <v>162.47699999999998</v>
      </c>
      <c r="O398">
        <v>0</v>
      </c>
    </row>
    <row r="399" spans="1:15" x14ac:dyDescent="0.25">
      <c r="A399" s="15"/>
      <c r="B399" s="15"/>
      <c r="C399">
        <v>15</v>
      </c>
      <c r="D399">
        <v>335.83499999999998</v>
      </c>
      <c r="E399">
        <v>59.265000000000001</v>
      </c>
      <c r="F399">
        <v>711</v>
      </c>
      <c r="G399">
        <v>1053.3</v>
      </c>
      <c r="H399">
        <v>0</v>
      </c>
      <c r="I399">
        <v>0</v>
      </c>
      <c r="J399">
        <v>196.7</v>
      </c>
      <c r="K399">
        <v>14</v>
      </c>
      <c r="L399" s="10">
        <v>22</v>
      </c>
      <c r="M399" s="2">
        <f t="shared" si="12"/>
        <v>343.49157000000002</v>
      </c>
      <c r="N399" s="2">
        <f t="shared" si="13"/>
        <v>155.06887499999999</v>
      </c>
      <c r="O399">
        <v>0</v>
      </c>
    </row>
    <row r="400" spans="1:15" x14ac:dyDescent="0.25">
      <c r="A400" s="15"/>
      <c r="B400" s="15"/>
      <c r="C400">
        <v>15</v>
      </c>
      <c r="D400">
        <v>335.83499999999998</v>
      </c>
      <c r="E400">
        <v>59.265000000000001</v>
      </c>
      <c r="F400">
        <v>711</v>
      </c>
      <c r="G400">
        <v>1053.3</v>
      </c>
      <c r="H400">
        <v>0</v>
      </c>
      <c r="I400">
        <v>0</v>
      </c>
      <c r="J400">
        <v>196.7</v>
      </c>
      <c r="K400">
        <v>28</v>
      </c>
      <c r="L400" s="10">
        <v>22.94</v>
      </c>
      <c r="M400" s="2">
        <f t="shared" si="12"/>
        <v>343.49157000000002</v>
      </c>
      <c r="N400" s="2">
        <f t="shared" si="13"/>
        <v>155.06887499999999</v>
      </c>
      <c r="O400">
        <v>0</v>
      </c>
    </row>
    <row r="401" spans="1:15" x14ac:dyDescent="0.25">
      <c r="A401" s="15"/>
      <c r="B401" s="15"/>
      <c r="C401">
        <v>15</v>
      </c>
      <c r="D401">
        <v>335.83499999999998</v>
      </c>
      <c r="E401">
        <v>59.265000000000001</v>
      </c>
      <c r="F401">
        <v>711</v>
      </c>
      <c r="G401">
        <v>1053.3</v>
      </c>
      <c r="H401">
        <v>0</v>
      </c>
      <c r="I401">
        <v>0</v>
      </c>
      <c r="J401">
        <v>196.7</v>
      </c>
      <c r="K401">
        <v>56</v>
      </c>
      <c r="L401" s="10">
        <v>29.89</v>
      </c>
      <c r="M401" s="2">
        <f t="shared" si="12"/>
        <v>343.49157000000002</v>
      </c>
      <c r="N401" s="2">
        <f t="shared" si="13"/>
        <v>155.06887499999999</v>
      </c>
      <c r="O401">
        <v>0</v>
      </c>
    </row>
    <row r="402" spans="1:15" x14ac:dyDescent="0.25">
      <c r="A402" s="15"/>
      <c r="B402" s="15"/>
      <c r="C402">
        <v>15</v>
      </c>
      <c r="D402">
        <v>335.83499999999998</v>
      </c>
      <c r="E402">
        <v>59.265000000000001</v>
      </c>
      <c r="F402">
        <v>711</v>
      </c>
      <c r="G402">
        <v>1053.3</v>
      </c>
      <c r="H402">
        <v>0</v>
      </c>
      <c r="I402">
        <v>0</v>
      </c>
      <c r="J402">
        <v>196.7</v>
      </c>
      <c r="K402">
        <v>90</v>
      </c>
      <c r="L402" s="10">
        <v>31.42</v>
      </c>
      <c r="M402" s="2">
        <f t="shared" si="12"/>
        <v>343.49157000000002</v>
      </c>
      <c r="N402" s="2">
        <f t="shared" si="13"/>
        <v>155.06887499999999</v>
      </c>
      <c r="O402">
        <v>0</v>
      </c>
    </row>
    <row r="403" spans="1:15" x14ac:dyDescent="0.25">
      <c r="A403" s="15"/>
      <c r="B403" s="15"/>
      <c r="C403">
        <v>20</v>
      </c>
      <c r="D403">
        <v>316.08</v>
      </c>
      <c r="E403">
        <v>79.02</v>
      </c>
      <c r="F403">
        <v>711</v>
      </c>
      <c r="G403">
        <v>1053.3</v>
      </c>
      <c r="H403">
        <v>0</v>
      </c>
      <c r="I403">
        <v>0</v>
      </c>
      <c r="J403">
        <v>196.7</v>
      </c>
      <c r="K403">
        <v>14</v>
      </c>
      <c r="L403" s="10">
        <v>25.81</v>
      </c>
      <c r="M403" s="2">
        <f t="shared" si="12"/>
        <v>329.26796999999999</v>
      </c>
      <c r="N403" s="2">
        <f t="shared" si="13"/>
        <v>147.66074999999998</v>
      </c>
      <c r="O403">
        <v>0</v>
      </c>
    </row>
    <row r="404" spans="1:15" x14ac:dyDescent="0.25">
      <c r="A404" s="15"/>
      <c r="B404" s="15"/>
      <c r="C404">
        <v>20</v>
      </c>
      <c r="D404">
        <v>316.08</v>
      </c>
      <c r="E404">
        <v>79.02</v>
      </c>
      <c r="F404">
        <v>711</v>
      </c>
      <c r="G404">
        <v>1053.3</v>
      </c>
      <c r="H404">
        <v>0</v>
      </c>
      <c r="I404">
        <v>0</v>
      </c>
      <c r="J404">
        <v>196.7</v>
      </c>
      <c r="K404">
        <v>28</v>
      </c>
      <c r="L404" s="10">
        <v>27.87</v>
      </c>
      <c r="M404" s="2">
        <f t="shared" si="12"/>
        <v>329.26796999999999</v>
      </c>
      <c r="N404" s="2">
        <f t="shared" si="13"/>
        <v>147.66074999999998</v>
      </c>
      <c r="O404">
        <v>0</v>
      </c>
    </row>
    <row r="405" spans="1:15" x14ac:dyDescent="0.25">
      <c r="A405" s="15"/>
      <c r="B405" s="15"/>
      <c r="C405">
        <v>20</v>
      </c>
      <c r="D405">
        <v>316.08</v>
      </c>
      <c r="E405">
        <v>79.02</v>
      </c>
      <c r="F405">
        <v>711</v>
      </c>
      <c r="G405">
        <v>1053.3</v>
      </c>
      <c r="H405">
        <v>0</v>
      </c>
      <c r="I405">
        <v>0</v>
      </c>
      <c r="J405">
        <v>196.7</v>
      </c>
      <c r="K405">
        <v>56</v>
      </c>
      <c r="L405" s="10">
        <v>29.22</v>
      </c>
      <c r="M405" s="2">
        <f t="shared" si="12"/>
        <v>329.26796999999999</v>
      </c>
      <c r="N405" s="2">
        <f t="shared" si="13"/>
        <v>147.66074999999998</v>
      </c>
      <c r="O405">
        <v>0</v>
      </c>
    </row>
    <row r="406" spans="1:15" x14ac:dyDescent="0.25">
      <c r="A406" s="15"/>
      <c r="B406" s="15"/>
      <c r="C406">
        <v>20</v>
      </c>
      <c r="D406">
        <v>316.08</v>
      </c>
      <c r="E406">
        <v>79.02</v>
      </c>
      <c r="F406">
        <v>711</v>
      </c>
      <c r="G406">
        <v>1053.3</v>
      </c>
      <c r="H406">
        <v>0</v>
      </c>
      <c r="I406">
        <v>0</v>
      </c>
      <c r="J406">
        <v>196.7</v>
      </c>
      <c r="K406">
        <v>90</v>
      </c>
      <c r="L406" s="10">
        <v>29.3</v>
      </c>
      <c r="M406" s="2">
        <f t="shared" si="12"/>
        <v>329.26796999999999</v>
      </c>
      <c r="N406" s="2">
        <f t="shared" si="13"/>
        <v>147.66074999999998</v>
      </c>
      <c r="O406">
        <v>0</v>
      </c>
    </row>
    <row r="407" spans="1:15" x14ac:dyDescent="0.25">
      <c r="A407" s="15"/>
      <c r="B407" s="15"/>
      <c r="C407">
        <v>25</v>
      </c>
      <c r="D407">
        <v>296.32499999999999</v>
      </c>
      <c r="E407">
        <v>98.775000000000006</v>
      </c>
      <c r="F407">
        <v>711</v>
      </c>
      <c r="G407">
        <v>1053.3</v>
      </c>
      <c r="H407">
        <v>0</v>
      </c>
      <c r="I407">
        <v>0</v>
      </c>
      <c r="J407">
        <v>196.7</v>
      </c>
      <c r="K407">
        <v>14</v>
      </c>
      <c r="L407" s="10">
        <v>23.56</v>
      </c>
      <c r="M407" s="2">
        <f t="shared" si="12"/>
        <v>315.04436999999996</v>
      </c>
      <c r="N407" s="2">
        <f t="shared" si="13"/>
        <v>140.25262499999999</v>
      </c>
      <c r="O407">
        <v>0</v>
      </c>
    </row>
    <row r="408" spans="1:15" x14ac:dyDescent="0.25">
      <c r="A408" s="15"/>
      <c r="B408" s="15"/>
      <c r="C408">
        <v>25</v>
      </c>
      <c r="D408">
        <v>296.32499999999999</v>
      </c>
      <c r="E408">
        <v>98.775000000000006</v>
      </c>
      <c r="F408">
        <v>711</v>
      </c>
      <c r="G408">
        <v>1053.3</v>
      </c>
      <c r="H408">
        <v>0</v>
      </c>
      <c r="I408">
        <v>0</v>
      </c>
      <c r="J408">
        <v>196.7</v>
      </c>
      <c r="K408">
        <v>28</v>
      </c>
      <c r="L408" s="10">
        <v>25.51</v>
      </c>
      <c r="M408" s="2">
        <f t="shared" si="12"/>
        <v>315.04436999999996</v>
      </c>
      <c r="N408" s="2">
        <f t="shared" si="13"/>
        <v>140.25262499999999</v>
      </c>
      <c r="O408">
        <v>0</v>
      </c>
    </row>
    <row r="409" spans="1:15" x14ac:dyDescent="0.25">
      <c r="A409" s="15"/>
      <c r="B409" s="15"/>
      <c r="C409">
        <v>25</v>
      </c>
      <c r="D409">
        <v>296.32499999999999</v>
      </c>
      <c r="E409">
        <v>98.775000000000006</v>
      </c>
      <c r="F409">
        <v>711</v>
      </c>
      <c r="G409">
        <v>1053.3</v>
      </c>
      <c r="H409">
        <v>0</v>
      </c>
      <c r="I409">
        <v>0</v>
      </c>
      <c r="J409">
        <v>196.7</v>
      </c>
      <c r="K409">
        <v>56</v>
      </c>
      <c r="L409" s="10">
        <v>29.92</v>
      </c>
      <c r="M409" s="2">
        <f t="shared" si="12"/>
        <v>315.04436999999996</v>
      </c>
      <c r="N409" s="2">
        <f t="shared" si="13"/>
        <v>140.25262499999999</v>
      </c>
      <c r="O409">
        <v>0</v>
      </c>
    </row>
    <row r="410" spans="1:15" x14ac:dyDescent="0.25">
      <c r="A410" s="15"/>
      <c r="B410" s="15"/>
      <c r="C410">
        <v>25</v>
      </c>
      <c r="D410">
        <v>296.32499999999999</v>
      </c>
      <c r="E410">
        <v>98.775000000000006</v>
      </c>
      <c r="F410">
        <v>711</v>
      </c>
      <c r="G410">
        <v>1053.3</v>
      </c>
      <c r="H410">
        <v>0</v>
      </c>
      <c r="I410">
        <v>0</v>
      </c>
      <c r="J410">
        <v>196.7</v>
      </c>
      <c r="K410">
        <v>90</v>
      </c>
      <c r="L410" s="10">
        <v>31.31</v>
      </c>
      <c r="M410" s="2">
        <f t="shared" si="12"/>
        <v>315.04436999999996</v>
      </c>
      <c r="N410" s="2">
        <f t="shared" si="13"/>
        <v>140.25262499999999</v>
      </c>
      <c r="O410">
        <v>0</v>
      </c>
    </row>
    <row r="411" spans="1:15" x14ac:dyDescent="0.25">
      <c r="A411" s="15"/>
      <c r="B411" s="15"/>
      <c r="C411">
        <v>30</v>
      </c>
      <c r="D411">
        <v>276.57</v>
      </c>
      <c r="E411">
        <v>118.53</v>
      </c>
      <c r="F411">
        <v>711</v>
      </c>
      <c r="G411">
        <v>1053.3</v>
      </c>
      <c r="H411">
        <v>0</v>
      </c>
      <c r="I411">
        <v>0</v>
      </c>
      <c r="J411">
        <v>196.7</v>
      </c>
      <c r="K411">
        <v>14</v>
      </c>
      <c r="L411" s="10">
        <v>21.51</v>
      </c>
      <c r="M411" s="2">
        <f t="shared" si="12"/>
        <v>300.82076999999998</v>
      </c>
      <c r="N411" s="2">
        <f t="shared" si="13"/>
        <v>132.84449999999998</v>
      </c>
      <c r="O411">
        <v>0</v>
      </c>
    </row>
    <row r="412" spans="1:15" x14ac:dyDescent="0.25">
      <c r="A412" s="15"/>
      <c r="B412" s="15"/>
      <c r="C412">
        <v>30</v>
      </c>
      <c r="D412">
        <v>276.57</v>
      </c>
      <c r="E412">
        <v>118.53</v>
      </c>
      <c r="F412">
        <v>711</v>
      </c>
      <c r="G412">
        <v>1053.3</v>
      </c>
      <c r="H412">
        <v>0</v>
      </c>
      <c r="I412">
        <v>0</v>
      </c>
      <c r="J412">
        <v>196.7</v>
      </c>
      <c r="K412">
        <v>28</v>
      </c>
      <c r="L412" s="10">
        <v>26.35</v>
      </c>
      <c r="M412" s="2">
        <f t="shared" si="12"/>
        <v>300.82076999999998</v>
      </c>
      <c r="N412" s="2">
        <f t="shared" si="13"/>
        <v>132.84449999999998</v>
      </c>
      <c r="O412">
        <v>0</v>
      </c>
    </row>
    <row r="413" spans="1:15" x14ac:dyDescent="0.25">
      <c r="A413" s="15"/>
      <c r="B413" s="15"/>
      <c r="C413">
        <v>30</v>
      </c>
      <c r="D413">
        <v>276.57</v>
      </c>
      <c r="E413">
        <v>118.53</v>
      </c>
      <c r="F413">
        <v>711</v>
      </c>
      <c r="G413">
        <v>1053.3</v>
      </c>
      <c r="H413">
        <v>0</v>
      </c>
      <c r="I413">
        <v>0</v>
      </c>
      <c r="J413">
        <v>196.7</v>
      </c>
      <c r="K413">
        <v>56</v>
      </c>
      <c r="L413" s="10">
        <v>27.94</v>
      </c>
      <c r="M413" s="2">
        <f t="shared" si="12"/>
        <v>300.82076999999998</v>
      </c>
      <c r="N413" s="2">
        <f t="shared" si="13"/>
        <v>132.84449999999998</v>
      </c>
      <c r="O413">
        <v>0</v>
      </c>
    </row>
    <row r="414" spans="1:15" x14ac:dyDescent="0.25">
      <c r="A414" s="15"/>
      <c r="B414" s="15"/>
      <c r="C414">
        <v>30</v>
      </c>
      <c r="D414">
        <v>276.57</v>
      </c>
      <c r="E414">
        <v>118.53</v>
      </c>
      <c r="F414">
        <v>711</v>
      </c>
      <c r="G414">
        <v>1053.3</v>
      </c>
      <c r="H414">
        <v>0</v>
      </c>
      <c r="I414">
        <v>0</v>
      </c>
      <c r="J414">
        <v>196.7</v>
      </c>
      <c r="K414">
        <v>90</v>
      </c>
      <c r="L414" s="10">
        <v>24.09</v>
      </c>
      <c r="M414" s="2">
        <f t="shared" si="12"/>
        <v>300.82076999999998</v>
      </c>
      <c r="N414" s="2">
        <f t="shared" si="13"/>
        <v>132.84449999999998</v>
      </c>
      <c r="O414">
        <v>0</v>
      </c>
    </row>
    <row r="415" spans="1:15" x14ac:dyDescent="0.25">
      <c r="A415" s="15"/>
      <c r="B415" s="15"/>
      <c r="C415">
        <v>35</v>
      </c>
      <c r="D415">
        <v>256.815</v>
      </c>
      <c r="E415">
        <v>138.285</v>
      </c>
      <c r="F415">
        <v>711</v>
      </c>
      <c r="G415">
        <v>1053.3</v>
      </c>
      <c r="H415">
        <v>0</v>
      </c>
      <c r="I415">
        <v>0</v>
      </c>
      <c r="J415">
        <v>196.7</v>
      </c>
      <c r="K415">
        <v>14</v>
      </c>
      <c r="L415" s="10">
        <v>19.37</v>
      </c>
      <c r="M415" s="2">
        <f t="shared" si="12"/>
        <v>286.59717000000001</v>
      </c>
      <c r="N415" s="2">
        <f t="shared" si="13"/>
        <v>125.436375</v>
      </c>
      <c r="O415">
        <v>0</v>
      </c>
    </row>
    <row r="416" spans="1:15" x14ac:dyDescent="0.25">
      <c r="A416" s="15"/>
      <c r="B416" s="15"/>
      <c r="C416">
        <v>35</v>
      </c>
      <c r="D416">
        <v>256.815</v>
      </c>
      <c r="E416">
        <v>138.285</v>
      </c>
      <c r="F416">
        <v>711</v>
      </c>
      <c r="G416">
        <v>1053.3</v>
      </c>
      <c r="H416">
        <v>0</v>
      </c>
      <c r="I416">
        <v>0</v>
      </c>
      <c r="J416">
        <v>196.7</v>
      </c>
      <c r="K416">
        <v>28</v>
      </c>
      <c r="L416" s="10">
        <v>21.32</v>
      </c>
      <c r="M416" s="2">
        <f t="shared" si="12"/>
        <v>286.59717000000001</v>
      </c>
      <c r="N416" s="2">
        <f t="shared" si="13"/>
        <v>125.436375</v>
      </c>
      <c r="O416">
        <v>0</v>
      </c>
    </row>
    <row r="417" spans="1:15" x14ac:dyDescent="0.25">
      <c r="A417" s="15"/>
      <c r="B417" s="15"/>
      <c r="C417">
        <v>35</v>
      </c>
      <c r="D417">
        <v>256.815</v>
      </c>
      <c r="E417">
        <v>138.285</v>
      </c>
      <c r="F417">
        <v>711</v>
      </c>
      <c r="G417">
        <v>1053.3</v>
      </c>
      <c r="H417">
        <v>0</v>
      </c>
      <c r="I417">
        <v>0</v>
      </c>
      <c r="J417">
        <v>196.7</v>
      </c>
      <c r="K417">
        <v>56</v>
      </c>
      <c r="L417" s="10">
        <v>25.49</v>
      </c>
      <c r="M417" s="2">
        <f t="shared" si="12"/>
        <v>286.59717000000001</v>
      </c>
      <c r="N417" s="2">
        <f t="shared" si="13"/>
        <v>125.436375</v>
      </c>
      <c r="O417">
        <v>0</v>
      </c>
    </row>
    <row r="418" spans="1:15" x14ac:dyDescent="0.25">
      <c r="A418" s="15"/>
      <c r="B418" s="15"/>
      <c r="C418">
        <v>35</v>
      </c>
      <c r="D418">
        <v>256.815</v>
      </c>
      <c r="E418">
        <v>138.285</v>
      </c>
      <c r="F418">
        <v>711</v>
      </c>
      <c r="G418">
        <v>1053.3</v>
      </c>
      <c r="H418">
        <v>0</v>
      </c>
      <c r="I418">
        <v>0</v>
      </c>
      <c r="J418">
        <v>196.7</v>
      </c>
      <c r="K418">
        <v>90</v>
      </c>
      <c r="L418" s="10">
        <v>28.33</v>
      </c>
      <c r="M418" s="2">
        <f t="shared" si="12"/>
        <v>286.59717000000001</v>
      </c>
      <c r="N418" s="2">
        <f t="shared" si="13"/>
        <v>125.436375</v>
      </c>
      <c r="O418">
        <v>0</v>
      </c>
    </row>
    <row r="419" spans="1:15" x14ac:dyDescent="0.25">
      <c r="A419" s="15"/>
      <c r="B419" s="15"/>
      <c r="C419">
        <v>40</v>
      </c>
      <c r="D419">
        <v>237.06</v>
      </c>
      <c r="E419">
        <v>158.04</v>
      </c>
      <c r="F419">
        <v>711</v>
      </c>
      <c r="G419">
        <v>1053.3</v>
      </c>
      <c r="H419">
        <v>0</v>
      </c>
      <c r="I419">
        <v>0</v>
      </c>
      <c r="J419">
        <v>196.7</v>
      </c>
      <c r="K419">
        <v>14</v>
      </c>
      <c r="L419" s="10">
        <v>20.86</v>
      </c>
      <c r="M419" s="2">
        <f t="shared" si="12"/>
        <v>272.37356999999997</v>
      </c>
      <c r="N419" s="2">
        <f t="shared" si="13"/>
        <v>118.02825</v>
      </c>
      <c r="O419">
        <v>0</v>
      </c>
    </row>
    <row r="420" spans="1:15" x14ac:dyDescent="0.25">
      <c r="A420" s="15"/>
      <c r="B420" s="15"/>
      <c r="C420">
        <v>40</v>
      </c>
      <c r="D420">
        <v>237.06</v>
      </c>
      <c r="E420">
        <v>158.04</v>
      </c>
      <c r="F420">
        <v>711</v>
      </c>
      <c r="G420">
        <v>1053.3</v>
      </c>
      <c r="H420">
        <v>0</v>
      </c>
      <c r="I420">
        <v>0</v>
      </c>
      <c r="J420">
        <v>196.7</v>
      </c>
      <c r="K420">
        <v>28</v>
      </c>
      <c r="L420" s="10">
        <v>19.25</v>
      </c>
      <c r="M420" s="2">
        <f t="shared" si="12"/>
        <v>272.37356999999997</v>
      </c>
      <c r="N420" s="2">
        <f t="shared" si="13"/>
        <v>118.02825</v>
      </c>
      <c r="O420">
        <v>0</v>
      </c>
    </row>
    <row r="421" spans="1:15" x14ac:dyDescent="0.25">
      <c r="A421" s="15"/>
      <c r="B421" s="15"/>
      <c r="C421">
        <v>40</v>
      </c>
      <c r="D421">
        <v>237.06</v>
      </c>
      <c r="E421">
        <v>158.04</v>
      </c>
      <c r="F421">
        <v>711</v>
      </c>
      <c r="G421">
        <v>1053.3</v>
      </c>
      <c r="H421">
        <v>0</v>
      </c>
      <c r="I421">
        <v>0</v>
      </c>
      <c r="J421">
        <v>196.7</v>
      </c>
      <c r="K421">
        <v>56</v>
      </c>
      <c r="L421" s="10">
        <v>23.46</v>
      </c>
      <c r="M421" s="2">
        <f t="shared" si="12"/>
        <v>272.37356999999997</v>
      </c>
      <c r="N421" s="2">
        <f t="shared" si="13"/>
        <v>118.02825</v>
      </c>
      <c r="O421">
        <v>0</v>
      </c>
    </row>
    <row r="422" spans="1:15" x14ac:dyDescent="0.25">
      <c r="A422" s="15"/>
      <c r="B422" s="15"/>
      <c r="C422">
        <v>40</v>
      </c>
      <c r="D422">
        <v>237.06</v>
      </c>
      <c r="E422">
        <v>158.04</v>
      </c>
      <c r="F422">
        <v>711</v>
      </c>
      <c r="G422">
        <v>1053.3</v>
      </c>
      <c r="H422">
        <v>0</v>
      </c>
      <c r="I422">
        <v>0</v>
      </c>
      <c r="J422">
        <v>196.7</v>
      </c>
      <c r="K422">
        <v>90</v>
      </c>
      <c r="L422" s="10">
        <v>25.3</v>
      </c>
      <c r="M422" s="2">
        <f t="shared" si="12"/>
        <v>272.37356999999997</v>
      </c>
      <c r="N422" s="2">
        <f t="shared" si="13"/>
        <v>118.02825</v>
      </c>
      <c r="O422">
        <v>0</v>
      </c>
    </row>
    <row r="423" spans="1:15" x14ac:dyDescent="0.25">
      <c r="A423" s="15"/>
      <c r="B423" s="15"/>
      <c r="C423">
        <v>45</v>
      </c>
      <c r="D423">
        <v>217.30500000000001</v>
      </c>
      <c r="E423">
        <v>177.79499999999999</v>
      </c>
      <c r="F423">
        <v>711</v>
      </c>
      <c r="G423">
        <v>1053.3</v>
      </c>
      <c r="H423">
        <v>0</v>
      </c>
      <c r="I423">
        <v>0</v>
      </c>
      <c r="J423">
        <v>196.7</v>
      </c>
      <c r="K423">
        <v>14</v>
      </c>
      <c r="L423" s="10">
        <v>18.850000000000001</v>
      </c>
      <c r="M423" s="2">
        <f t="shared" si="12"/>
        <v>258.14997</v>
      </c>
      <c r="N423" s="2">
        <f t="shared" si="13"/>
        <v>110.62012499999999</v>
      </c>
      <c r="O423">
        <v>0</v>
      </c>
    </row>
    <row r="424" spans="1:15" x14ac:dyDescent="0.25">
      <c r="A424" s="15"/>
      <c r="B424" s="15"/>
      <c r="C424">
        <v>45</v>
      </c>
      <c r="D424">
        <v>217.30500000000001</v>
      </c>
      <c r="E424">
        <v>177.79499999999999</v>
      </c>
      <c r="F424">
        <v>711</v>
      </c>
      <c r="G424">
        <v>1053.3</v>
      </c>
      <c r="H424">
        <v>0</v>
      </c>
      <c r="I424">
        <v>0</v>
      </c>
      <c r="J424">
        <v>196.7</v>
      </c>
      <c r="K424">
        <v>28</v>
      </c>
      <c r="L424" s="10">
        <v>24.27</v>
      </c>
      <c r="M424" s="2">
        <f t="shared" si="12"/>
        <v>258.14997</v>
      </c>
      <c r="N424" s="2">
        <f t="shared" si="13"/>
        <v>110.62012499999999</v>
      </c>
      <c r="O424">
        <v>0</v>
      </c>
    </row>
    <row r="425" spans="1:15" x14ac:dyDescent="0.25">
      <c r="A425" s="15"/>
      <c r="B425" s="15"/>
      <c r="C425">
        <v>45</v>
      </c>
      <c r="D425">
        <v>217.30500000000001</v>
      </c>
      <c r="E425">
        <v>177.79499999999999</v>
      </c>
      <c r="F425">
        <v>711</v>
      </c>
      <c r="G425">
        <v>1053.3</v>
      </c>
      <c r="H425">
        <v>0</v>
      </c>
      <c r="I425">
        <v>0</v>
      </c>
      <c r="J425">
        <v>196.7</v>
      </c>
      <c r="K425">
        <v>56</v>
      </c>
      <c r="L425" s="10">
        <v>23.6</v>
      </c>
      <c r="M425" s="2">
        <f t="shared" si="12"/>
        <v>258.14997</v>
      </c>
      <c r="N425" s="2">
        <f t="shared" si="13"/>
        <v>110.62012499999999</v>
      </c>
      <c r="O425">
        <v>0</v>
      </c>
    </row>
    <row r="426" spans="1:15" x14ac:dyDescent="0.25">
      <c r="A426" s="15"/>
      <c r="B426" s="15"/>
      <c r="C426">
        <v>45</v>
      </c>
      <c r="D426">
        <v>217.30500000000001</v>
      </c>
      <c r="E426">
        <v>177.79499999999999</v>
      </c>
      <c r="F426">
        <v>711</v>
      </c>
      <c r="G426">
        <v>1053.3</v>
      </c>
      <c r="H426">
        <v>0</v>
      </c>
      <c r="I426">
        <v>0</v>
      </c>
      <c r="J426">
        <v>196.7</v>
      </c>
      <c r="K426">
        <v>90</v>
      </c>
      <c r="L426" s="10">
        <v>23.7</v>
      </c>
      <c r="M426" s="2">
        <f t="shared" si="12"/>
        <v>258.14997</v>
      </c>
      <c r="N426" s="2">
        <f t="shared" si="13"/>
        <v>110.62012499999999</v>
      </c>
      <c r="O426">
        <v>0</v>
      </c>
    </row>
    <row r="427" spans="1:15" x14ac:dyDescent="0.25">
      <c r="A427" s="15"/>
      <c r="B427" s="15"/>
      <c r="C427">
        <v>50</v>
      </c>
      <c r="D427">
        <v>197.55</v>
      </c>
      <c r="E427">
        <v>197.55</v>
      </c>
      <c r="F427">
        <v>711</v>
      </c>
      <c r="G427">
        <v>1053.3</v>
      </c>
      <c r="H427">
        <v>0</v>
      </c>
      <c r="I427">
        <v>0</v>
      </c>
      <c r="J427">
        <v>196.7</v>
      </c>
      <c r="K427">
        <v>14</v>
      </c>
      <c r="L427" s="10">
        <v>18.170000000000002</v>
      </c>
      <c r="M427" s="2">
        <f t="shared" si="12"/>
        <v>243.92637000000002</v>
      </c>
      <c r="N427" s="2">
        <f t="shared" si="13"/>
        <v>103.21199999999999</v>
      </c>
      <c r="O427">
        <v>0</v>
      </c>
    </row>
    <row r="428" spans="1:15" x14ac:dyDescent="0.25">
      <c r="A428" s="15"/>
      <c r="B428" s="15"/>
      <c r="C428">
        <v>50</v>
      </c>
      <c r="D428">
        <v>197.55</v>
      </c>
      <c r="E428">
        <v>197.55</v>
      </c>
      <c r="F428">
        <v>711</v>
      </c>
      <c r="G428">
        <v>1053.3</v>
      </c>
      <c r="H428">
        <v>0</v>
      </c>
      <c r="I428">
        <v>0</v>
      </c>
      <c r="J428">
        <v>196.7</v>
      </c>
      <c r="K428">
        <v>28</v>
      </c>
      <c r="L428" s="10">
        <v>20.56</v>
      </c>
      <c r="M428" s="2">
        <f t="shared" si="12"/>
        <v>243.92637000000002</v>
      </c>
      <c r="N428" s="2">
        <f t="shared" si="13"/>
        <v>103.21199999999999</v>
      </c>
      <c r="O428">
        <v>0</v>
      </c>
    </row>
    <row r="429" spans="1:15" x14ac:dyDescent="0.25">
      <c r="A429" s="15"/>
      <c r="B429" s="15"/>
      <c r="C429">
        <v>50</v>
      </c>
      <c r="D429">
        <v>197.55</v>
      </c>
      <c r="E429">
        <v>197.55</v>
      </c>
      <c r="F429">
        <v>711</v>
      </c>
      <c r="G429">
        <v>1053.3</v>
      </c>
      <c r="H429">
        <v>0</v>
      </c>
      <c r="I429">
        <v>0</v>
      </c>
      <c r="J429">
        <v>196.7</v>
      </c>
      <c r="K429">
        <v>56</v>
      </c>
      <c r="L429" s="10">
        <v>26.28</v>
      </c>
      <c r="M429" s="2">
        <f t="shared" si="12"/>
        <v>243.92637000000002</v>
      </c>
      <c r="N429" s="2">
        <f t="shared" si="13"/>
        <v>103.21199999999999</v>
      </c>
      <c r="O429">
        <v>0</v>
      </c>
    </row>
    <row r="430" spans="1:15" x14ac:dyDescent="0.25">
      <c r="A430" s="15"/>
      <c r="B430" s="15"/>
      <c r="C430">
        <v>50</v>
      </c>
      <c r="D430">
        <v>197.55</v>
      </c>
      <c r="E430">
        <v>197.55</v>
      </c>
      <c r="F430">
        <v>711</v>
      </c>
      <c r="G430">
        <v>1053.3</v>
      </c>
      <c r="H430">
        <v>0</v>
      </c>
      <c r="I430">
        <v>0</v>
      </c>
      <c r="J430">
        <v>196.7</v>
      </c>
      <c r="K430">
        <v>90</v>
      </c>
      <c r="L430" s="10">
        <v>21.13</v>
      </c>
      <c r="M430" s="2">
        <f t="shared" si="12"/>
        <v>243.92637000000002</v>
      </c>
      <c r="N430" s="2">
        <f t="shared" si="13"/>
        <v>103.21199999999999</v>
      </c>
      <c r="O430">
        <v>0</v>
      </c>
    </row>
    <row r="431" spans="1:15" x14ac:dyDescent="0.25">
      <c r="A431" s="15" t="s">
        <v>74</v>
      </c>
      <c r="B431" s="15" t="s">
        <v>75</v>
      </c>
      <c r="C431">
        <v>0</v>
      </c>
      <c r="D431">
        <v>397.8</v>
      </c>
      <c r="E431">
        <v>0</v>
      </c>
      <c r="F431">
        <v>598.78</v>
      </c>
      <c r="G431">
        <v>1105</v>
      </c>
      <c r="H431">
        <v>0</v>
      </c>
      <c r="I431">
        <v>3.9769999999999999</v>
      </c>
      <c r="J431">
        <v>159.12</v>
      </c>
      <c r="K431">
        <v>14</v>
      </c>
      <c r="L431" s="10">
        <v>21.31</v>
      </c>
      <c r="M431" s="2">
        <f t="shared" si="12"/>
        <v>397.17054199999995</v>
      </c>
      <c r="N431" s="2">
        <f t="shared" si="13"/>
        <v>182.94262499999999</v>
      </c>
      <c r="O431">
        <v>0</v>
      </c>
    </row>
    <row r="432" spans="1:15" x14ac:dyDescent="0.25">
      <c r="A432" s="15"/>
      <c r="B432" s="15"/>
      <c r="C432">
        <v>0</v>
      </c>
      <c r="D432">
        <v>397.8</v>
      </c>
      <c r="E432">
        <v>0</v>
      </c>
      <c r="F432">
        <v>598.78</v>
      </c>
      <c r="G432">
        <v>1105</v>
      </c>
      <c r="H432">
        <v>0</v>
      </c>
      <c r="I432">
        <v>3.9769999999999999</v>
      </c>
      <c r="J432">
        <v>159.12</v>
      </c>
      <c r="K432">
        <v>56</v>
      </c>
      <c r="L432" s="10">
        <v>22.7</v>
      </c>
      <c r="M432" s="2">
        <f t="shared" si="12"/>
        <v>397.17054199999995</v>
      </c>
      <c r="N432" s="2">
        <f t="shared" si="13"/>
        <v>182.94262499999999</v>
      </c>
      <c r="O432">
        <v>0</v>
      </c>
    </row>
    <row r="433" spans="1:15" x14ac:dyDescent="0.25">
      <c r="A433" s="15"/>
      <c r="B433" s="15"/>
      <c r="C433">
        <v>0</v>
      </c>
      <c r="D433">
        <v>397.8</v>
      </c>
      <c r="E433">
        <v>0</v>
      </c>
      <c r="F433">
        <v>598.78</v>
      </c>
      <c r="G433">
        <v>1105</v>
      </c>
      <c r="H433">
        <v>0</v>
      </c>
      <c r="I433">
        <v>3.9769999999999999</v>
      </c>
      <c r="J433">
        <v>159.12</v>
      </c>
      <c r="K433">
        <v>90</v>
      </c>
      <c r="L433" s="10">
        <v>29.02</v>
      </c>
      <c r="M433" s="2">
        <f t="shared" si="12"/>
        <v>397.17054199999995</v>
      </c>
      <c r="N433" s="2">
        <f t="shared" si="13"/>
        <v>182.94262499999999</v>
      </c>
      <c r="O433">
        <v>0</v>
      </c>
    </row>
    <row r="434" spans="1:15" x14ac:dyDescent="0.25">
      <c r="A434" s="15"/>
      <c r="B434" s="15"/>
      <c r="C434">
        <v>5</v>
      </c>
      <c r="D434">
        <v>377.91</v>
      </c>
      <c r="E434">
        <v>19.89</v>
      </c>
      <c r="F434">
        <v>598.78</v>
      </c>
      <c r="G434">
        <v>1105</v>
      </c>
      <c r="H434">
        <v>0</v>
      </c>
      <c r="I434">
        <v>3.9769999999999999</v>
      </c>
      <c r="J434">
        <v>159.12</v>
      </c>
      <c r="K434">
        <v>14</v>
      </c>
      <c r="L434" s="10">
        <v>19.899999999999999</v>
      </c>
      <c r="M434" s="2">
        <f t="shared" si="12"/>
        <v>382.84974199999999</v>
      </c>
      <c r="N434" s="2">
        <f t="shared" si="13"/>
        <v>175.48387500000001</v>
      </c>
      <c r="O434">
        <v>0</v>
      </c>
    </row>
    <row r="435" spans="1:15" x14ac:dyDescent="0.25">
      <c r="A435" s="15"/>
      <c r="B435" s="15"/>
      <c r="C435">
        <v>5</v>
      </c>
      <c r="D435">
        <v>377.91</v>
      </c>
      <c r="E435">
        <v>19.89</v>
      </c>
      <c r="F435">
        <v>598.78</v>
      </c>
      <c r="G435">
        <v>1105</v>
      </c>
      <c r="H435">
        <v>0</v>
      </c>
      <c r="I435">
        <v>3.9769999999999999</v>
      </c>
      <c r="J435">
        <v>159.12</v>
      </c>
      <c r="K435">
        <v>56</v>
      </c>
      <c r="L435" s="10">
        <v>23.76</v>
      </c>
      <c r="M435" s="2">
        <f t="shared" si="12"/>
        <v>382.84974199999999</v>
      </c>
      <c r="N435" s="2">
        <f t="shared" si="13"/>
        <v>175.48387500000001</v>
      </c>
      <c r="O435">
        <v>0</v>
      </c>
    </row>
    <row r="436" spans="1:15" x14ac:dyDescent="0.25">
      <c r="A436" s="15"/>
      <c r="B436" s="15"/>
      <c r="C436">
        <v>5</v>
      </c>
      <c r="D436">
        <v>377.91</v>
      </c>
      <c r="E436">
        <v>19.89</v>
      </c>
      <c r="F436">
        <v>598.78</v>
      </c>
      <c r="G436">
        <v>1105</v>
      </c>
      <c r="H436">
        <v>0</v>
      </c>
      <c r="I436">
        <v>3.9769999999999999</v>
      </c>
      <c r="J436">
        <v>159.12</v>
      </c>
      <c r="K436">
        <v>90</v>
      </c>
      <c r="L436" s="10">
        <v>26.76</v>
      </c>
      <c r="M436" s="2">
        <f t="shared" si="12"/>
        <v>382.84974199999999</v>
      </c>
      <c r="N436" s="2">
        <f t="shared" si="13"/>
        <v>175.48387500000001</v>
      </c>
      <c r="O436">
        <v>0</v>
      </c>
    </row>
    <row r="437" spans="1:15" x14ac:dyDescent="0.25">
      <c r="A437" s="15"/>
      <c r="B437" s="15"/>
      <c r="C437">
        <v>10</v>
      </c>
      <c r="D437">
        <v>358.02</v>
      </c>
      <c r="E437">
        <v>39.78</v>
      </c>
      <c r="F437">
        <v>598.78</v>
      </c>
      <c r="G437">
        <v>1105</v>
      </c>
      <c r="H437">
        <v>0</v>
      </c>
      <c r="I437">
        <v>3.9769999999999999</v>
      </c>
      <c r="J437">
        <v>159.12</v>
      </c>
      <c r="K437">
        <v>14</v>
      </c>
      <c r="L437" s="10">
        <v>18.329999999999998</v>
      </c>
      <c r="M437" s="2">
        <f t="shared" si="12"/>
        <v>368.52894199999997</v>
      </c>
      <c r="N437" s="2">
        <f t="shared" si="13"/>
        <v>168.025125</v>
      </c>
      <c r="O437">
        <v>0</v>
      </c>
    </row>
    <row r="438" spans="1:15" x14ac:dyDescent="0.25">
      <c r="A438" s="15"/>
      <c r="B438" s="15"/>
      <c r="C438">
        <v>10</v>
      </c>
      <c r="D438">
        <v>358.02</v>
      </c>
      <c r="E438">
        <v>39.78</v>
      </c>
      <c r="F438">
        <v>598.78</v>
      </c>
      <c r="G438">
        <v>1105</v>
      </c>
      <c r="H438">
        <v>0</v>
      </c>
      <c r="I438">
        <v>3.9769999999999999</v>
      </c>
      <c r="J438">
        <v>159.12</v>
      </c>
      <c r="K438">
        <v>56</v>
      </c>
      <c r="L438" s="10">
        <v>23.38</v>
      </c>
      <c r="M438" s="2">
        <f t="shared" si="12"/>
        <v>368.52894199999997</v>
      </c>
      <c r="N438" s="2">
        <f t="shared" si="13"/>
        <v>168.025125</v>
      </c>
      <c r="O438">
        <v>0</v>
      </c>
    </row>
    <row r="439" spans="1:15" x14ac:dyDescent="0.25">
      <c r="A439" s="15"/>
      <c r="B439" s="15"/>
      <c r="C439">
        <v>10</v>
      </c>
      <c r="D439">
        <v>358.02</v>
      </c>
      <c r="E439">
        <v>39.78</v>
      </c>
      <c r="F439">
        <v>598.78</v>
      </c>
      <c r="G439">
        <v>1105</v>
      </c>
      <c r="H439">
        <v>0</v>
      </c>
      <c r="I439">
        <v>3.9769999999999999</v>
      </c>
      <c r="J439">
        <v>159.12</v>
      </c>
      <c r="K439">
        <v>90</v>
      </c>
      <c r="L439" s="10">
        <v>25.15</v>
      </c>
      <c r="M439" s="2">
        <f t="shared" si="12"/>
        <v>368.52894199999997</v>
      </c>
      <c r="N439" s="2">
        <f t="shared" si="13"/>
        <v>168.025125</v>
      </c>
      <c r="O439">
        <v>0</v>
      </c>
    </row>
    <row r="440" spans="1:15" x14ac:dyDescent="0.25">
      <c r="A440" s="15"/>
      <c r="B440" s="15"/>
      <c r="C440">
        <v>15</v>
      </c>
      <c r="D440">
        <v>338.13</v>
      </c>
      <c r="E440">
        <v>59.67</v>
      </c>
      <c r="F440">
        <v>598.78</v>
      </c>
      <c r="G440">
        <v>1105</v>
      </c>
      <c r="H440">
        <v>0</v>
      </c>
      <c r="I440">
        <v>3.9769999999999999</v>
      </c>
      <c r="J440">
        <v>159.12</v>
      </c>
      <c r="K440">
        <v>14</v>
      </c>
      <c r="L440" s="10">
        <v>19.440000000000001</v>
      </c>
      <c r="M440" s="2">
        <f t="shared" si="12"/>
        <v>354.20814199999995</v>
      </c>
      <c r="N440" s="2">
        <f t="shared" si="13"/>
        <v>160.56637500000002</v>
      </c>
      <c r="O440">
        <v>0</v>
      </c>
    </row>
    <row r="441" spans="1:15" x14ac:dyDescent="0.25">
      <c r="A441" s="15"/>
      <c r="B441" s="15"/>
      <c r="C441">
        <v>15</v>
      </c>
      <c r="D441">
        <v>338.13</v>
      </c>
      <c r="E441">
        <v>59.67</v>
      </c>
      <c r="F441">
        <v>598.78</v>
      </c>
      <c r="G441">
        <v>1105</v>
      </c>
      <c r="H441">
        <v>0</v>
      </c>
      <c r="I441">
        <v>3.9769999999999999</v>
      </c>
      <c r="J441">
        <v>159.12</v>
      </c>
      <c r="K441">
        <v>56</v>
      </c>
      <c r="L441" s="10">
        <v>23.43</v>
      </c>
      <c r="M441" s="2">
        <f t="shared" si="12"/>
        <v>354.20814199999995</v>
      </c>
      <c r="N441" s="2">
        <f t="shared" si="13"/>
        <v>160.56637500000002</v>
      </c>
      <c r="O441">
        <v>0</v>
      </c>
    </row>
    <row r="442" spans="1:15" x14ac:dyDescent="0.25">
      <c r="A442" s="15"/>
      <c r="B442" s="15"/>
      <c r="C442">
        <v>15</v>
      </c>
      <c r="D442">
        <v>338.13</v>
      </c>
      <c r="E442">
        <v>59.67</v>
      </c>
      <c r="F442">
        <v>598.78</v>
      </c>
      <c r="G442">
        <v>1105</v>
      </c>
      <c r="H442">
        <v>0</v>
      </c>
      <c r="I442">
        <v>3.9769999999999999</v>
      </c>
      <c r="J442">
        <v>159.12</v>
      </c>
      <c r="K442">
        <v>90</v>
      </c>
      <c r="L442" s="10">
        <v>22.86</v>
      </c>
      <c r="M442" s="2">
        <f t="shared" si="12"/>
        <v>354.20814199999995</v>
      </c>
      <c r="N442" s="2">
        <f t="shared" si="13"/>
        <v>160.56637500000002</v>
      </c>
      <c r="O442">
        <v>0</v>
      </c>
    </row>
    <row r="443" spans="1:15" x14ac:dyDescent="0.25">
      <c r="A443" s="15"/>
      <c r="B443" s="15"/>
      <c r="C443">
        <v>20</v>
      </c>
      <c r="D443">
        <v>318.24</v>
      </c>
      <c r="E443">
        <v>79.56</v>
      </c>
      <c r="F443">
        <v>598.78</v>
      </c>
      <c r="G443">
        <v>1105</v>
      </c>
      <c r="H443">
        <v>0</v>
      </c>
      <c r="I443">
        <v>3.9769999999999999</v>
      </c>
      <c r="J443">
        <v>159.12</v>
      </c>
      <c r="K443">
        <v>14</v>
      </c>
      <c r="L443" s="10">
        <v>21.83</v>
      </c>
      <c r="M443" s="2">
        <f t="shared" si="12"/>
        <v>339.88734199999999</v>
      </c>
      <c r="N443" s="2">
        <f t="shared" si="13"/>
        <v>153.10762499999998</v>
      </c>
      <c r="O443">
        <v>0</v>
      </c>
    </row>
    <row r="444" spans="1:15" x14ac:dyDescent="0.25">
      <c r="A444" s="15"/>
      <c r="B444" s="15"/>
      <c r="C444">
        <v>20</v>
      </c>
      <c r="D444">
        <v>318.24</v>
      </c>
      <c r="E444">
        <v>79.56</v>
      </c>
      <c r="F444">
        <v>598.78</v>
      </c>
      <c r="G444">
        <v>1105</v>
      </c>
      <c r="H444">
        <v>0</v>
      </c>
      <c r="I444">
        <v>3.9769999999999999</v>
      </c>
      <c r="J444">
        <v>159.12</v>
      </c>
      <c r="K444">
        <v>56</v>
      </c>
      <c r="L444" s="10">
        <v>21.88</v>
      </c>
      <c r="M444" s="2">
        <f t="shared" si="12"/>
        <v>339.88734199999999</v>
      </c>
      <c r="N444" s="2">
        <f t="shared" si="13"/>
        <v>153.10762499999998</v>
      </c>
      <c r="O444">
        <v>0</v>
      </c>
    </row>
    <row r="445" spans="1:15" x14ac:dyDescent="0.25">
      <c r="A445" s="15"/>
      <c r="B445" s="15"/>
      <c r="C445">
        <v>20</v>
      </c>
      <c r="D445">
        <v>318.24</v>
      </c>
      <c r="E445">
        <v>79.56</v>
      </c>
      <c r="F445">
        <v>598.78</v>
      </c>
      <c r="G445">
        <v>1105</v>
      </c>
      <c r="H445">
        <v>0</v>
      </c>
      <c r="I445">
        <v>3.9769999999999999</v>
      </c>
      <c r="J445">
        <v>159.12</v>
      </c>
      <c r="K445">
        <v>90</v>
      </c>
      <c r="L445" s="10">
        <v>25.27</v>
      </c>
      <c r="M445" s="2">
        <f t="shared" si="12"/>
        <v>339.88734199999999</v>
      </c>
      <c r="N445" s="2">
        <f t="shared" si="13"/>
        <v>153.10762499999998</v>
      </c>
      <c r="O445">
        <v>0</v>
      </c>
    </row>
    <row r="446" spans="1:15" x14ac:dyDescent="0.25">
      <c r="A446" s="15"/>
      <c r="B446" s="15"/>
      <c r="C446">
        <v>25</v>
      </c>
      <c r="D446">
        <v>298.35000000000002</v>
      </c>
      <c r="E446">
        <v>99.45</v>
      </c>
      <c r="F446">
        <v>598.78</v>
      </c>
      <c r="G446">
        <v>1105</v>
      </c>
      <c r="H446">
        <v>0</v>
      </c>
      <c r="I446">
        <v>3.9769999999999999</v>
      </c>
      <c r="J446">
        <v>159.12</v>
      </c>
      <c r="K446">
        <v>14</v>
      </c>
      <c r="L446" s="10">
        <v>18.829999999999998</v>
      </c>
      <c r="M446" s="2">
        <f t="shared" si="12"/>
        <v>325.56654199999997</v>
      </c>
      <c r="N446" s="2">
        <f t="shared" si="13"/>
        <v>145.648875</v>
      </c>
      <c r="O446">
        <v>0</v>
      </c>
    </row>
    <row r="447" spans="1:15" x14ac:dyDescent="0.25">
      <c r="A447" s="15"/>
      <c r="B447" s="15"/>
      <c r="C447">
        <v>25</v>
      </c>
      <c r="D447">
        <v>298.35000000000002</v>
      </c>
      <c r="E447">
        <v>99.45</v>
      </c>
      <c r="F447">
        <v>598.78</v>
      </c>
      <c r="G447">
        <v>1105</v>
      </c>
      <c r="H447">
        <v>0</v>
      </c>
      <c r="I447">
        <v>3.9769999999999999</v>
      </c>
      <c r="J447">
        <v>159.12</v>
      </c>
      <c r="K447">
        <v>56</v>
      </c>
      <c r="L447" s="10">
        <v>21.25</v>
      </c>
      <c r="M447" s="2">
        <f t="shared" si="12"/>
        <v>325.56654199999997</v>
      </c>
      <c r="N447" s="2">
        <f t="shared" si="13"/>
        <v>145.648875</v>
      </c>
      <c r="O447">
        <v>0</v>
      </c>
    </row>
    <row r="448" spans="1:15" x14ac:dyDescent="0.25">
      <c r="A448" s="15"/>
      <c r="B448" s="15"/>
      <c r="C448">
        <v>25</v>
      </c>
      <c r="D448">
        <v>298.35000000000002</v>
      </c>
      <c r="E448">
        <v>99.45</v>
      </c>
      <c r="F448">
        <v>598.78</v>
      </c>
      <c r="G448">
        <v>1105</v>
      </c>
      <c r="H448">
        <v>0</v>
      </c>
      <c r="I448">
        <v>3.9769999999999999</v>
      </c>
      <c r="J448">
        <v>159.12</v>
      </c>
      <c r="K448">
        <v>90</v>
      </c>
      <c r="L448" s="10">
        <v>23.78</v>
      </c>
      <c r="M448" s="2">
        <f t="shared" si="12"/>
        <v>325.56654199999997</v>
      </c>
      <c r="N448" s="2">
        <f t="shared" si="13"/>
        <v>145.648875</v>
      </c>
      <c r="O448">
        <v>0</v>
      </c>
    </row>
    <row r="449" spans="1:15" x14ac:dyDescent="0.25">
      <c r="A449" s="15"/>
      <c r="B449" s="15"/>
      <c r="C449">
        <v>30</v>
      </c>
      <c r="D449">
        <v>278.45999999999998</v>
      </c>
      <c r="E449">
        <v>119.34</v>
      </c>
      <c r="F449">
        <v>598.78</v>
      </c>
      <c r="G449">
        <v>1105</v>
      </c>
      <c r="H449">
        <v>0</v>
      </c>
      <c r="I449">
        <v>3.9769999999999999</v>
      </c>
      <c r="J449">
        <v>159.12</v>
      </c>
      <c r="K449">
        <v>14</v>
      </c>
      <c r="L449" s="10">
        <v>18.149999999999999</v>
      </c>
      <c r="M449" s="2">
        <f t="shared" si="12"/>
        <v>311.24574199999995</v>
      </c>
      <c r="N449" s="2">
        <f t="shared" si="13"/>
        <v>138.19012499999999</v>
      </c>
      <c r="O449">
        <v>0</v>
      </c>
    </row>
    <row r="450" spans="1:15" x14ac:dyDescent="0.25">
      <c r="A450" s="15"/>
      <c r="B450" s="15"/>
      <c r="C450">
        <v>30</v>
      </c>
      <c r="D450">
        <v>278.45999999999998</v>
      </c>
      <c r="E450">
        <v>119.34</v>
      </c>
      <c r="F450">
        <v>598.78</v>
      </c>
      <c r="G450">
        <v>1105</v>
      </c>
      <c r="H450">
        <v>0</v>
      </c>
      <c r="I450">
        <v>3.9769999999999999</v>
      </c>
      <c r="J450">
        <v>159.12</v>
      </c>
      <c r="K450">
        <v>56</v>
      </c>
      <c r="L450" s="10">
        <v>19.66</v>
      </c>
      <c r="M450" s="2">
        <f t="shared" ref="M450:M513" si="14">SUM((D450*0.83)+(E450*0.11)+(F450*0.0139)+(G450*0.0459)+(I450*2))</f>
        <v>311.24574199999995</v>
      </c>
      <c r="N450" s="2">
        <f t="shared" si="13"/>
        <v>138.19012499999999</v>
      </c>
      <c r="O450">
        <v>0</v>
      </c>
    </row>
    <row r="451" spans="1:15" x14ac:dyDescent="0.25">
      <c r="A451" s="15"/>
      <c r="B451" s="15"/>
      <c r="C451">
        <v>30</v>
      </c>
      <c r="D451">
        <v>278.45999999999998</v>
      </c>
      <c r="E451">
        <v>119.34</v>
      </c>
      <c r="F451">
        <v>598.78</v>
      </c>
      <c r="G451">
        <v>1105</v>
      </c>
      <c r="H451">
        <v>0</v>
      </c>
      <c r="I451">
        <v>3.9769999999999999</v>
      </c>
      <c r="J451">
        <v>159.12</v>
      </c>
      <c r="K451">
        <v>90</v>
      </c>
      <c r="L451" s="10">
        <v>23.55</v>
      </c>
      <c r="M451" s="2">
        <f t="shared" si="14"/>
        <v>311.24574199999995</v>
      </c>
      <c r="N451" s="2">
        <f t="shared" ref="N451:N514" si="15">SUM((D451*5)+((F451*0.25)+(G451*0.2)+(I451*20)))*0.075</f>
        <v>138.19012499999999</v>
      </c>
      <c r="O451">
        <v>0</v>
      </c>
    </row>
    <row r="452" spans="1:15" x14ac:dyDescent="0.25">
      <c r="A452" s="15"/>
      <c r="B452" s="15"/>
      <c r="C452">
        <v>35</v>
      </c>
      <c r="D452">
        <v>258.57</v>
      </c>
      <c r="E452">
        <v>139.22999999999999</v>
      </c>
      <c r="F452">
        <v>598.78</v>
      </c>
      <c r="G452">
        <v>1105</v>
      </c>
      <c r="H452">
        <v>0</v>
      </c>
      <c r="I452">
        <v>3.9769999999999999</v>
      </c>
      <c r="J452">
        <v>159.12</v>
      </c>
      <c r="K452">
        <v>14</v>
      </c>
      <c r="L452" s="10">
        <v>20.82</v>
      </c>
      <c r="M452" s="2">
        <f t="shared" si="14"/>
        <v>296.92494199999999</v>
      </c>
      <c r="N452" s="2">
        <f t="shared" si="15"/>
        <v>130.73137499999999</v>
      </c>
      <c r="O452">
        <v>0</v>
      </c>
    </row>
    <row r="453" spans="1:15" x14ac:dyDescent="0.25">
      <c r="A453" s="15"/>
      <c r="B453" s="15"/>
      <c r="C453">
        <v>35</v>
      </c>
      <c r="D453">
        <v>258.57</v>
      </c>
      <c r="E453">
        <v>139.22999999999999</v>
      </c>
      <c r="F453">
        <v>598.78</v>
      </c>
      <c r="G453">
        <v>1105</v>
      </c>
      <c r="H453">
        <v>0</v>
      </c>
      <c r="I453">
        <v>3.9769999999999999</v>
      </c>
      <c r="J453">
        <v>159.12</v>
      </c>
      <c r="K453">
        <v>56</v>
      </c>
      <c r="L453" s="10">
        <v>17.13</v>
      </c>
      <c r="M453" s="2">
        <f t="shared" si="14"/>
        <v>296.92494199999999</v>
      </c>
      <c r="N453" s="2">
        <f t="shared" si="15"/>
        <v>130.73137499999999</v>
      </c>
      <c r="O453">
        <v>0</v>
      </c>
    </row>
    <row r="454" spans="1:15" x14ac:dyDescent="0.25">
      <c r="A454" s="15"/>
      <c r="B454" s="15"/>
      <c r="C454">
        <v>35</v>
      </c>
      <c r="D454">
        <v>258.57</v>
      </c>
      <c r="E454">
        <v>139.22999999999999</v>
      </c>
      <c r="F454">
        <v>598.78</v>
      </c>
      <c r="G454">
        <v>1105</v>
      </c>
      <c r="H454">
        <v>0</v>
      </c>
      <c r="I454">
        <v>3.9769999999999999</v>
      </c>
      <c r="J454">
        <v>159.12</v>
      </c>
      <c r="K454">
        <v>90</v>
      </c>
      <c r="L454" s="10">
        <v>19.41</v>
      </c>
      <c r="M454" s="2">
        <f t="shared" si="14"/>
        <v>296.92494199999999</v>
      </c>
      <c r="N454" s="2">
        <f t="shared" si="15"/>
        <v>130.73137499999999</v>
      </c>
      <c r="O454">
        <v>0</v>
      </c>
    </row>
    <row r="455" spans="1:15" x14ac:dyDescent="0.25">
      <c r="A455" s="15"/>
      <c r="B455" s="15"/>
      <c r="C455">
        <v>40</v>
      </c>
      <c r="D455">
        <v>238.68</v>
      </c>
      <c r="E455">
        <v>159.12</v>
      </c>
      <c r="F455">
        <v>598.78</v>
      </c>
      <c r="G455">
        <v>1105</v>
      </c>
      <c r="H455">
        <v>0</v>
      </c>
      <c r="I455">
        <v>3.9769999999999999</v>
      </c>
      <c r="J455">
        <v>159.12</v>
      </c>
      <c r="K455">
        <v>14</v>
      </c>
      <c r="L455" s="10">
        <v>19.22</v>
      </c>
      <c r="M455" s="2">
        <f t="shared" si="14"/>
        <v>282.60414199999997</v>
      </c>
      <c r="N455" s="2">
        <f t="shared" si="15"/>
        <v>123.27262500000001</v>
      </c>
      <c r="O455">
        <v>0</v>
      </c>
    </row>
    <row r="456" spans="1:15" x14ac:dyDescent="0.25">
      <c r="A456" s="15"/>
      <c r="B456" s="15"/>
      <c r="C456">
        <v>40</v>
      </c>
      <c r="D456">
        <v>238.68</v>
      </c>
      <c r="E456">
        <v>159.12</v>
      </c>
      <c r="F456">
        <v>598.78</v>
      </c>
      <c r="G456">
        <v>1105</v>
      </c>
      <c r="H456">
        <v>0</v>
      </c>
      <c r="I456">
        <v>3.9769999999999999</v>
      </c>
      <c r="J456">
        <v>159.12</v>
      </c>
      <c r="K456">
        <v>56</v>
      </c>
      <c r="L456" s="10">
        <v>20</v>
      </c>
      <c r="M456" s="2">
        <f t="shared" si="14"/>
        <v>282.60414199999997</v>
      </c>
      <c r="N456" s="2">
        <f t="shared" si="15"/>
        <v>123.27262500000001</v>
      </c>
      <c r="O456">
        <v>0</v>
      </c>
    </row>
    <row r="457" spans="1:15" x14ac:dyDescent="0.25">
      <c r="A457" s="15"/>
      <c r="B457" s="15"/>
      <c r="C457">
        <v>40</v>
      </c>
      <c r="D457">
        <v>238.68</v>
      </c>
      <c r="E457">
        <v>159.12</v>
      </c>
      <c r="F457">
        <v>598.78</v>
      </c>
      <c r="G457">
        <v>1105</v>
      </c>
      <c r="H457">
        <v>0</v>
      </c>
      <c r="I457">
        <v>3.9769999999999999</v>
      </c>
      <c r="J457">
        <v>159.12</v>
      </c>
      <c r="K457">
        <v>90</v>
      </c>
      <c r="L457" s="10">
        <v>17.170000000000002</v>
      </c>
      <c r="M457" s="2">
        <f t="shared" si="14"/>
        <v>282.60414199999997</v>
      </c>
      <c r="N457" s="2">
        <f t="shared" si="15"/>
        <v>123.27262500000001</v>
      </c>
      <c r="O457">
        <v>0</v>
      </c>
    </row>
    <row r="458" spans="1:15" x14ac:dyDescent="0.25">
      <c r="A458" s="15"/>
      <c r="B458" s="15"/>
      <c r="C458">
        <v>45</v>
      </c>
      <c r="D458">
        <v>218.79</v>
      </c>
      <c r="E458">
        <v>179.01</v>
      </c>
      <c r="F458">
        <v>598.78</v>
      </c>
      <c r="G458">
        <v>1105</v>
      </c>
      <c r="H458">
        <v>0</v>
      </c>
      <c r="I458">
        <v>3.9769999999999999</v>
      </c>
      <c r="J458">
        <v>159.12</v>
      </c>
      <c r="K458">
        <v>14</v>
      </c>
      <c r="L458" s="10">
        <v>17.079999999999998</v>
      </c>
      <c r="M458" s="2">
        <f t="shared" si="14"/>
        <v>268.283342</v>
      </c>
      <c r="N458" s="2">
        <f t="shared" si="15"/>
        <v>115.813875</v>
      </c>
      <c r="O458">
        <v>0</v>
      </c>
    </row>
    <row r="459" spans="1:15" x14ac:dyDescent="0.25">
      <c r="A459" s="15"/>
      <c r="B459" s="15"/>
      <c r="C459">
        <v>45</v>
      </c>
      <c r="D459">
        <v>218.79</v>
      </c>
      <c r="E459">
        <v>179.01</v>
      </c>
      <c r="F459">
        <v>598.78</v>
      </c>
      <c r="G459">
        <v>1105</v>
      </c>
      <c r="H459">
        <v>0</v>
      </c>
      <c r="I459">
        <v>3.9769999999999999</v>
      </c>
      <c r="J459">
        <v>159.12</v>
      </c>
      <c r="K459">
        <v>56</v>
      </c>
      <c r="L459" s="10">
        <v>13.12</v>
      </c>
      <c r="M459" s="2">
        <f t="shared" si="14"/>
        <v>268.283342</v>
      </c>
      <c r="N459" s="2">
        <f t="shared" si="15"/>
        <v>115.813875</v>
      </c>
      <c r="O459">
        <v>0</v>
      </c>
    </row>
    <row r="460" spans="1:15" x14ac:dyDescent="0.25">
      <c r="A460" s="15"/>
      <c r="B460" s="15"/>
      <c r="C460">
        <v>45</v>
      </c>
      <c r="D460">
        <v>218.79</v>
      </c>
      <c r="E460">
        <v>179.01</v>
      </c>
      <c r="F460">
        <v>598.78</v>
      </c>
      <c r="G460">
        <v>1105</v>
      </c>
      <c r="H460">
        <v>0</v>
      </c>
      <c r="I460">
        <v>3.9769999999999999</v>
      </c>
      <c r="J460">
        <v>159.12</v>
      </c>
      <c r="K460">
        <v>90</v>
      </c>
      <c r="L460" s="10">
        <v>18.86</v>
      </c>
      <c r="M460" s="2">
        <f t="shared" si="14"/>
        <v>268.283342</v>
      </c>
      <c r="N460" s="2">
        <f t="shared" si="15"/>
        <v>115.813875</v>
      </c>
      <c r="O460">
        <v>0</v>
      </c>
    </row>
    <row r="461" spans="1:15" x14ac:dyDescent="0.25">
      <c r="A461" s="15"/>
      <c r="B461" s="15"/>
      <c r="C461">
        <v>50</v>
      </c>
      <c r="D461">
        <v>198.9</v>
      </c>
      <c r="E461">
        <v>198.9</v>
      </c>
      <c r="F461">
        <v>598.78</v>
      </c>
      <c r="G461">
        <v>1105</v>
      </c>
      <c r="H461">
        <v>0</v>
      </c>
      <c r="I461">
        <v>3.9769999999999999</v>
      </c>
      <c r="J461">
        <v>159.12</v>
      </c>
      <c r="K461">
        <v>14</v>
      </c>
      <c r="L461" s="10">
        <v>16.22</v>
      </c>
      <c r="M461" s="2">
        <f t="shared" si="14"/>
        <v>253.96254199999998</v>
      </c>
      <c r="N461" s="2">
        <f t="shared" si="15"/>
        <v>108.355125</v>
      </c>
      <c r="O461">
        <v>0</v>
      </c>
    </row>
    <row r="462" spans="1:15" x14ac:dyDescent="0.25">
      <c r="A462" s="15"/>
      <c r="B462" s="15"/>
      <c r="C462">
        <v>50</v>
      </c>
      <c r="D462">
        <v>198.9</v>
      </c>
      <c r="E462">
        <v>198.9</v>
      </c>
      <c r="F462">
        <v>598.78</v>
      </c>
      <c r="G462">
        <v>1105</v>
      </c>
      <c r="H462">
        <v>0</v>
      </c>
      <c r="I462">
        <v>3.9769999999999999</v>
      </c>
      <c r="J462">
        <v>159.12</v>
      </c>
      <c r="K462">
        <v>56</v>
      </c>
      <c r="L462" s="10">
        <v>17.96</v>
      </c>
      <c r="M462" s="2">
        <f t="shared" si="14"/>
        <v>253.96254199999998</v>
      </c>
      <c r="N462" s="2">
        <f t="shared" si="15"/>
        <v>108.355125</v>
      </c>
      <c r="O462">
        <v>0</v>
      </c>
    </row>
    <row r="463" spans="1:15" x14ac:dyDescent="0.25">
      <c r="A463" s="15"/>
      <c r="B463" s="15"/>
      <c r="C463">
        <v>50</v>
      </c>
      <c r="D463">
        <v>198.9</v>
      </c>
      <c r="E463">
        <v>198.9</v>
      </c>
      <c r="F463">
        <v>598.78</v>
      </c>
      <c r="G463">
        <v>1105</v>
      </c>
      <c r="H463">
        <v>0</v>
      </c>
      <c r="I463">
        <v>3.9769999999999999</v>
      </c>
      <c r="J463">
        <v>159.12</v>
      </c>
      <c r="K463">
        <v>90</v>
      </c>
      <c r="L463" s="10">
        <v>15.32</v>
      </c>
      <c r="M463" s="2">
        <f t="shared" si="14"/>
        <v>253.96254199999998</v>
      </c>
      <c r="N463" s="2">
        <f t="shared" si="15"/>
        <v>108.355125</v>
      </c>
      <c r="O463">
        <v>0</v>
      </c>
    </row>
    <row r="464" spans="1:15" x14ac:dyDescent="0.25">
      <c r="A464" s="15" t="s">
        <v>76</v>
      </c>
      <c r="B464" s="15" t="s">
        <v>77</v>
      </c>
      <c r="C464">
        <v>0</v>
      </c>
      <c r="D464">
        <v>353.45</v>
      </c>
      <c r="E464">
        <v>0</v>
      </c>
      <c r="F464">
        <v>789.49</v>
      </c>
      <c r="G464">
        <v>1046.96</v>
      </c>
      <c r="H464">
        <v>0</v>
      </c>
      <c r="I464">
        <v>0</v>
      </c>
      <c r="J464">
        <v>210.1</v>
      </c>
      <c r="K464">
        <v>7</v>
      </c>
      <c r="L464" s="10">
        <v>21.26</v>
      </c>
      <c r="M464" s="2">
        <f t="shared" si="14"/>
        <v>352.392875</v>
      </c>
      <c r="N464" s="2">
        <f t="shared" si="15"/>
        <v>163.05108750000002</v>
      </c>
      <c r="O464">
        <v>0</v>
      </c>
    </row>
    <row r="465" spans="1:15" x14ac:dyDescent="0.25">
      <c r="A465" s="15"/>
      <c r="B465" s="15"/>
      <c r="C465">
        <v>0</v>
      </c>
      <c r="D465">
        <v>353.45</v>
      </c>
      <c r="E465">
        <v>0</v>
      </c>
      <c r="F465">
        <v>789.49</v>
      </c>
      <c r="G465">
        <v>1046.96</v>
      </c>
      <c r="H465">
        <v>0</v>
      </c>
      <c r="I465">
        <v>0</v>
      </c>
      <c r="J465">
        <v>210.1</v>
      </c>
      <c r="K465">
        <v>14</v>
      </c>
      <c r="L465" s="10">
        <v>19</v>
      </c>
      <c r="M465" s="2">
        <f t="shared" si="14"/>
        <v>352.392875</v>
      </c>
      <c r="N465" s="2">
        <f t="shared" si="15"/>
        <v>163.05108750000002</v>
      </c>
      <c r="O465">
        <v>0</v>
      </c>
    </row>
    <row r="466" spans="1:15" x14ac:dyDescent="0.25">
      <c r="A466" s="15"/>
      <c r="B466" s="15"/>
      <c r="C466">
        <v>0</v>
      </c>
      <c r="D466">
        <v>353.45</v>
      </c>
      <c r="E466">
        <v>0</v>
      </c>
      <c r="F466">
        <v>789.49</v>
      </c>
      <c r="G466">
        <v>1046.96</v>
      </c>
      <c r="H466">
        <v>0</v>
      </c>
      <c r="I466">
        <v>0</v>
      </c>
      <c r="J466">
        <v>210.1</v>
      </c>
      <c r="K466">
        <v>56</v>
      </c>
      <c r="L466" s="10">
        <v>24.67</v>
      </c>
      <c r="M466" s="2">
        <f t="shared" si="14"/>
        <v>352.392875</v>
      </c>
      <c r="N466" s="2">
        <f t="shared" si="15"/>
        <v>163.05108750000002</v>
      </c>
      <c r="O466">
        <v>0</v>
      </c>
    </row>
    <row r="467" spans="1:15" x14ac:dyDescent="0.25">
      <c r="A467" s="15"/>
      <c r="B467" s="15"/>
      <c r="C467">
        <v>0</v>
      </c>
      <c r="D467">
        <v>353.45</v>
      </c>
      <c r="E467">
        <v>0</v>
      </c>
      <c r="F467">
        <v>789.49</v>
      </c>
      <c r="G467">
        <v>1046.96</v>
      </c>
      <c r="H467">
        <v>0</v>
      </c>
      <c r="I467">
        <v>0</v>
      </c>
      <c r="J467">
        <v>210.1</v>
      </c>
      <c r="K467">
        <v>90</v>
      </c>
      <c r="L467" s="10">
        <v>26.13</v>
      </c>
      <c r="M467" s="2">
        <f t="shared" si="14"/>
        <v>352.392875</v>
      </c>
      <c r="N467" s="2">
        <f t="shared" si="15"/>
        <v>163.05108750000002</v>
      </c>
      <c r="O467">
        <v>0</v>
      </c>
    </row>
    <row r="468" spans="1:15" x14ac:dyDescent="0.25">
      <c r="A468" s="15"/>
      <c r="B468" s="15"/>
      <c r="C468">
        <v>5</v>
      </c>
      <c r="D468">
        <v>335.77800000000002</v>
      </c>
      <c r="E468">
        <v>17.672999999999998</v>
      </c>
      <c r="F468">
        <v>789.49</v>
      </c>
      <c r="G468">
        <v>1046.96</v>
      </c>
      <c r="H468">
        <v>0</v>
      </c>
      <c r="I468">
        <v>0</v>
      </c>
      <c r="J468">
        <v>210.1</v>
      </c>
      <c r="K468">
        <v>7</v>
      </c>
      <c r="L468" s="10">
        <v>18.18</v>
      </c>
      <c r="M468" s="2">
        <f t="shared" si="14"/>
        <v>339.66914500000001</v>
      </c>
      <c r="N468" s="2">
        <f t="shared" si="15"/>
        <v>156.42408750000001</v>
      </c>
      <c r="O468">
        <v>0</v>
      </c>
    </row>
    <row r="469" spans="1:15" x14ac:dyDescent="0.25">
      <c r="A469" s="15"/>
      <c r="B469" s="15"/>
      <c r="C469">
        <v>5</v>
      </c>
      <c r="D469">
        <v>335.77800000000002</v>
      </c>
      <c r="E469">
        <v>17.672999999999998</v>
      </c>
      <c r="F469">
        <v>789.49</v>
      </c>
      <c r="G469">
        <v>1046.96</v>
      </c>
      <c r="H469">
        <v>0</v>
      </c>
      <c r="I469">
        <v>0</v>
      </c>
      <c r="J469">
        <v>210.1</v>
      </c>
      <c r="K469">
        <v>14</v>
      </c>
      <c r="L469" s="10">
        <v>21.37</v>
      </c>
      <c r="M469" s="2">
        <f t="shared" si="14"/>
        <v>339.66914500000001</v>
      </c>
      <c r="N469" s="2">
        <f t="shared" si="15"/>
        <v>156.42408750000001</v>
      </c>
      <c r="O469">
        <v>0</v>
      </c>
    </row>
    <row r="470" spans="1:15" x14ac:dyDescent="0.25">
      <c r="A470" s="15"/>
      <c r="B470" s="15"/>
      <c r="C470">
        <v>5</v>
      </c>
      <c r="D470">
        <v>335.77800000000002</v>
      </c>
      <c r="E470">
        <v>17.672999999999998</v>
      </c>
      <c r="F470">
        <v>789.49</v>
      </c>
      <c r="G470">
        <v>1046.96</v>
      </c>
      <c r="H470">
        <v>0</v>
      </c>
      <c r="I470">
        <v>0</v>
      </c>
      <c r="J470">
        <v>210.1</v>
      </c>
      <c r="K470">
        <v>56</v>
      </c>
      <c r="L470" s="10">
        <v>25</v>
      </c>
      <c r="M470" s="2">
        <f t="shared" si="14"/>
        <v>339.66914500000001</v>
      </c>
      <c r="N470" s="2">
        <f t="shared" si="15"/>
        <v>156.42408750000001</v>
      </c>
      <c r="O470">
        <v>0</v>
      </c>
    </row>
    <row r="471" spans="1:15" x14ac:dyDescent="0.25">
      <c r="A471" s="15"/>
      <c r="B471" s="15"/>
      <c r="C471">
        <v>5</v>
      </c>
      <c r="D471">
        <v>335.77800000000002</v>
      </c>
      <c r="E471">
        <v>17.672999999999998</v>
      </c>
      <c r="F471">
        <v>789.49</v>
      </c>
      <c r="G471">
        <v>1046.96</v>
      </c>
      <c r="H471">
        <v>0</v>
      </c>
      <c r="I471">
        <v>0</v>
      </c>
      <c r="J471">
        <v>210.1</v>
      </c>
      <c r="K471">
        <v>90</v>
      </c>
      <c r="L471" s="10">
        <v>25.04</v>
      </c>
      <c r="M471" s="2">
        <f t="shared" si="14"/>
        <v>339.66914500000001</v>
      </c>
      <c r="N471" s="2">
        <f t="shared" si="15"/>
        <v>156.42408750000001</v>
      </c>
      <c r="O471">
        <v>0</v>
      </c>
    </row>
    <row r="472" spans="1:15" x14ac:dyDescent="0.25">
      <c r="A472" s="15"/>
      <c r="B472" s="15"/>
      <c r="C472">
        <v>10</v>
      </c>
      <c r="D472">
        <v>318.10500000000002</v>
      </c>
      <c r="E472">
        <v>35.344999999999999</v>
      </c>
      <c r="F472">
        <v>789.49</v>
      </c>
      <c r="G472">
        <v>1046.96</v>
      </c>
      <c r="H472">
        <v>0</v>
      </c>
      <c r="I472">
        <v>0</v>
      </c>
      <c r="J472">
        <v>210.1</v>
      </c>
      <c r="K472">
        <v>7</v>
      </c>
      <c r="L472" s="10">
        <v>19.23</v>
      </c>
      <c r="M472" s="2">
        <f t="shared" si="14"/>
        <v>326.94447500000001</v>
      </c>
      <c r="N472" s="2">
        <f t="shared" si="15"/>
        <v>149.79671250000001</v>
      </c>
      <c r="O472">
        <v>0</v>
      </c>
    </row>
    <row r="473" spans="1:15" x14ac:dyDescent="0.25">
      <c r="A473" s="15"/>
      <c r="B473" s="15"/>
      <c r="C473">
        <v>10</v>
      </c>
      <c r="D473">
        <v>318.10500000000002</v>
      </c>
      <c r="E473">
        <v>35.344999999999999</v>
      </c>
      <c r="F473">
        <v>789.49</v>
      </c>
      <c r="G473">
        <v>1046.96</v>
      </c>
      <c r="H473">
        <v>0</v>
      </c>
      <c r="I473">
        <v>0</v>
      </c>
      <c r="J473">
        <v>210.1</v>
      </c>
      <c r="K473">
        <v>14</v>
      </c>
      <c r="L473" s="10">
        <v>25.69</v>
      </c>
      <c r="M473" s="2">
        <f t="shared" si="14"/>
        <v>326.94447500000001</v>
      </c>
      <c r="N473" s="2">
        <f t="shared" si="15"/>
        <v>149.79671250000001</v>
      </c>
      <c r="O473">
        <v>0</v>
      </c>
    </row>
    <row r="474" spans="1:15" x14ac:dyDescent="0.25">
      <c r="A474" s="15"/>
      <c r="B474" s="15"/>
      <c r="C474">
        <v>10</v>
      </c>
      <c r="D474">
        <v>318.10500000000002</v>
      </c>
      <c r="E474">
        <v>35.344999999999999</v>
      </c>
      <c r="F474">
        <v>789.49</v>
      </c>
      <c r="G474">
        <v>1046.96</v>
      </c>
      <c r="H474">
        <v>0</v>
      </c>
      <c r="I474">
        <v>0</v>
      </c>
      <c r="J474">
        <v>210.1</v>
      </c>
      <c r="K474">
        <v>56</v>
      </c>
      <c r="L474" s="10">
        <v>23.73</v>
      </c>
      <c r="M474" s="2">
        <f t="shared" si="14"/>
        <v>326.94447500000001</v>
      </c>
      <c r="N474" s="2">
        <f t="shared" si="15"/>
        <v>149.79671250000001</v>
      </c>
      <c r="O474">
        <v>0</v>
      </c>
    </row>
    <row r="475" spans="1:15" x14ac:dyDescent="0.25">
      <c r="A475" s="15"/>
      <c r="B475" s="15"/>
      <c r="C475">
        <v>10</v>
      </c>
      <c r="D475">
        <v>318.10500000000002</v>
      </c>
      <c r="E475">
        <v>35.344999999999999</v>
      </c>
      <c r="F475">
        <v>789.49</v>
      </c>
      <c r="G475">
        <v>1046.96</v>
      </c>
      <c r="H475">
        <v>0</v>
      </c>
      <c r="I475">
        <v>0</v>
      </c>
      <c r="J475">
        <v>210.1</v>
      </c>
      <c r="K475">
        <v>90</v>
      </c>
      <c r="L475" s="10">
        <v>27.63</v>
      </c>
      <c r="M475" s="2">
        <f t="shared" si="14"/>
        <v>326.94447500000001</v>
      </c>
      <c r="N475" s="2">
        <f t="shared" si="15"/>
        <v>149.79671250000001</v>
      </c>
      <c r="O475">
        <v>0</v>
      </c>
    </row>
    <row r="476" spans="1:15" x14ac:dyDescent="0.25">
      <c r="A476" s="15"/>
      <c r="B476" s="15"/>
      <c r="C476">
        <v>15</v>
      </c>
      <c r="D476">
        <v>300.43200000000002</v>
      </c>
      <c r="E476">
        <v>53.017000000000003</v>
      </c>
      <c r="F476">
        <v>789.49</v>
      </c>
      <c r="G476">
        <v>1046.96</v>
      </c>
      <c r="H476">
        <v>0</v>
      </c>
      <c r="I476">
        <v>0</v>
      </c>
      <c r="J476">
        <v>210.1</v>
      </c>
      <c r="K476">
        <v>7</v>
      </c>
      <c r="L476" s="10">
        <v>21.55</v>
      </c>
      <c r="M476" s="2">
        <f t="shared" si="14"/>
        <v>314.21980500000006</v>
      </c>
      <c r="N476" s="2">
        <f t="shared" si="15"/>
        <v>143.16933750000001</v>
      </c>
      <c r="O476">
        <v>0</v>
      </c>
    </row>
    <row r="477" spans="1:15" x14ac:dyDescent="0.25">
      <c r="A477" s="15"/>
      <c r="B477" s="15"/>
      <c r="C477">
        <v>15</v>
      </c>
      <c r="D477">
        <v>300.43200000000002</v>
      </c>
      <c r="E477">
        <v>53.017000000000003</v>
      </c>
      <c r="F477">
        <v>789.49</v>
      </c>
      <c r="G477">
        <v>1046.96</v>
      </c>
      <c r="H477">
        <v>0</v>
      </c>
      <c r="I477">
        <v>0</v>
      </c>
      <c r="J477">
        <v>210.1</v>
      </c>
      <c r="K477">
        <v>14</v>
      </c>
      <c r="L477" s="10">
        <v>19.63</v>
      </c>
      <c r="M477" s="2">
        <f t="shared" si="14"/>
        <v>314.21980500000006</v>
      </c>
      <c r="N477" s="2">
        <f t="shared" si="15"/>
        <v>143.16933750000001</v>
      </c>
      <c r="O477">
        <v>0</v>
      </c>
    </row>
    <row r="478" spans="1:15" x14ac:dyDescent="0.25">
      <c r="A478" s="15"/>
      <c r="B478" s="15"/>
      <c r="C478">
        <v>15</v>
      </c>
      <c r="D478">
        <v>300.43200000000002</v>
      </c>
      <c r="E478">
        <v>53.017000000000003</v>
      </c>
      <c r="F478">
        <v>789.49</v>
      </c>
      <c r="G478">
        <v>1046.96</v>
      </c>
      <c r="H478">
        <v>0</v>
      </c>
      <c r="I478">
        <v>0</v>
      </c>
      <c r="J478">
        <v>210.1</v>
      </c>
      <c r="K478">
        <v>56</v>
      </c>
      <c r="L478" s="10">
        <v>20.309999999999999</v>
      </c>
      <c r="M478" s="2">
        <f t="shared" si="14"/>
        <v>314.21980500000006</v>
      </c>
      <c r="N478" s="2">
        <f t="shared" si="15"/>
        <v>143.16933750000001</v>
      </c>
      <c r="O478">
        <v>0</v>
      </c>
    </row>
    <row r="479" spans="1:15" x14ac:dyDescent="0.25">
      <c r="A479" s="15"/>
      <c r="B479" s="15"/>
      <c r="C479">
        <v>15</v>
      </c>
      <c r="D479">
        <v>300.43200000000002</v>
      </c>
      <c r="E479">
        <v>53.017000000000003</v>
      </c>
      <c r="F479">
        <v>789.49</v>
      </c>
      <c r="G479">
        <v>1046.96</v>
      </c>
      <c r="H479">
        <v>0</v>
      </c>
      <c r="I479">
        <v>0</v>
      </c>
      <c r="J479">
        <v>210.1</v>
      </c>
      <c r="K479">
        <v>90</v>
      </c>
      <c r="L479" s="10">
        <v>25.84</v>
      </c>
      <c r="M479" s="2">
        <f t="shared" si="14"/>
        <v>314.21980500000006</v>
      </c>
      <c r="N479" s="2">
        <f t="shared" si="15"/>
        <v>143.16933750000001</v>
      </c>
      <c r="O479">
        <v>0</v>
      </c>
    </row>
    <row r="480" spans="1:15" x14ac:dyDescent="0.25">
      <c r="A480" s="15"/>
      <c r="B480" s="15"/>
      <c r="C480">
        <v>20</v>
      </c>
      <c r="D480">
        <v>282.76</v>
      </c>
      <c r="E480">
        <v>70.69</v>
      </c>
      <c r="F480">
        <v>789.49</v>
      </c>
      <c r="G480">
        <v>1046.96</v>
      </c>
      <c r="H480">
        <v>0</v>
      </c>
      <c r="I480">
        <v>0</v>
      </c>
      <c r="J480">
        <v>210.1</v>
      </c>
      <c r="K480">
        <v>7</v>
      </c>
      <c r="L480" s="10">
        <v>20.260000000000002</v>
      </c>
      <c r="M480" s="2">
        <f t="shared" si="14"/>
        <v>301.49607499999996</v>
      </c>
      <c r="N480" s="2">
        <f t="shared" si="15"/>
        <v>136.5423375</v>
      </c>
      <c r="O480">
        <v>0</v>
      </c>
    </row>
    <row r="481" spans="1:15" x14ac:dyDescent="0.25">
      <c r="A481" s="15"/>
      <c r="B481" s="15"/>
      <c r="C481">
        <v>20</v>
      </c>
      <c r="D481">
        <v>282.76</v>
      </c>
      <c r="E481">
        <v>70.69</v>
      </c>
      <c r="F481">
        <v>789.49</v>
      </c>
      <c r="G481">
        <v>1046.96</v>
      </c>
      <c r="H481">
        <v>0</v>
      </c>
      <c r="I481">
        <v>0</v>
      </c>
      <c r="J481">
        <v>210.1</v>
      </c>
      <c r="K481">
        <v>14</v>
      </c>
      <c r="L481" s="10">
        <v>20.18</v>
      </c>
      <c r="M481" s="2">
        <f t="shared" si="14"/>
        <v>301.49607499999996</v>
      </c>
      <c r="N481" s="2">
        <f t="shared" si="15"/>
        <v>136.5423375</v>
      </c>
      <c r="O481">
        <v>0</v>
      </c>
    </row>
    <row r="482" spans="1:15" x14ac:dyDescent="0.25">
      <c r="A482" s="15"/>
      <c r="B482" s="15"/>
      <c r="C482">
        <v>20</v>
      </c>
      <c r="D482">
        <v>282.76</v>
      </c>
      <c r="E482">
        <v>70.69</v>
      </c>
      <c r="F482">
        <v>789.49</v>
      </c>
      <c r="G482">
        <v>1046.96</v>
      </c>
      <c r="H482">
        <v>0</v>
      </c>
      <c r="I482">
        <v>0</v>
      </c>
      <c r="J482">
        <v>210.1</v>
      </c>
      <c r="K482">
        <v>56</v>
      </c>
      <c r="L482" s="10">
        <v>24.15</v>
      </c>
      <c r="M482" s="2">
        <f t="shared" si="14"/>
        <v>301.49607499999996</v>
      </c>
      <c r="N482" s="2">
        <f t="shared" si="15"/>
        <v>136.5423375</v>
      </c>
      <c r="O482">
        <v>0</v>
      </c>
    </row>
    <row r="483" spans="1:15" x14ac:dyDescent="0.25">
      <c r="A483" s="15"/>
      <c r="B483" s="15"/>
      <c r="C483">
        <v>20</v>
      </c>
      <c r="D483">
        <v>282.76</v>
      </c>
      <c r="E483">
        <v>70.69</v>
      </c>
      <c r="F483">
        <v>789.49</v>
      </c>
      <c r="G483">
        <v>1046.96</v>
      </c>
      <c r="H483">
        <v>0</v>
      </c>
      <c r="I483">
        <v>0</v>
      </c>
      <c r="J483">
        <v>210.1</v>
      </c>
      <c r="K483">
        <v>90</v>
      </c>
      <c r="L483" s="10">
        <v>21.18</v>
      </c>
      <c r="M483" s="2">
        <f t="shared" si="14"/>
        <v>301.49607499999996</v>
      </c>
      <c r="N483" s="2">
        <f t="shared" si="15"/>
        <v>136.5423375</v>
      </c>
      <c r="O483">
        <v>0</v>
      </c>
    </row>
    <row r="484" spans="1:15" x14ac:dyDescent="0.25">
      <c r="A484" s="15"/>
      <c r="B484" s="15"/>
      <c r="C484">
        <v>25</v>
      </c>
      <c r="D484">
        <v>265.08800000000002</v>
      </c>
      <c r="E484">
        <v>88.363</v>
      </c>
      <c r="F484">
        <v>789.49</v>
      </c>
      <c r="G484">
        <v>1046.96</v>
      </c>
      <c r="H484">
        <v>0</v>
      </c>
      <c r="I484">
        <v>0</v>
      </c>
      <c r="J484">
        <v>210.1</v>
      </c>
      <c r="K484">
        <v>7</v>
      </c>
      <c r="L484" s="10">
        <v>19.100000000000001</v>
      </c>
      <c r="M484" s="2">
        <f t="shared" si="14"/>
        <v>288.77234500000003</v>
      </c>
      <c r="N484" s="2">
        <f t="shared" si="15"/>
        <v>129.91533749999999</v>
      </c>
      <c r="O484">
        <v>0</v>
      </c>
    </row>
    <row r="485" spans="1:15" x14ac:dyDescent="0.25">
      <c r="A485" s="15"/>
      <c r="B485" s="15"/>
      <c r="C485">
        <v>25</v>
      </c>
      <c r="D485">
        <v>265.08800000000002</v>
      </c>
      <c r="E485">
        <v>88.363</v>
      </c>
      <c r="F485">
        <v>789.49</v>
      </c>
      <c r="G485">
        <v>1046.96</v>
      </c>
      <c r="H485">
        <v>0</v>
      </c>
      <c r="I485">
        <v>0</v>
      </c>
      <c r="J485">
        <v>210.1</v>
      </c>
      <c r="K485">
        <v>14</v>
      </c>
      <c r="L485" s="10">
        <v>20.25</v>
      </c>
      <c r="M485" s="2">
        <f t="shared" si="14"/>
        <v>288.77234500000003</v>
      </c>
      <c r="N485" s="2">
        <f t="shared" si="15"/>
        <v>129.91533749999999</v>
      </c>
      <c r="O485">
        <v>0</v>
      </c>
    </row>
    <row r="486" spans="1:15" x14ac:dyDescent="0.25">
      <c r="A486" s="15"/>
      <c r="B486" s="15"/>
      <c r="C486">
        <v>25</v>
      </c>
      <c r="D486">
        <v>265.08800000000002</v>
      </c>
      <c r="E486">
        <v>88.363</v>
      </c>
      <c r="F486">
        <v>789.49</v>
      </c>
      <c r="G486">
        <v>1046.96</v>
      </c>
      <c r="H486">
        <v>0</v>
      </c>
      <c r="I486">
        <v>0</v>
      </c>
      <c r="J486">
        <v>210.1</v>
      </c>
      <c r="K486">
        <v>56</v>
      </c>
      <c r="L486" s="10">
        <v>22.04</v>
      </c>
      <c r="M486" s="2">
        <f t="shared" si="14"/>
        <v>288.77234500000003</v>
      </c>
      <c r="N486" s="2">
        <f t="shared" si="15"/>
        <v>129.91533749999999</v>
      </c>
      <c r="O486">
        <v>0</v>
      </c>
    </row>
    <row r="487" spans="1:15" x14ac:dyDescent="0.25">
      <c r="A487" s="15"/>
      <c r="B487" s="15"/>
      <c r="C487">
        <v>25</v>
      </c>
      <c r="D487">
        <v>265.08800000000002</v>
      </c>
      <c r="E487">
        <v>88.363</v>
      </c>
      <c r="F487">
        <v>789.49</v>
      </c>
      <c r="G487">
        <v>1046.96</v>
      </c>
      <c r="H487">
        <v>0</v>
      </c>
      <c r="I487">
        <v>0</v>
      </c>
      <c r="J487">
        <v>210.1</v>
      </c>
      <c r="K487">
        <v>90</v>
      </c>
      <c r="L487" s="10">
        <v>24.75</v>
      </c>
      <c r="M487" s="2">
        <f t="shared" si="14"/>
        <v>288.77234500000003</v>
      </c>
      <c r="N487" s="2">
        <f t="shared" si="15"/>
        <v>129.91533749999999</v>
      </c>
      <c r="O487">
        <v>0</v>
      </c>
    </row>
    <row r="488" spans="1:15" x14ac:dyDescent="0.25">
      <c r="A488" s="15"/>
      <c r="B488" s="15"/>
      <c r="C488">
        <v>30</v>
      </c>
      <c r="D488">
        <v>247.41499999999999</v>
      </c>
      <c r="E488">
        <v>106.035</v>
      </c>
      <c r="F488">
        <v>789.49</v>
      </c>
      <c r="G488">
        <v>1046.96</v>
      </c>
      <c r="H488">
        <v>0</v>
      </c>
      <c r="I488">
        <v>0</v>
      </c>
      <c r="J488">
        <v>210.1</v>
      </c>
      <c r="K488">
        <v>7</v>
      </c>
      <c r="L488" s="10">
        <v>17.79</v>
      </c>
      <c r="M488" s="2">
        <f t="shared" si="14"/>
        <v>276.04767499999997</v>
      </c>
      <c r="N488" s="2">
        <f t="shared" si="15"/>
        <v>123.28796249999999</v>
      </c>
      <c r="O488">
        <v>0</v>
      </c>
    </row>
    <row r="489" spans="1:15" x14ac:dyDescent="0.25">
      <c r="A489" s="15"/>
      <c r="B489" s="15"/>
      <c r="C489">
        <v>30</v>
      </c>
      <c r="D489">
        <v>247.41499999999999</v>
      </c>
      <c r="E489">
        <v>106.035</v>
      </c>
      <c r="F489">
        <v>789.49</v>
      </c>
      <c r="G489">
        <v>1046.96</v>
      </c>
      <c r="H489">
        <v>0</v>
      </c>
      <c r="I489">
        <v>0</v>
      </c>
      <c r="J489">
        <v>210.1</v>
      </c>
      <c r="K489">
        <v>14</v>
      </c>
      <c r="L489" s="10">
        <v>19.43</v>
      </c>
      <c r="M489" s="2">
        <f t="shared" si="14"/>
        <v>276.04767499999997</v>
      </c>
      <c r="N489" s="2">
        <f t="shared" si="15"/>
        <v>123.28796249999999</v>
      </c>
      <c r="O489">
        <v>0</v>
      </c>
    </row>
    <row r="490" spans="1:15" x14ac:dyDescent="0.25">
      <c r="A490" s="15"/>
      <c r="B490" s="15"/>
      <c r="C490">
        <v>30</v>
      </c>
      <c r="D490">
        <v>247.41499999999999</v>
      </c>
      <c r="E490">
        <v>106.035</v>
      </c>
      <c r="F490">
        <v>789.49</v>
      </c>
      <c r="G490">
        <v>1046.96</v>
      </c>
      <c r="H490">
        <v>0</v>
      </c>
      <c r="I490">
        <v>0</v>
      </c>
      <c r="J490">
        <v>210.1</v>
      </c>
      <c r="K490">
        <v>56</v>
      </c>
      <c r="L490" s="10">
        <v>19.32</v>
      </c>
      <c r="M490" s="2">
        <f t="shared" si="14"/>
        <v>276.04767499999997</v>
      </c>
      <c r="N490" s="2">
        <f t="shared" si="15"/>
        <v>123.28796249999999</v>
      </c>
      <c r="O490">
        <v>0</v>
      </c>
    </row>
    <row r="491" spans="1:15" x14ac:dyDescent="0.25">
      <c r="A491" s="15"/>
      <c r="B491" s="15"/>
      <c r="C491">
        <v>30</v>
      </c>
      <c r="D491">
        <v>247.41499999999999</v>
      </c>
      <c r="E491">
        <v>106.035</v>
      </c>
      <c r="F491">
        <v>789.49</v>
      </c>
      <c r="G491">
        <v>1046.96</v>
      </c>
      <c r="H491">
        <v>0</v>
      </c>
      <c r="I491">
        <v>0</v>
      </c>
      <c r="J491">
        <v>210.1</v>
      </c>
      <c r="K491">
        <v>90</v>
      </c>
      <c r="L491" s="10">
        <v>21.37</v>
      </c>
      <c r="M491" s="2">
        <f t="shared" si="14"/>
        <v>276.04767499999997</v>
      </c>
      <c r="N491" s="2">
        <f t="shared" si="15"/>
        <v>123.28796249999999</v>
      </c>
      <c r="O491">
        <v>0</v>
      </c>
    </row>
    <row r="492" spans="1:15" x14ac:dyDescent="0.25">
      <c r="A492" s="15"/>
      <c r="B492" s="15"/>
      <c r="C492">
        <v>35</v>
      </c>
      <c r="D492">
        <v>229.74199999999999</v>
      </c>
      <c r="E492">
        <v>123.70699999999999</v>
      </c>
      <c r="F492">
        <v>789.49</v>
      </c>
      <c r="G492">
        <v>1046.96</v>
      </c>
      <c r="H492">
        <v>0</v>
      </c>
      <c r="I492">
        <v>0</v>
      </c>
      <c r="J492">
        <v>210.1</v>
      </c>
      <c r="K492">
        <v>7</v>
      </c>
      <c r="L492" s="10">
        <v>15.06</v>
      </c>
      <c r="M492" s="2">
        <f t="shared" si="14"/>
        <v>263.32300499999997</v>
      </c>
      <c r="N492" s="2">
        <f t="shared" si="15"/>
        <v>116.66058749999999</v>
      </c>
      <c r="O492">
        <v>0</v>
      </c>
    </row>
    <row r="493" spans="1:15" x14ac:dyDescent="0.25">
      <c r="A493" s="15"/>
      <c r="B493" s="15"/>
      <c r="C493">
        <v>35</v>
      </c>
      <c r="D493">
        <v>229.74199999999999</v>
      </c>
      <c r="E493">
        <v>123.70699999999999</v>
      </c>
      <c r="F493">
        <v>789.49</v>
      </c>
      <c r="G493">
        <v>1046.96</v>
      </c>
      <c r="H493">
        <v>0</v>
      </c>
      <c r="I493">
        <v>0</v>
      </c>
      <c r="J493">
        <v>210.1</v>
      </c>
      <c r="K493">
        <v>14</v>
      </c>
      <c r="L493" s="10">
        <v>13.47</v>
      </c>
      <c r="M493" s="2">
        <f t="shared" si="14"/>
        <v>263.32300499999997</v>
      </c>
      <c r="N493" s="2">
        <f t="shared" si="15"/>
        <v>116.66058749999999</v>
      </c>
      <c r="O493">
        <v>0</v>
      </c>
    </row>
    <row r="494" spans="1:15" x14ac:dyDescent="0.25">
      <c r="A494" s="15"/>
      <c r="B494" s="15"/>
      <c r="C494">
        <v>35</v>
      </c>
      <c r="D494">
        <v>229.74199999999999</v>
      </c>
      <c r="E494">
        <v>123.70699999999999</v>
      </c>
      <c r="F494">
        <v>789.49</v>
      </c>
      <c r="G494">
        <v>1046.96</v>
      </c>
      <c r="H494">
        <v>0</v>
      </c>
      <c r="I494">
        <v>0</v>
      </c>
      <c r="J494">
        <v>210.1</v>
      </c>
      <c r="K494">
        <v>56</v>
      </c>
      <c r="L494" s="10">
        <v>20.92</v>
      </c>
      <c r="M494" s="2">
        <f t="shared" si="14"/>
        <v>263.32300499999997</v>
      </c>
      <c r="N494" s="2">
        <f t="shared" si="15"/>
        <v>116.66058749999999</v>
      </c>
      <c r="O494">
        <v>0</v>
      </c>
    </row>
    <row r="495" spans="1:15" x14ac:dyDescent="0.25">
      <c r="A495" s="15"/>
      <c r="B495" s="15"/>
      <c r="C495">
        <v>35</v>
      </c>
      <c r="D495">
        <v>229.74199999999999</v>
      </c>
      <c r="E495">
        <v>123.70699999999999</v>
      </c>
      <c r="F495">
        <v>789.49</v>
      </c>
      <c r="G495">
        <v>1046.96</v>
      </c>
      <c r="H495">
        <v>0</v>
      </c>
      <c r="I495">
        <v>0</v>
      </c>
      <c r="J495">
        <v>210.1</v>
      </c>
      <c r="K495">
        <v>90</v>
      </c>
      <c r="L495" s="10">
        <v>21.65</v>
      </c>
      <c r="M495" s="2">
        <f t="shared" si="14"/>
        <v>263.32300499999997</v>
      </c>
      <c r="N495" s="2">
        <f t="shared" si="15"/>
        <v>116.66058749999999</v>
      </c>
      <c r="O495">
        <v>0</v>
      </c>
    </row>
    <row r="496" spans="1:15" x14ac:dyDescent="0.25">
      <c r="A496" s="15"/>
      <c r="B496" s="15"/>
      <c r="C496">
        <v>40</v>
      </c>
      <c r="D496">
        <v>212.07</v>
      </c>
      <c r="E496">
        <v>141.38</v>
      </c>
      <c r="F496">
        <v>789.49</v>
      </c>
      <c r="G496">
        <v>1046.96</v>
      </c>
      <c r="H496">
        <v>0</v>
      </c>
      <c r="I496">
        <v>0</v>
      </c>
      <c r="J496">
        <v>210.1</v>
      </c>
      <c r="K496">
        <v>7</v>
      </c>
      <c r="L496" s="10">
        <v>17.25</v>
      </c>
      <c r="M496" s="2">
        <f t="shared" si="14"/>
        <v>250.59927499999995</v>
      </c>
      <c r="N496" s="2">
        <f t="shared" si="15"/>
        <v>110.0335875</v>
      </c>
      <c r="O496">
        <v>0</v>
      </c>
    </row>
    <row r="497" spans="1:15" x14ac:dyDescent="0.25">
      <c r="A497" s="15"/>
      <c r="B497" s="15"/>
      <c r="C497">
        <v>40</v>
      </c>
      <c r="D497">
        <v>212.07</v>
      </c>
      <c r="E497">
        <v>141.38</v>
      </c>
      <c r="F497">
        <v>789.49</v>
      </c>
      <c r="G497">
        <v>1046.96</v>
      </c>
      <c r="H497">
        <v>0</v>
      </c>
      <c r="I497">
        <v>0</v>
      </c>
      <c r="J497">
        <v>210.1</v>
      </c>
      <c r="K497">
        <v>14</v>
      </c>
      <c r="L497" s="10">
        <v>17.510000000000002</v>
      </c>
      <c r="M497" s="2">
        <f t="shared" si="14"/>
        <v>250.59927499999995</v>
      </c>
      <c r="N497" s="2">
        <f t="shared" si="15"/>
        <v>110.0335875</v>
      </c>
      <c r="O497">
        <v>0</v>
      </c>
    </row>
    <row r="498" spans="1:15" x14ac:dyDescent="0.25">
      <c r="A498" s="15"/>
      <c r="B498" s="15"/>
      <c r="C498">
        <v>40</v>
      </c>
      <c r="D498">
        <v>212.07</v>
      </c>
      <c r="E498">
        <v>141.38</v>
      </c>
      <c r="F498">
        <v>789.49</v>
      </c>
      <c r="G498">
        <v>1046.96</v>
      </c>
      <c r="H498">
        <v>0</v>
      </c>
      <c r="I498">
        <v>0</v>
      </c>
      <c r="J498">
        <v>210.1</v>
      </c>
      <c r="K498">
        <v>56</v>
      </c>
      <c r="L498" s="10">
        <v>18.309999999999999</v>
      </c>
      <c r="M498" s="2">
        <f t="shared" si="14"/>
        <v>250.59927499999995</v>
      </c>
      <c r="N498" s="2">
        <f t="shared" si="15"/>
        <v>110.0335875</v>
      </c>
      <c r="O498">
        <v>0</v>
      </c>
    </row>
    <row r="499" spans="1:15" x14ac:dyDescent="0.25">
      <c r="A499" s="15"/>
      <c r="B499" s="15"/>
      <c r="C499">
        <v>40</v>
      </c>
      <c r="D499">
        <v>212.07</v>
      </c>
      <c r="E499">
        <v>141.38</v>
      </c>
      <c r="F499">
        <v>789.49</v>
      </c>
      <c r="G499">
        <v>1046.96</v>
      </c>
      <c r="H499">
        <v>0</v>
      </c>
      <c r="I499">
        <v>0</v>
      </c>
      <c r="J499">
        <v>210.1</v>
      </c>
      <c r="K499">
        <v>90</v>
      </c>
      <c r="L499" s="10">
        <v>15.32</v>
      </c>
      <c r="M499" s="2">
        <f t="shared" si="14"/>
        <v>250.59927499999995</v>
      </c>
      <c r="N499" s="2">
        <f t="shared" si="15"/>
        <v>110.0335875</v>
      </c>
      <c r="O499">
        <v>0</v>
      </c>
    </row>
    <row r="500" spans="1:15" x14ac:dyDescent="0.25">
      <c r="A500" s="15"/>
      <c r="B500" s="15"/>
      <c r="C500">
        <v>45</v>
      </c>
      <c r="D500">
        <v>194.398</v>
      </c>
      <c r="E500">
        <v>159.05199999999999</v>
      </c>
      <c r="F500">
        <v>789.49</v>
      </c>
      <c r="G500">
        <v>1046.96</v>
      </c>
      <c r="H500">
        <v>0</v>
      </c>
      <c r="I500">
        <v>0</v>
      </c>
      <c r="J500">
        <v>210.1</v>
      </c>
      <c r="K500">
        <v>7</v>
      </c>
      <c r="L500" s="10">
        <v>17.690000000000001</v>
      </c>
      <c r="M500" s="2">
        <f t="shared" si="14"/>
        <v>237.87543499999998</v>
      </c>
      <c r="N500" s="2">
        <f t="shared" si="15"/>
        <v>103.4065875</v>
      </c>
      <c r="O500">
        <v>0</v>
      </c>
    </row>
    <row r="501" spans="1:15" x14ac:dyDescent="0.25">
      <c r="A501" s="15"/>
      <c r="B501" s="15"/>
      <c r="C501">
        <v>45</v>
      </c>
      <c r="D501">
        <v>194.398</v>
      </c>
      <c r="E501">
        <v>159.05199999999999</v>
      </c>
      <c r="F501">
        <v>789.49</v>
      </c>
      <c r="G501">
        <v>1046.96</v>
      </c>
      <c r="H501">
        <v>0</v>
      </c>
      <c r="I501">
        <v>0</v>
      </c>
      <c r="J501">
        <v>210.1</v>
      </c>
      <c r="K501">
        <v>14</v>
      </c>
      <c r="L501" s="10">
        <v>15.55</v>
      </c>
      <c r="M501" s="2">
        <f t="shared" si="14"/>
        <v>237.87543499999998</v>
      </c>
      <c r="N501" s="2">
        <f t="shared" si="15"/>
        <v>103.4065875</v>
      </c>
      <c r="O501">
        <v>0</v>
      </c>
    </row>
    <row r="502" spans="1:15" x14ac:dyDescent="0.25">
      <c r="A502" s="15" t="s">
        <v>148</v>
      </c>
      <c r="B502" s="15" t="s">
        <v>149</v>
      </c>
      <c r="C502">
        <v>0</v>
      </c>
      <c r="D502">
        <v>13.12</v>
      </c>
      <c r="E502">
        <v>0</v>
      </c>
      <c r="F502">
        <v>28.51</v>
      </c>
      <c r="G502">
        <v>53.46</v>
      </c>
      <c r="H502">
        <v>0</v>
      </c>
      <c r="I502">
        <v>0</v>
      </c>
      <c r="J502">
        <v>4.5</v>
      </c>
      <c r="K502">
        <v>7</v>
      </c>
      <c r="L502" s="10">
        <v>22.5</v>
      </c>
      <c r="M502" s="2">
        <f t="shared" si="14"/>
        <v>13.739702999999999</v>
      </c>
      <c r="N502" s="2">
        <f t="shared" si="15"/>
        <v>6.2564624999999996</v>
      </c>
      <c r="O502">
        <v>0</v>
      </c>
    </row>
    <row r="503" spans="1:15" x14ac:dyDescent="0.25">
      <c r="A503" s="15"/>
      <c r="B503" s="15"/>
      <c r="C503">
        <v>0</v>
      </c>
      <c r="D503">
        <v>13.12</v>
      </c>
      <c r="E503">
        <v>0</v>
      </c>
      <c r="F503">
        <v>28.51</v>
      </c>
      <c r="G503">
        <v>53.46</v>
      </c>
      <c r="H503">
        <v>0</v>
      </c>
      <c r="I503">
        <v>0</v>
      </c>
      <c r="J503">
        <v>4.5</v>
      </c>
      <c r="K503">
        <v>14</v>
      </c>
      <c r="L503" s="10">
        <v>23</v>
      </c>
      <c r="M503" s="2">
        <f t="shared" si="14"/>
        <v>13.739702999999999</v>
      </c>
      <c r="N503" s="2">
        <f t="shared" si="15"/>
        <v>6.2564624999999996</v>
      </c>
      <c r="O503">
        <v>0</v>
      </c>
    </row>
    <row r="504" spans="1:15" x14ac:dyDescent="0.25">
      <c r="A504" s="15"/>
      <c r="B504" s="15"/>
      <c r="C504">
        <v>0</v>
      </c>
      <c r="D504">
        <v>13.12</v>
      </c>
      <c r="E504">
        <v>0</v>
      </c>
      <c r="F504">
        <v>28.51</v>
      </c>
      <c r="G504">
        <v>53.46</v>
      </c>
      <c r="H504">
        <v>0</v>
      </c>
      <c r="I504">
        <v>0</v>
      </c>
      <c r="J504">
        <v>4.5</v>
      </c>
      <c r="K504">
        <v>28</v>
      </c>
      <c r="L504" s="10">
        <v>26</v>
      </c>
      <c r="M504" s="2">
        <f t="shared" si="14"/>
        <v>13.739702999999999</v>
      </c>
      <c r="N504" s="2">
        <f t="shared" si="15"/>
        <v>6.2564624999999996</v>
      </c>
      <c r="O504">
        <v>0</v>
      </c>
    </row>
    <row r="505" spans="1:15" x14ac:dyDescent="0.25">
      <c r="A505" s="15"/>
      <c r="B505" s="15"/>
      <c r="C505">
        <v>0</v>
      </c>
      <c r="D505">
        <v>13.12</v>
      </c>
      <c r="E505">
        <v>0</v>
      </c>
      <c r="F505">
        <v>28.51</v>
      </c>
      <c r="G505">
        <v>53.46</v>
      </c>
      <c r="H505">
        <v>0</v>
      </c>
      <c r="I505">
        <v>0</v>
      </c>
      <c r="J505">
        <v>4.5</v>
      </c>
      <c r="K505">
        <v>56</v>
      </c>
      <c r="L505" s="10">
        <v>26</v>
      </c>
      <c r="M505" s="2">
        <f t="shared" si="14"/>
        <v>13.739702999999999</v>
      </c>
      <c r="N505" s="2">
        <f t="shared" si="15"/>
        <v>6.2564624999999996</v>
      </c>
      <c r="O505">
        <v>0</v>
      </c>
    </row>
    <row r="506" spans="1:15" x14ac:dyDescent="0.25">
      <c r="A506" s="15"/>
      <c r="B506" s="15"/>
      <c r="C506">
        <v>2.5</v>
      </c>
      <c r="D506">
        <v>12.79</v>
      </c>
      <c r="E506">
        <v>0.59</v>
      </c>
      <c r="F506">
        <v>28.51</v>
      </c>
      <c r="G506">
        <v>53.46</v>
      </c>
      <c r="H506">
        <v>0</v>
      </c>
      <c r="I506">
        <v>0</v>
      </c>
      <c r="J506">
        <v>4.5</v>
      </c>
      <c r="K506">
        <v>7</v>
      </c>
      <c r="L506" s="10">
        <v>20</v>
      </c>
      <c r="M506" s="2">
        <f t="shared" si="14"/>
        <v>13.530702999999999</v>
      </c>
      <c r="N506" s="2">
        <f t="shared" si="15"/>
        <v>6.1327124999999993</v>
      </c>
      <c r="O506">
        <v>0</v>
      </c>
    </row>
    <row r="507" spans="1:15" x14ac:dyDescent="0.25">
      <c r="A507" s="15"/>
      <c r="B507" s="15"/>
      <c r="C507">
        <v>2.5</v>
      </c>
      <c r="D507">
        <v>12.79</v>
      </c>
      <c r="E507">
        <v>0.59</v>
      </c>
      <c r="F507">
        <v>28.51</v>
      </c>
      <c r="G507">
        <v>53.46</v>
      </c>
      <c r="H507">
        <v>0</v>
      </c>
      <c r="I507">
        <v>0</v>
      </c>
      <c r="J507">
        <v>4.5</v>
      </c>
      <c r="K507">
        <v>14</v>
      </c>
      <c r="L507" s="10">
        <v>20.5</v>
      </c>
      <c r="M507" s="2">
        <f t="shared" si="14"/>
        <v>13.530702999999999</v>
      </c>
      <c r="N507" s="2">
        <f t="shared" si="15"/>
        <v>6.1327124999999993</v>
      </c>
      <c r="O507">
        <v>0</v>
      </c>
    </row>
    <row r="508" spans="1:15" x14ac:dyDescent="0.25">
      <c r="A508" s="15"/>
      <c r="B508" s="15"/>
      <c r="C508">
        <v>2.5</v>
      </c>
      <c r="D508">
        <v>12.79</v>
      </c>
      <c r="E508">
        <v>0.59</v>
      </c>
      <c r="F508">
        <v>28.51</v>
      </c>
      <c r="G508">
        <v>53.46</v>
      </c>
      <c r="H508">
        <v>0</v>
      </c>
      <c r="I508">
        <v>0</v>
      </c>
      <c r="J508">
        <v>4.5</v>
      </c>
      <c r="K508">
        <v>28</v>
      </c>
      <c r="L508" s="10">
        <v>25</v>
      </c>
      <c r="M508" s="2">
        <f t="shared" si="14"/>
        <v>13.530702999999999</v>
      </c>
      <c r="N508" s="2">
        <f t="shared" si="15"/>
        <v>6.1327124999999993</v>
      </c>
      <c r="O508">
        <v>0</v>
      </c>
    </row>
    <row r="509" spans="1:15" x14ac:dyDescent="0.25">
      <c r="A509" s="15"/>
      <c r="B509" s="15"/>
      <c r="C509">
        <v>2.5</v>
      </c>
      <c r="D509">
        <v>12.79</v>
      </c>
      <c r="E509">
        <v>0.59</v>
      </c>
      <c r="F509">
        <v>28.51</v>
      </c>
      <c r="G509">
        <v>53.46</v>
      </c>
      <c r="H509">
        <v>0</v>
      </c>
      <c r="I509">
        <v>0</v>
      </c>
      <c r="J509">
        <v>4.5</v>
      </c>
      <c r="K509">
        <v>56</v>
      </c>
      <c r="L509" s="10">
        <v>25.3</v>
      </c>
      <c r="M509" s="2">
        <f t="shared" si="14"/>
        <v>13.530702999999999</v>
      </c>
      <c r="N509" s="2">
        <f t="shared" si="15"/>
        <v>6.1327124999999993</v>
      </c>
      <c r="O509">
        <v>0</v>
      </c>
    </row>
    <row r="510" spans="1:15" x14ac:dyDescent="0.25">
      <c r="A510" s="15"/>
      <c r="B510" s="15"/>
      <c r="C510">
        <v>5</v>
      </c>
      <c r="D510">
        <v>12.46</v>
      </c>
      <c r="E510">
        <v>1.18</v>
      </c>
      <c r="F510">
        <v>28.51</v>
      </c>
      <c r="G510">
        <v>53.46</v>
      </c>
      <c r="H510">
        <v>0</v>
      </c>
      <c r="I510">
        <v>0</v>
      </c>
      <c r="J510">
        <v>4.5</v>
      </c>
      <c r="K510">
        <v>7</v>
      </c>
      <c r="L510" s="10">
        <v>18</v>
      </c>
      <c r="M510" s="2">
        <f t="shared" si="14"/>
        <v>13.321702999999999</v>
      </c>
      <c r="N510" s="2">
        <f t="shared" si="15"/>
        <v>6.0089625</v>
      </c>
      <c r="O510">
        <v>0</v>
      </c>
    </row>
    <row r="511" spans="1:15" x14ac:dyDescent="0.25">
      <c r="A511" s="15"/>
      <c r="B511" s="15"/>
      <c r="C511">
        <v>5</v>
      </c>
      <c r="D511">
        <v>12.46</v>
      </c>
      <c r="E511">
        <v>1.18</v>
      </c>
      <c r="F511">
        <v>28.51</v>
      </c>
      <c r="G511">
        <v>53.46</v>
      </c>
      <c r="H511">
        <v>0</v>
      </c>
      <c r="I511">
        <v>0</v>
      </c>
      <c r="J511">
        <v>4.5</v>
      </c>
      <c r="K511">
        <v>14</v>
      </c>
      <c r="L511" s="10">
        <v>19</v>
      </c>
      <c r="M511" s="2">
        <f t="shared" si="14"/>
        <v>13.321702999999999</v>
      </c>
      <c r="N511" s="2">
        <f t="shared" si="15"/>
        <v>6.0089625</v>
      </c>
      <c r="O511">
        <v>0</v>
      </c>
    </row>
    <row r="512" spans="1:15" x14ac:dyDescent="0.25">
      <c r="A512" s="15"/>
      <c r="B512" s="15"/>
      <c r="C512">
        <v>5</v>
      </c>
      <c r="D512">
        <v>12.46</v>
      </c>
      <c r="E512">
        <v>1.18</v>
      </c>
      <c r="F512">
        <v>28.51</v>
      </c>
      <c r="G512">
        <v>53.46</v>
      </c>
      <c r="H512">
        <v>0</v>
      </c>
      <c r="I512">
        <v>0</v>
      </c>
      <c r="J512">
        <v>4.5</v>
      </c>
      <c r="K512">
        <v>28</v>
      </c>
      <c r="L512" s="10">
        <v>23.7</v>
      </c>
      <c r="M512" s="2">
        <f t="shared" si="14"/>
        <v>13.321702999999999</v>
      </c>
      <c r="N512" s="2">
        <f t="shared" si="15"/>
        <v>6.0089625</v>
      </c>
      <c r="O512">
        <v>0</v>
      </c>
    </row>
    <row r="513" spans="1:15" x14ac:dyDescent="0.25">
      <c r="A513" s="15"/>
      <c r="B513" s="15"/>
      <c r="C513">
        <v>5</v>
      </c>
      <c r="D513">
        <v>12.46</v>
      </c>
      <c r="E513">
        <v>1.18</v>
      </c>
      <c r="F513">
        <v>28.51</v>
      </c>
      <c r="G513">
        <v>53.46</v>
      </c>
      <c r="H513">
        <v>0</v>
      </c>
      <c r="I513">
        <v>0</v>
      </c>
      <c r="J513">
        <v>4.5</v>
      </c>
      <c r="K513">
        <v>56</v>
      </c>
      <c r="L513" s="10">
        <v>23.5</v>
      </c>
      <c r="M513" s="2">
        <f t="shared" si="14"/>
        <v>13.321702999999999</v>
      </c>
      <c r="N513" s="2">
        <f t="shared" si="15"/>
        <v>6.0089625</v>
      </c>
      <c r="O513">
        <v>0</v>
      </c>
    </row>
    <row r="514" spans="1:15" x14ac:dyDescent="0.25">
      <c r="A514" s="15"/>
      <c r="B514" s="15"/>
      <c r="C514">
        <v>7.5</v>
      </c>
      <c r="D514">
        <v>12.14</v>
      </c>
      <c r="E514">
        <v>1.77</v>
      </c>
      <c r="F514">
        <v>28.51</v>
      </c>
      <c r="G514">
        <v>53.46</v>
      </c>
      <c r="H514">
        <v>0</v>
      </c>
      <c r="I514">
        <v>0</v>
      </c>
      <c r="J514">
        <v>4.5</v>
      </c>
      <c r="K514">
        <v>7</v>
      </c>
      <c r="L514" s="10">
        <v>17</v>
      </c>
      <c r="M514" s="2">
        <f t="shared" ref="M514:M520" si="16">SUM((D514*0.83)+(E514*0.11)+(F514*0.0139)+(G514*0.0459)+(I514*2))</f>
        <v>13.121002999999998</v>
      </c>
      <c r="N514" s="2">
        <f t="shared" si="15"/>
        <v>5.8889625000000008</v>
      </c>
      <c r="O514">
        <v>0</v>
      </c>
    </row>
    <row r="515" spans="1:15" x14ac:dyDescent="0.25">
      <c r="A515" s="15"/>
      <c r="B515" s="15"/>
      <c r="C515">
        <v>7.5</v>
      </c>
      <c r="D515">
        <v>12.14</v>
      </c>
      <c r="E515">
        <v>1.77</v>
      </c>
      <c r="F515">
        <v>28.51</v>
      </c>
      <c r="G515">
        <v>53.46</v>
      </c>
      <c r="H515">
        <v>0</v>
      </c>
      <c r="I515">
        <v>0</v>
      </c>
      <c r="J515">
        <v>4.5</v>
      </c>
      <c r="K515">
        <v>14</v>
      </c>
      <c r="L515" s="10">
        <v>17.3</v>
      </c>
      <c r="M515" s="2">
        <f t="shared" si="16"/>
        <v>13.121002999999998</v>
      </c>
      <c r="N515" s="2">
        <f t="shared" ref="N515:N578" si="17">SUM((D515*5)+((F515*0.25)+(G515*0.2)+(I515*20)))*0.075</f>
        <v>5.8889625000000008</v>
      </c>
      <c r="O515">
        <v>0</v>
      </c>
    </row>
    <row r="516" spans="1:15" x14ac:dyDescent="0.25">
      <c r="A516" s="15"/>
      <c r="B516" s="15"/>
      <c r="C516">
        <v>7.5</v>
      </c>
      <c r="D516">
        <v>12.14</v>
      </c>
      <c r="E516">
        <v>1.77</v>
      </c>
      <c r="F516">
        <v>28.51</v>
      </c>
      <c r="G516">
        <v>53.46</v>
      </c>
      <c r="H516">
        <v>0</v>
      </c>
      <c r="I516">
        <v>0</v>
      </c>
      <c r="J516">
        <v>4.5</v>
      </c>
      <c r="K516">
        <v>28</v>
      </c>
      <c r="L516" s="10">
        <v>20.3</v>
      </c>
      <c r="M516" s="2">
        <f t="shared" si="16"/>
        <v>13.121002999999998</v>
      </c>
      <c r="N516" s="2">
        <f t="shared" si="17"/>
        <v>5.8889625000000008</v>
      </c>
      <c r="O516">
        <v>0</v>
      </c>
    </row>
    <row r="517" spans="1:15" x14ac:dyDescent="0.25">
      <c r="A517" s="15"/>
      <c r="B517" s="15"/>
      <c r="C517">
        <v>7.5</v>
      </c>
      <c r="D517">
        <v>12.14</v>
      </c>
      <c r="E517">
        <v>1.77</v>
      </c>
      <c r="F517">
        <v>28.51</v>
      </c>
      <c r="G517">
        <v>53.46</v>
      </c>
      <c r="H517">
        <v>0</v>
      </c>
      <c r="I517">
        <v>0</v>
      </c>
      <c r="J517">
        <v>4.5</v>
      </c>
      <c r="K517">
        <v>56</v>
      </c>
      <c r="L517" s="10">
        <v>20.399999999999999</v>
      </c>
      <c r="M517" s="2">
        <f t="shared" si="16"/>
        <v>13.121002999999998</v>
      </c>
      <c r="N517" s="2">
        <f t="shared" si="17"/>
        <v>5.8889625000000008</v>
      </c>
      <c r="O517">
        <v>0</v>
      </c>
    </row>
    <row r="518" spans="1:15" x14ac:dyDescent="0.25">
      <c r="A518" s="15"/>
      <c r="B518" s="15"/>
      <c r="C518">
        <v>10</v>
      </c>
      <c r="D518">
        <v>11.81</v>
      </c>
      <c r="E518">
        <v>2.36</v>
      </c>
      <c r="F518">
        <v>28.51</v>
      </c>
      <c r="G518">
        <v>53.46</v>
      </c>
      <c r="H518">
        <v>0</v>
      </c>
      <c r="I518">
        <v>0</v>
      </c>
      <c r="J518">
        <v>4.5</v>
      </c>
      <c r="K518">
        <v>7</v>
      </c>
      <c r="L518" s="10">
        <v>14</v>
      </c>
      <c r="M518" s="2">
        <f t="shared" si="16"/>
        <v>12.912003000000002</v>
      </c>
      <c r="N518" s="2">
        <f t="shared" si="17"/>
        <v>5.7652124999999996</v>
      </c>
      <c r="O518">
        <v>0</v>
      </c>
    </row>
    <row r="519" spans="1:15" x14ac:dyDescent="0.25">
      <c r="A519" s="15"/>
      <c r="B519" s="15"/>
      <c r="C519">
        <v>10</v>
      </c>
      <c r="D519">
        <v>11.81</v>
      </c>
      <c r="E519">
        <v>2.36</v>
      </c>
      <c r="F519">
        <v>28.51</v>
      </c>
      <c r="G519">
        <v>53.46</v>
      </c>
      <c r="H519">
        <v>0</v>
      </c>
      <c r="I519">
        <v>0</v>
      </c>
      <c r="J519">
        <v>4.5</v>
      </c>
      <c r="K519">
        <v>14</v>
      </c>
      <c r="L519" s="10">
        <v>15</v>
      </c>
      <c r="M519" s="2">
        <f t="shared" si="16"/>
        <v>12.912003000000002</v>
      </c>
      <c r="N519" s="2">
        <f t="shared" si="17"/>
        <v>5.7652124999999996</v>
      </c>
      <c r="O519">
        <v>0</v>
      </c>
    </row>
    <row r="520" spans="1:15" x14ac:dyDescent="0.25">
      <c r="A520" s="15"/>
      <c r="B520" s="15"/>
      <c r="C520">
        <v>10</v>
      </c>
      <c r="D520">
        <v>11.81</v>
      </c>
      <c r="E520">
        <v>2.36</v>
      </c>
      <c r="F520">
        <v>28.51</v>
      </c>
      <c r="G520">
        <v>53.46</v>
      </c>
      <c r="H520">
        <v>0</v>
      </c>
      <c r="I520">
        <v>0</v>
      </c>
      <c r="J520">
        <v>4.5</v>
      </c>
      <c r="K520">
        <v>28</v>
      </c>
      <c r="L520" s="10">
        <v>19</v>
      </c>
      <c r="M520" s="2">
        <f t="shared" si="16"/>
        <v>12.912003000000002</v>
      </c>
      <c r="N520" s="2">
        <f t="shared" si="17"/>
        <v>5.7652124999999996</v>
      </c>
      <c r="O520">
        <v>0</v>
      </c>
    </row>
    <row r="521" spans="1:15" x14ac:dyDescent="0.25">
      <c r="A521" s="15"/>
      <c r="B521" s="15"/>
      <c r="C521">
        <v>10</v>
      </c>
      <c r="D521">
        <v>11.81</v>
      </c>
      <c r="E521">
        <v>2.36</v>
      </c>
      <c r="F521">
        <v>28.51</v>
      </c>
      <c r="G521">
        <v>53.46</v>
      </c>
      <c r="H521">
        <v>0</v>
      </c>
      <c r="I521">
        <v>0</v>
      </c>
      <c r="J521">
        <v>4.5</v>
      </c>
      <c r="K521">
        <v>56</v>
      </c>
      <c r="L521" s="10">
        <v>19</v>
      </c>
      <c r="M521" s="2">
        <f t="shared" ref="M521:M584" si="18">SUM((D521*0.83)+(E521*0.11)+(F521*0.0139)+(G521*0.0459)+(I521*2))</f>
        <v>12.912003000000002</v>
      </c>
      <c r="N521" s="2">
        <f t="shared" si="17"/>
        <v>5.7652124999999996</v>
      </c>
      <c r="O521">
        <v>0</v>
      </c>
    </row>
    <row r="522" spans="1:15" x14ac:dyDescent="0.25">
      <c r="A522" s="15" t="s">
        <v>356</v>
      </c>
      <c r="B522" s="15" t="s">
        <v>355</v>
      </c>
      <c r="C522">
        <v>0</v>
      </c>
      <c r="D522">
        <v>500</v>
      </c>
      <c r="E522">
        <v>0</v>
      </c>
      <c r="F522">
        <v>745</v>
      </c>
      <c r="G522">
        <v>945</v>
      </c>
      <c r="H522">
        <v>0</v>
      </c>
      <c r="I522">
        <v>3</v>
      </c>
      <c r="J522">
        <v>190</v>
      </c>
      <c r="K522">
        <v>7</v>
      </c>
      <c r="L522" s="10">
        <v>53.1</v>
      </c>
      <c r="M522" s="2">
        <f t="shared" si="18"/>
        <v>474.73099999999999</v>
      </c>
      <c r="N522" s="2">
        <f t="shared" si="17"/>
        <v>220.14374999999998</v>
      </c>
      <c r="O522">
        <v>165</v>
      </c>
    </row>
    <row r="523" spans="1:15" x14ac:dyDescent="0.25">
      <c r="A523" s="15"/>
      <c r="B523" s="15"/>
      <c r="C523">
        <v>0</v>
      </c>
      <c r="D523">
        <v>500</v>
      </c>
      <c r="E523">
        <v>0</v>
      </c>
      <c r="F523">
        <v>745</v>
      </c>
      <c r="G523">
        <v>945</v>
      </c>
      <c r="H523">
        <v>0</v>
      </c>
      <c r="I523">
        <v>3</v>
      </c>
      <c r="J523">
        <v>190</v>
      </c>
      <c r="K523">
        <v>28</v>
      </c>
      <c r="L523" s="10">
        <v>60.5</v>
      </c>
      <c r="M523" s="2">
        <f t="shared" si="18"/>
        <v>474.73099999999999</v>
      </c>
      <c r="N523" s="2">
        <f t="shared" si="17"/>
        <v>220.14374999999998</v>
      </c>
      <c r="O523">
        <v>165</v>
      </c>
    </row>
    <row r="524" spans="1:15" x14ac:dyDescent="0.25">
      <c r="A524" s="15"/>
      <c r="B524" s="15"/>
      <c r="C524">
        <v>0</v>
      </c>
      <c r="D524">
        <v>500</v>
      </c>
      <c r="E524">
        <v>0</v>
      </c>
      <c r="F524">
        <v>745</v>
      </c>
      <c r="G524">
        <v>945</v>
      </c>
      <c r="H524">
        <v>0</v>
      </c>
      <c r="I524">
        <v>3</v>
      </c>
      <c r="J524">
        <v>190</v>
      </c>
      <c r="K524">
        <v>90</v>
      </c>
      <c r="L524" s="10">
        <v>65.5</v>
      </c>
      <c r="M524" s="2">
        <f t="shared" si="18"/>
        <v>474.73099999999999</v>
      </c>
      <c r="N524" s="2">
        <f t="shared" si="17"/>
        <v>220.14374999999998</v>
      </c>
      <c r="O524">
        <v>165</v>
      </c>
    </row>
    <row r="525" spans="1:15" x14ac:dyDescent="0.25">
      <c r="A525" s="15"/>
      <c r="B525" s="15"/>
      <c r="C525">
        <v>0</v>
      </c>
      <c r="D525">
        <v>500</v>
      </c>
      <c r="E525">
        <v>0</v>
      </c>
      <c r="F525">
        <v>745</v>
      </c>
      <c r="G525">
        <v>945</v>
      </c>
      <c r="H525">
        <v>0</v>
      </c>
      <c r="I525">
        <v>3</v>
      </c>
      <c r="J525">
        <v>190</v>
      </c>
      <c r="K525">
        <v>180</v>
      </c>
      <c r="L525" s="10">
        <v>69.599999999999994</v>
      </c>
      <c r="M525" s="2">
        <f t="shared" si="18"/>
        <v>474.73099999999999</v>
      </c>
      <c r="N525" s="2">
        <f t="shared" si="17"/>
        <v>220.14374999999998</v>
      </c>
      <c r="O525">
        <v>165</v>
      </c>
    </row>
    <row r="526" spans="1:15" x14ac:dyDescent="0.25">
      <c r="A526" s="15"/>
      <c r="B526" s="15"/>
      <c r="C526">
        <v>5</v>
      </c>
      <c r="D526">
        <v>475</v>
      </c>
      <c r="E526">
        <v>25</v>
      </c>
      <c r="F526">
        <v>745</v>
      </c>
      <c r="G526">
        <v>945</v>
      </c>
      <c r="H526">
        <v>0</v>
      </c>
      <c r="I526">
        <v>3</v>
      </c>
      <c r="J526">
        <v>190</v>
      </c>
      <c r="K526">
        <v>7</v>
      </c>
      <c r="L526" s="10">
        <v>69.599999999999994</v>
      </c>
      <c r="M526" s="2">
        <f t="shared" si="18"/>
        <v>456.73099999999999</v>
      </c>
      <c r="N526" s="2">
        <f t="shared" si="17"/>
        <v>210.76874999999998</v>
      </c>
      <c r="O526">
        <v>173</v>
      </c>
    </row>
    <row r="527" spans="1:15" x14ac:dyDescent="0.25">
      <c r="A527" s="15"/>
      <c r="B527" s="15"/>
      <c r="C527">
        <v>5</v>
      </c>
      <c r="D527">
        <v>475</v>
      </c>
      <c r="E527">
        <v>25</v>
      </c>
      <c r="F527">
        <v>745</v>
      </c>
      <c r="G527">
        <v>945</v>
      </c>
      <c r="H527">
        <v>0</v>
      </c>
      <c r="I527">
        <v>3</v>
      </c>
      <c r="J527">
        <v>190</v>
      </c>
      <c r="K527">
        <v>28</v>
      </c>
      <c r="L527" s="10">
        <v>90.9</v>
      </c>
      <c r="M527" s="2">
        <f t="shared" si="18"/>
        <v>456.73099999999999</v>
      </c>
      <c r="N527" s="2">
        <f t="shared" si="17"/>
        <v>210.76874999999998</v>
      </c>
      <c r="O527">
        <v>173</v>
      </c>
    </row>
    <row r="528" spans="1:15" x14ac:dyDescent="0.25">
      <c r="A528" s="15"/>
      <c r="B528" s="15"/>
      <c r="C528">
        <v>5</v>
      </c>
      <c r="D528">
        <v>475</v>
      </c>
      <c r="E528">
        <v>25</v>
      </c>
      <c r="F528">
        <v>745</v>
      </c>
      <c r="G528">
        <v>945</v>
      </c>
      <c r="H528">
        <v>0</v>
      </c>
      <c r="I528">
        <v>3</v>
      </c>
      <c r="J528">
        <v>190</v>
      </c>
      <c r="K528">
        <v>90</v>
      </c>
      <c r="L528" s="10">
        <v>96.9</v>
      </c>
      <c r="M528" s="2">
        <f t="shared" si="18"/>
        <v>456.73099999999999</v>
      </c>
      <c r="N528" s="2">
        <f t="shared" si="17"/>
        <v>210.76874999999998</v>
      </c>
      <c r="O528">
        <v>173</v>
      </c>
    </row>
    <row r="529" spans="1:15" x14ac:dyDescent="0.25">
      <c r="A529" s="15"/>
      <c r="B529" s="15"/>
      <c r="C529">
        <v>5</v>
      </c>
      <c r="D529">
        <v>475</v>
      </c>
      <c r="E529">
        <v>25</v>
      </c>
      <c r="F529">
        <v>745</v>
      </c>
      <c r="G529">
        <v>945</v>
      </c>
      <c r="H529">
        <v>0</v>
      </c>
      <c r="I529">
        <v>3</v>
      </c>
      <c r="J529">
        <v>190</v>
      </c>
      <c r="K529">
        <v>180</v>
      </c>
      <c r="L529" s="10">
        <v>98.7</v>
      </c>
      <c r="M529" s="2">
        <f t="shared" si="18"/>
        <v>456.73099999999999</v>
      </c>
      <c r="N529" s="2">
        <f t="shared" si="17"/>
        <v>210.76874999999998</v>
      </c>
      <c r="O529">
        <v>173</v>
      </c>
    </row>
    <row r="530" spans="1:15" x14ac:dyDescent="0.25">
      <c r="A530" s="15"/>
      <c r="B530" s="15"/>
      <c r="C530">
        <v>10</v>
      </c>
      <c r="D530">
        <v>450</v>
      </c>
      <c r="E530">
        <v>50</v>
      </c>
      <c r="F530">
        <v>745</v>
      </c>
      <c r="G530">
        <v>945</v>
      </c>
      <c r="H530">
        <v>0</v>
      </c>
      <c r="I530">
        <v>3</v>
      </c>
      <c r="J530">
        <v>190</v>
      </c>
      <c r="K530">
        <v>7</v>
      </c>
      <c r="L530" s="10">
        <v>63.7</v>
      </c>
      <c r="M530" s="2">
        <f t="shared" si="18"/>
        <v>438.73099999999999</v>
      </c>
      <c r="N530" s="2">
        <f t="shared" si="17"/>
        <v>201.39374999999998</v>
      </c>
      <c r="O530">
        <v>180</v>
      </c>
    </row>
    <row r="531" spans="1:15" x14ac:dyDescent="0.25">
      <c r="A531" s="15"/>
      <c r="B531" s="15"/>
      <c r="C531">
        <v>10</v>
      </c>
      <c r="D531">
        <v>450</v>
      </c>
      <c r="E531">
        <v>50</v>
      </c>
      <c r="F531">
        <v>745</v>
      </c>
      <c r="G531">
        <v>945</v>
      </c>
      <c r="H531">
        <v>0</v>
      </c>
      <c r="I531">
        <v>3</v>
      </c>
      <c r="J531">
        <v>190</v>
      </c>
      <c r="K531">
        <v>28</v>
      </c>
      <c r="L531" s="10">
        <v>86.3</v>
      </c>
      <c r="M531" s="2">
        <f t="shared" si="18"/>
        <v>438.73099999999999</v>
      </c>
      <c r="N531" s="2">
        <f t="shared" si="17"/>
        <v>201.39374999999998</v>
      </c>
      <c r="O531">
        <v>180</v>
      </c>
    </row>
    <row r="532" spans="1:15" x14ac:dyDescent="0.25">
      <c r="A532" s="15"/>
      <c r="B532" s="15"/>
      <c r="C532">
        <v>10</v>
      </c>
      <c r="D532">
        <v>450</v>
      </c>
      <c r="E532">
        <v>50</v>
      </c>
      <c r="F532">
        <v>745</v>
      </c>
      <c r="G532">
        <v>945</v>
      </c>
      <c r="H532">
        <v>0</v>
      </c>
      <c r="I532">
        <v>3</v>
      </c>
      <c r="J532">
        <v>190</v>
      </c>
      <c r="K532">
        <v>90</v>
      </c>
      <c r="L532" s="10">
        <v>93.2</v>
      </c>
      <c r="M532" s="2">
        <f t="shared" si="18"/>
        <v>438.73099999999999</v>
      </c>
      <c r="N532" s="2">
        <f t="shared" si="17"/>
        <v>201.39374999999998</v>
      </c>
      <c r="O532">
        <v>180</v>
      </c>
    </row>
    <row r="533" spans="1:15" x14ac:dyDescent="0.25">
      <c r="A533" s="15"/>
      <c r="B533" s="15"/>
      <c r="C533">
        <v>10</v>
      </c>
      <c r="D533">
        <v>450</v>
      </c>
      <c r="E533">
        <v>50</v>
      </c>
      <c r="F533">
        <v>745</v>
      </c>
      <c r="G533">
        <v>945</v>
      </c>
      <c r="H533">
        <v>0</v>
      </c>
      <c r="I533">
        <v>3</v>
      </c>
      <c r="J533">
        <v>190</v>
      </c>
      <c r="K533">
        <v>180</v>
      </c>
      <c r="L533" s="10">
        <v>96</v>
      </c>
      <c r="M533" s="2">
        <f t="shared" si="18"/>
        <v>438.73099999999999</v>
      </c>
      <c r="N533" s="2">
        <f t="shared" si="17"/>
        <v>201.39374999999998</v>
      </c>
      <c r="O533">
        <v>180</v>
      </c>
    </row>
    <row r="534" spans="1:15" x14ac:dyDescent="0.25">
      <c r="A534" s="15"/>
      <c r="B534" s="15"/>
      <c r="C534">
        <v>15</v>
      </c>
      <c r="D534">
        <v>425</v>
      </c>
      <c r="E534">
        <v>75</v>
      </c>
      <c r="F534">
        <v>745</v>
      </c>
      <c r="G534">
        <v>945</v>
      </c>
      <c r="H534">
        <v>0</v>
      </c>
      <c r="I534">
        <v>3</v>
      </c>
      <c r="J534">
        <v>190</v>
      </c>
      <c r="K534">
        <v>7</v>
      </c>
      <c r="L534" s="10">
        <v>58.6</v>
      </c>
      <c r="M534" s="2">
        <f t="shared" si="18"/>
        <v>420.73099999999999</v>
      </c>
      <c r="N534" s="2">
        <f t="shared" si="17"/>
        <v>192.01874999999998</v>
      </c>
      <c r="O534">
        <v>186</v>
      </c>
    </row>
    <row r="535" spans="1:15" x14ac:dyDescent="0.25">
      <c r="A535" s="15"/>
      <c r="B535" s="15"/>
      <c r="C535">
        <v>15</v>
      </c>
      <c r="D535">
        <v>425</v>
      </c>
      <c r="E535">
        <v>75</v>
      </c>
      <c r="F535">
        <v>745</v>
      </c>
      <c r="G535">
        <v>945</v>
      </c>
      <c r="H535">
        <v>0</v>
      </c>
      <c r="I535">
        <v>3</v>
      </c>
      <c r="J535">
        <v>190</v>
      </c>
      <c r="K535">
        <v>28</v>
      </c>
      <c r="L535" s="10">
        <v>83.5</v>
      </c>
      <c r="M535" s="2">
        <f t="shared" si="18"/>
        <v>420.73099999999999</v>
      </c>
      <c r="N535" s="2">
        <f t="shared" si="17"/>
        <v>192.01874999999998</v>
      </c>
      <c r="O535">
        <v>186</v>
      </c>
    </row>
    <row r="536" spans="1:15" x14ac:dyDescent="0.25">
      <c r="A536" s="15"/>
      <c r="B536" s="15"/>
      <c r="C536">
        <v>15</v>
      </c>
      <c r="D536">
        <v>425</v>
      </c>
      <c r="E536">
        <v>75</v>
      </c>
      <c r="F536">
        <v>745</v>
      </c>
      <c r="G536">
        <v>945</v>
      </c>
      <c r="H536">
        <v>0</v>
      </c>
      <c r="I536">
        <v>3</v>
      </c>
      <c r="J536">
        <v>190</v>
      </c>
      <c r="K536">
        <v>90</v>
      </c>
      <c r="L536" s="10">
        <v>93.2</v>
      </c>
      <c r="M536" s="2">
        <f t="shared" si="18"/>
        <v>420.73099999999999</v>
      </c>
      <c r="N536" s="2">
        <f t="shared" si="17"/>
        <v>192.01874999999998</v>
      </c>
      <c r="O536">
        <v>186</v>
      </c>
    </row>
    <row r="537" spans="1:15" x14ac:dyDescent="0.25">
      <c r="A537" s="15"/>
      <c r="B537" s="15"/>
      <c r="C537">
        <v>15</v>
      </c>
      <c r="D537">
        <v>425</v>
      </c>
      <c r="E537">
        <v>75</v>
      </c>
      <c r="F537">
        <v>745</v>
      </c>
      <c r="G537">
        <v>945</v>
      </c>
      <c r="H537">
        <v>0</v>
      </c>
      <c r="I537">
        <v>3</v>
      </c>
      <c r="J537">
        <v>190</v>
      </c>
      <c r="K537">
        <v>180</v>
      </c>
      <c r="L537" s="10">
        <v>94.6</v>
      </c>
      <c r="M537" s="2">
        <f t="shared" si="18"/>
        <v>420.73099999999999</v>
      </c>
      <c r="N537" s="2">
        <f t="shared" si="17"/>
        <v>192.01874999999998</v>
      </c>
      <c r="O537">
        <v>186</v>
      </c>
    </row>
    <row r="538" spans="1:15" x14ac:dyDescent="0.25">
      <c r="A538" s="15"/>
      <c r="B538" s="15"/>
      <c r="C538">
        <v>20</v>
      </c>
      <c r="D538">
        <v>400</v>
      </c>
      <c r="E538">
        <v>100</v>
      </c>
      <c r="F538">
        <v>745</v>
      </c>
      <c r="G538">
        <v>945</v>
      </c>
      <c r="H538">
        <v>0</v>
      </c>
      <c r="I538">
        <v>3</v>
      </c>
      <c r="J538">
        <v>190</v>
      </c>
      <c r="K538">
        <v>7</v>
      </c>
      <c r="L538" s="10">
        <v>55.4</v>
      </c>
      <c r="M538" s="2">
        <f t="shared" si="18"/>
        <v>402.73099999999999</v>
      </c>
      <c r="N538" s="2">
        <f t="shared" si="17"/>
        <v>182.64374999999998</v>
      </c>
      <c r="O538">
        <v>195</v>
      </c>
    </row>
    <row r="539" spans="1:15" x14ac:dyDescent="0.25">
      <c r="A539" s="15"/>
      <c r="B539" s="15"/>
      <c r="C539">
        <v>20</v>
      </c>
      <c r="D539">
        <v>400</v>
      </c>
      <c r="E539">
        <v>100</v>
      </c>
      <c r="F539">
        <v>745</v>
      </c>
      <c r="G539">
        <v>945</v>
      </c>
      <c r="H539">
        <v>0</v>
      </c>
      <c r="I539">
        <v>3</v>
      </c>
      <c r="J539">
        <v>190</v>
      </c>
      <c r="K539">
        <v>28</v>
      </c>
      <c r="L539" s="10">
        <v>68.7</v>
      </c>
      <c r="M539" s="2">
        <f t="shared" si="18"/>
        <v>402.73099999999999</v>
      </c>
      <c r="N539" s="2">
        <f t="shared" si="17"/>
        <v>182.64374999999998</v>
      </c>
      <c r="O539">
        <v>195</v>
      </c>
    </row>
    <row r="540" spans="1:15" x14ac:dyDescent="0.25">
      <c r="A540" s="15"/>
      <c r="B540" s="15"/>
      <c r="C540">
        <v>20</v>
      </c>
      <c r="D540">
        <v>400</v>
      </c>
      <c r="E540">
        <v>100</v>
      </c>
      <c r="F540">
        <v>745</v>
      </c>
      <c r="G540">
        <v>945</v>
      </c>
      <c r="H540">
        <v>0</v>
      </c>
      <c r="I540">
        <v>3</v>
      </c>
      <c r="J540">
        <v>190</v>
      </c>
      <c r="K540">
        <v>90</v>
      </c>
      <c r="L540" s="10">
        <v>80.599999999999994</v>
      </c>
      <c r="M540" s="2">
        <f t="shared" si="18"/>
        <v>402.73099999999999</v>
      </c>
      <c r="N540" s="2">
        <f t="shared" si="17"/>
        <v>182.64374999999998</v>
      </c>
      <c r="O540">
        <v>195</v>
      </c>
    </row>
    <row r="541" spans="1:15" x14ac:dyDescent="0.25">
      <c r="A541" s="15"/>
      <c r="B541" s="15"/>
      <c r="C541">
        <v>20</v>
      </c>
      <c r="D541">
        <v>400</v>
      </c>
      <c r="E541">
        <v>100</v>
      </c>
      <c r="F541">
        <v>745</v>
      </c>
      <c r="G541">
        <v>945</v>
      </c>
      <c r="H541">
        <v>0</v>
      </c>
      <c r="I541">
        <v>3</v>
      </c>
      <c r="J541">
        <v>190</v>
      </c>
      <c r="K541">
        <v>180</v>
      </c>
      <c r="L541" s="10">
        <v>84.6</v>
      </c>
      <c r="M541" s="2">
        <f t="shared" si="18"/>
        <v>402.73099999999999</v>
      </c>
      <c r="N541" s="2">
        <f t="shared" si="17"/>
        <v>182.64374999999998</v>
      </c>
      <c r="O541">
        <v>195</v>
      </c>
    </row>
    <row r="542" spans="1:15" x14ac:dyDescent="0.25">
      <c r="A542" s="15"/>
      <c r="B542" s="15"/>
      <c r="C542">
        <v>25</v>
      </c>
      <c r="D542">
        <v>375</v>
      </c>
      <c r="E542">
        <v>125</v>
      </c>
      <c r="F542">
        <v>745</v>
      </c>
      <c r="G542">
        <v>945</v>
      </c>
      <c r="H542">
        <v>0</v>
      </c>
      <c r="I542">
        <v>3</v>
      </c>
      <c r="J542">
        <v>190</v>
      </c>
      <c r="K542">
        <v>7</v>
      </c>
      <c r="L542" s="10">
        <v>44.8</v>
      </c>
      <c r="M542" s="2">
        <f t="shared" si="18"/>
        <v>384.73099999999999</v>
      </c>
      <c r="N542" s="2">
        <f t="shared" si="17"/>
        <v>173.26874999999998</v>
      </c>
      <c r="O542">
        <v>205</v>
      </c>
    </row>
    <row r="543" spans="1:15" x14ac:dyDescent="0.25">
      <c r="A543" s="15"/>
      <c r="B543" s="15"/>
      <c r="C543">
        <v>25</v>
      </c>
      <c r="D543">
        <v>375</v>
      </c>
      <c r="E543">
        <v>125</v>
      </c>
      <c r="F543">
        <v>745</v>
      </c>
      <c r="G543">
        <v>945</v>
      </c>
      <c r="H543">
        <v>0</v>
      </c>
      <c r="I543">
        <v>3</v>
      </c>
      <c r="J543">
        <v>190</v>
      </c>
      <c r="K543">
        <v>28</v>
      </c>
      <c r="L543" s="10">
        <v>60.9</v>
      </c>
      <c r="M543" s="2">
        <f t="shared" si="18"/>
        <v>384.73099999999999</v>
      </c>
      <c r="N543" s="2">
        <f t="shared" si="17"/>
        <v>173.26874999999998</v>
      </c>
      <c r="O543">
        <v>205</v>
      </c>
    </row>
    <row r="544" spans="1:15" x14ac:dyDescent="0.25">
      <c r="A544" s="15"/>
      <c r="B544" s="15"/>
      <c r="C544">
        <v>25</v>
      </c>
      <c r="D544">
        <v>375</v>
      </c>
      <c r="E544">
        <v>125</v>
      </c>
      <c r="F544">
        <v>745</v>
      </c>
      <c r="G544">
        <v>945</v>
      </c>
      <c r="H544">
        <v>0</v>
      </c>
      <c r="I544">
        <v>3</v>
      </c>
      <c r="J544">
        <v>190</v>
      </c>
      <c r="K544">
        <v>90</v>
      </c>
      <c r="L544" s="10">
        <v>69.7</v>
      </c>
      <c r="M544" s="2">
        <f t="shared" si="18"/>
        <v>384.73099999999999</v>
      </c>
      <c r="N544" s="2">
        <f t="shared" si="17"/>
        <v>173.26874999999998</v>
      </c>
      <c r="O544">
        <v>205</v>
      </c>
    </row>
    <row r="545" spans="1:15" x14ac:dyDescent="0.25">
      <c r="A545" s="15"/>
      <c r="B545" s="15"/>
      <c r="C545">
        <v>25</v>
      </c>
      <c r="D545">
        <v>375</v>
      </c>
      <c r="E545">
        <v>125</v>
      </c>
      <c r="F545">
        <v>745</v>
      </c>
      <c r="G545">
        <v>945</v>
      </c>
      <c r="H545">
        <v>0</v>
      </c>
      <c r="I545">
        <v>3</v>
      </c>
      <c r="J545">
        <v>190</v>
      </c>
      <c r="K545">
        <v>180</v>
      </c>
      <c r="L545" s="10">
        <v>73.400000000000006</v>
      </c>
      <c r="M545" s="2">
        <f t="shared" si="18"/>
        <v>384.73099999999999</v>
      </c>
      <c r="N545" s="2">
        <f t="shared" si="17"/>
        <v>173.26874999999998</v>
      </c>
      <c r="O545">
        <v>205</v>
      </c>
    </row>
    <row r="546" spans="1:15" x14ac:dyDescent="0.25">
      <c r="A546" s="15"/>
      <c r="B546" s="15"/>
      <c r="C546">
        <v>30</v>
      </c>
      <c r="D546">
        <v>350</v>
      </c>
      <c r="E546">
        <v>150</v>
      </c>
      <c r="F546">
        <v>745</v>
      </c>
      <c r="G546">
        <v>945</v>
      </c>
      <c r="H546">
        <v>0</v>
      </c>
      <c r="I546">
        <v>3</v>
      </c>
      <c r="J546">
        <v>190</v>
      </c>
      <c r="K546">
        <v>7</v>
      </c>
      <c r="L546" s="10">
        <v>41.1</v>
      </c>
      <c r="M546" s="2">
        <f t="shared" si="18"/>
        <v>366.73099999999999</v>
      </c>
      <c r="N546" s="2">
        <f t="shared" si="17"/>
        <v>163.89374999999998</v>
      </c>
      <c r="O546">
        <v>215</v>
      </c>
    </row>
    <row r="547" spans="1:15" x14ac:dyDescent="0.25">
      <c r="A547" s="15"/>
      <c r="B547" s="15"/>
      <c r="C547">
        <v>30</v>
      </c>
      <c r="D547">
        <v>350</v>
      </c>
      <c r="E547">
        <v>150</v>
      </c>
      <c r="F547">
        <v>745</v>
      </c>
      <c r="G547">
        <v>945</v>
      </c>
      <c r="H547">
        <v>0</v>
      </c>
      <c r="I547">
        <v>3</v>
      </c>
      <c r="J547">
        <v>190</v>
      </c>
      <c r="K547">
        <v>28</v>
      </c>
      <c r="L547" s="10">
        <v>55.5</v>
      </c>
      <c r="M547" s="2">
        <f t="shared" si="18"/>
        <v>366.73099999999999</v>
      </c>
      <c r="N547" s="2">
        <f t="shared" si="17"/>
        <v>163.89374999999998</v>
      </c>
      <c r="O547">
        <v>215</v>
      </c>
    </row>
    <row r="548" spans="1:15" x14ac:dyDescent="0.25">
      <c r="A548" s="15"/>
      <c r="B548" s="15"/>
      <c r="C548">
        <v>30</v>
      </c>
      <c r="D548">
        <v>350</v>
      </c>
      <c r="E548">
        <v>150</v>
      </c>
      <c r="F548">
        <v>745</v>
      </c>
      <c r="G548">
        <v>945</v>
      </c>
      <c r="H548">
        <v>0</v>
      </c>
      <c r="I548">
        <v>3</v>
      </c>
      <c r="J548">
        <v>190</v>
      </c>
      <c r="K548">
        <v>90</v>
      </c>
      <c r="L548" s="10">
        <v>64.2</v>
      </c>
      <c r="M548" s="2">
        <f t="shared" si="18"/>
        <v>366.73099999999999</v>
      </c>
      <c r="N548" s="2">
        <f t="shared" si="17"/>
        <v>163.89374999999998</v>
      </c>
      <c r="O548">
        <v>215</v>
      </c>
    </row>
    <row r="549" spans="1:15" x14ac:dyDescent="0.25">
      <c r="A549" s="15"/>
      <c r="B549" s="15"/>
      <c r="C549">
        <v>30</v>
      </c>
      <c r="D549">
        <v>350</v>
      </c>
      <c r="E549">
        <v>150</v>
      </c>
      <c r="F549">
        <v>745</v>
      </c>
      <c r="G549">
        <v>945</v>
      </c>
      <c r="H549">
        <v>0</v>
      </c>
      <c r="I549">
        <v>3</v>
      </c>
      <c r="J549">
        <v>190</v>
      </c>
      <c r="K549">
        <v>180</v>
      </c>
      <c r="L549" s="10">
        <v>68.3</v>
      </c>
      <c r="M549" s="2">
        <f t="shared" si="18"/>
        <v>366.73099999999999</v>
      </c>
      <c r="N549" s="2">
        <f t="shared" si="17"/>
        <v>163.89374999999998</v>
      </c>
      <c r="O549">
        <v>215</v>
      </c>
    </row>
    <row r="550" spans="1:15" x14ac:dyDescent="0.25">
      <c r="A550" s="15" t="s">
        <v>358</v>
      </c>
      <c r="B550" s="15" t="s">
        <v>357</v>
      </c>
      <c r="C550">
        <v>0</v>
      </c>
      <c r="D550">
        <v>366</v>
      </c>
      <c r="E550">
        <v>0</v>
      </c>
      <c r="F550">
        <v>742.3</v>
      </c>
      <c r="G550">
        <v>1013.5</v>
      </c>
      <c r="H550">
        <v>0</v>
      </c>
      <c r="I550">
        <v>0</v>
      </c>
      <c r="J550">
        <v>183</v>
      </c>
      <c r="K550">
        <v>28</v>
      </c>
      <c r="L550" s="10">
        <v>23.5</v>
      </c>
      <c r="M550" s="2">
        <f t="shared" si="18"/>
        <v>360.61761999999999</v>
      </c>
      <c r="N550" s="2">
        <f t="shared" si="17"/>
        <v>166.37062499999999</v>
      </c>
      <c r="O550">
        <v>0</v>
      </c>
    </row>
    <row r="551" spans="1:15" x14ac:dyDescent="0.25">
      <c r="A551" s="15"/>
      <c r="B551" s="15"/>
      <c r="C551">
        <v>0</v>
      </c>
      <c r="D551">
        <v>366</v>
      </c>
      <c r="E551">
        <v>0</v>
      </c>
      <c r="F551">
        <v>742.3</v>
      </c>
      <c r="G551">
        <v>1013.5</v>
      </c>
      <c r="H551">
        <v>0</v>
      </c>
      <c r="I551">
        <v>0</v>
      </c>
      <c r="J551">
        <v>183</v>
      </c>
      <c r="K551">
        <v>28</v>
      </c>
      <c r="L551" s="10">
        <v>22.7</v>
      </c>
      <c r="M551" s="2">
        <f t="shared" si="18"/>
        <v>360.61761999999999</v>
      </c>
      <c r="N551" s="2">
        <f t="shared" si="17"/>
        <v>166.37062499999999</v>
      </c>
      <c r="O551">
        <v>0</v>
      </c>
    </row>
    <row r="552" spans="1:15" x14ac:dyDescent="0.25">
      <c r="A552" s="15"/>
      <c r="B552" s="15"/>
      <c r="C552">
        <v>0</v>
      </c>
      <c r="D552">
        <v>366</v>
      </c>
      <c r="E552">
        <v>0</v>
      </c>
      <c r="F552">
        <v>742.3</v>
      </c>
      <c r="G552">
        <v>1013.5</v>
      </c>
      <c r="H552">
        <v>0</v>
      </c>
      <c r="I552">
        <v>0</v>
      </c>
      <c r="J552">
        <v>183</v>
      </c>
      <c r="K552">
        <v>28</v>
      </c>
      <c r="L552" s="10">
        <v>22.9</v>
      </c>
      <c r="M552" s="2">
        <f t="shared" si="18"/>
        <v>360.61761999999999</v>
      </c>
      <c r="N552" s="2">
        <f t="shared" si="17"/>
        <v>166.37062499999999</v>
      </c>
      <c r="O552">
        <v>0</v>
      </c>
    </row>
    <row r="553" spans="1:15" x14ac:dyDescent="0.25">
      <c r="A553" s="15"/>
      <c r="B553" s="15"/>
      <c r="C553">
        <v>0</v>
      </c>
      <c r="D553">
        <v>366</v>
      </c>
      <c r="E553">
        <v>0</v>
      </c>
      <c r="F553">
        <v>742.3</v>
      </c>
      <c r="G553">
        <v>1013.5</v>
      </c>
      <c r="H553">
        <v>0</v>
      </c>
      <c r="I553">
        <v>0</v>
      </c>
      <c r="J553">
        <v>183</v>
      </c>
      <c r="K553">
        <v>28</v>
      </c>
      <c r="L553" s="10">
        <v>23.4</v>
      </c>
      <c r="M553" s="2">
        <f t="shared" si="18"/>
        <v>360.61761999999999</v>
      </c>
      <c r="N553" s="2">
        <f t="shared" si="17"/>
        <v>166.37062499999999</v>
      </c>
      <c r="O553">
        <v>0</v>
      </c>
    </row>
    <row r="554" spans="1:15" x14ac:dyDescent="0.25">
      <c r="A554" s="15"/>
      <c r="B554" s="15"/>
      <c r="C554">
        <v>10</v>
      </c>
      <c r="D554">
        <v>329.4</v>
      </c>
      <c r="E554">
        <v>36.6</v>
      </c>
      <c r="F554">
        <v>742.3</v>
      </c>
      <c r="G554">
        <v>1013.5</v>
      </c>
      <c r="H554">
        <v>0</v>
      </c>
      <c r="I554">
        <v>0</v>
      </c>
      <c r="J554">
        <v>183</v>
      </c>
      <c r="K554">
        <v>28</v>
      </c>
      <c r="L554" s="10">
        <v>23.9</v>
      </c>
      <c r="M554" s="2">
        <f t="shared" si="18"/>
        <v>334.26562000000001</v>
      </c>
      <c r="N554" s="2">
        <f t="shared" si="17"/>
        <v>152.645625</v>
      </c>
      <c r="O554">
        <v>0</v>
      </c>
    </row>
    <row r="555" spans="1:15" x14ac:dyDescent="0.25">
      <c r="A555" s="15"/>
      <c r="B555" s="15"/>
      <c r="C555">
        <v>10</v>
      </c>
      <c r="D555">
        <v>329.4</v>
      </c>
      <c r="E555">
        <v>36.6</v>
      </c>
      <c r="F555">
        <v>742.3</v>
      </c>
      <c r="G555">
        <v>1013.5</v>
      </c>
      <c r="H555">
        <v>0</v>
      </c>
      <c r="I555">
        <v>0</v>
      </c>
      <c r="J555">
        <v>183</v>
      </c>
      <c r="K555">
        <v>28</v>
      </c>
      <c r="L555" s="10">
        <v>23.6</v>
      </c>
      <c r="M555" s="2">
        <f t="shared" si="18"/>
        <v>334.26562000000001</v>
      </c>
      <c r="N555" s="2">
        <f t="shared" si="17"/>
        <v>152.645625</v>
      </c>
      <c r="O555">
        <v>0</v>
      </c>
    </row>
    <row r="556" spans="1:15" x14ac:dyDescent="0.25">
      <c r="A556" s="15"/>
      <c r="B556" s="15"/>
      <c r="C556">
        <v>10</v>
      </c>
      <c r="D556">
        <v>329.4</v>
      </c>
      <c r="E556">
        <v>36.6</v>
      </c>
      <c r="F556">
        <v>742.3</v>
      </c>
      <c r="G556">
        <v>1013.5</v>
      </c>
      <c r="H556">
        <v>0</v>
      </c>
      <c r="I556">
        <v>0</v>
      </c>
      <c r="J556">
        <v>183</v>
      </c>
      <c r="K556">
        <v>28</v>
      </c>
      <c r="L556" s="10">
        <v>23.7</v>
      </c>
      <c r="M556" s="2">
        <f t="shared" si="18"/>
        <v>334.26562000000001</v>
      </c>
      <c r="N556" s="2">
        <f t="shared" si="17"/>
        <v>152.645625</v>
      </c>
      <c r="O556">
        <v>0</v>
      </c>
    </row>
    <row r="557" spans="1:15" x14ac:dyDescent="0.25">
      <c r="A557" s="15"/>
      <c r="B557" s="15"/>
      <c r="C557">
        <v>10</v>
      </c>
      <c r="D557">
        <v>329.4</v>
      </c>
      <c r="E557">
        <v>36.6</v>
      </c>
      <c r="F557">
        <v>742.3</v>
      </c>
      <c r="G557">
        <v>1013.5</v>
      </c>
      <c r="H557">
        <v>0</v>
      </c>
      <c r="I557">
        <v>0</v>
      </c>
      <c r="J557">
        <v>183</v>
      </c>
      <c r="K557">
        <v>28</v>
      </c>
      <c r="L557" s="10">
        <v>24.2</v>
      </c>
      <c r="M557" s="2">
        <f t="shared" si="18"/>
        <v>334.26562000000001</v>
      </c>
      <c r="N557" s="2">
        <f t="shared" si="17"/>
        <v>152.645625</v>
      </c>
      <c r="O557">
        <v>0</v>
      </c>
    </row>
    <row r="558" spans="1:15" x14ac:dyDescent="0.25">
      <c r="A558" s="15"/>
      <c r="B558" s="15"/>
      <c r="C558">
        <v>20</v>
      </c>
      <c r="D558">
        <v>292.8</v>
      </c>
      <c r="E558">
        <v>73.2</v>
      </c>
      <c r="F558">
        <v>742.3</v>
      </c>
      <c r="G558">
        <v>1013.5</v>
      </c>
      <c r="H558">
        <v>0</v>
      </c>
      <c r="I558">
        <v>0</v>
      </c>
      <c r="J558">
        <v>183</v>
      </c>
      <c r="K558">
        <v>28</v>
      </c>
      <c r="L558" s="10">
        <v>21.5</v>
      </c>
      <c r="M558" s="2">
        <f t="shared" si="18"/>
        <v>307.91361999999998</v>
      </c>
      <c r="N558" s="2">
        <f t="shared" si="17"/>
        <v>138.920625</v>
      </c>
      <c r="O558">
        <v>0</v>
      </c>
    </row>
    <row r="559" spans="1:15" x14ac:dyDescent="0.25">
      <c r="A559" s="15"/>
      <c r="B559" s="15"/>
      <c r="C559">
        <v>20</v>
      </c>
      <c r="D559">
        <v>292.8</v>
      </c>
      <c r="E559">
        <v>73.2</v>
      </c>
      <c r="F559">
        <v>742.3</v>
      </c>
      <c r="G559">
        <v>1013.5</v>
      </c>
      <c r="H559">
        <v>0</v>
      </c>
      <c r="I559">
        <v>0</v>
      </c>
      <c r="J559">
        <v>183</v>
      </c>
      <c r="K559">
        <v>28</v>
      </c>
      <c r="L559" s="10">
        <v>21.6</v>
      </c>
      <c r="M559" s="2">
        <f t="shared" si="18"/>
        <v>307.91361999999998</v>
      </c>
      <c r="N559" s="2">
        <f t="shared" si="17"/>
        <v>138.920625</v>
      </c>
      <c r="O559">
        <v>0</v>
      </c>
    </row>
    <row r="560" spans="1:15" x14ac:dyDescent="0.25">
      <c r="A560" s="15"/>
      <c r="B560" s="15"/>
      <c r="C560">
        <v>20</v>
      </c>
      <c r="D560">
        <v>292.8</v>
      </c>
      <c r="E560">
        <v>73.2</v>
      </c>
      <c r="F560">
        <v>742.3</v>
      </c>
      <c r="G560">
        <v>1013.5</v>
      </c>
      <c r="H560">
        <v>0</v>
      </c>
      <c r="I560">
        <v>0</v>
      </c>
      <c r="J560">
        <v>183</v>
      </c>
      <c r="K560">
        <v>28</v>
      </c>
      <c r="L560" s="10">
        <v>22.3</v>
      </c>
      <c r="M560" s="2">
        <f t="shared" si="18"/>
        <v>307.91361999999998</v>
      </c>
      <c r="N560" s="2">
        <f t="shared" si="17"/>
        <v>138.920625</v>
      </c>
      <c r="O560">
        <v>0</v>
      </c>
    </row>
    <row r="561" spans="1:15" x14ac:dyDescent="0.25">
      <c r="A561" s="15"/>
      <c r="B561" s="15"/>
      <c r="C561">
        <v>20</v>
      </c>
      <c r="D561">
        <v>292.8</v>
      </c>
      <c r="E561">
        <v>73.2</v>
      </c>
      <c r="F561">
        <v>742.3</v>
      </c>
      <c r="G561">
        <v>1013.5</v>
      </c>
      <c r="H561">
        <v>0</v>
      </c>
      <c r="I561">
        <v>0</v>
      </c>
      <c r="J561">
        <v>183</v>
      </c>
      <c r="K561">
        <v>28</v>
      </c>
      <c r="L561" s="10">
        <v>18.5</v>
      </c>
      <c r="M561" s="2">
        <f t="shared" si="18"/>
        <v>307.91361999999998</v>
      </c>
      <c r="N561" s="2">
        <f t="shared" si="17"/>
        <v>138.920625</v>
      </c>
      <c r="O561">
        <v>0</v>
      </c>
    </row>
    <row r="562" spans="1:15" x14ac:dyDescent="0.25">
      <c r="A562" s="15"/>
      <c r="B562" s="15"/>
      <c r="C562">
        <v>30</v>
      </c>
      <c r="D562">
        <v>256.2</v>
      </c>
      <c r="E562">
        <v>109.8</v>
      </c>
      <c r="F562">
        <v>742.3</v>
      </c>
      <c r="G562">
        <v>1013.5</v>
      </c>
      <c r="H562">
        <v>0</v>
      </c>
      <c r="I562">
        <v>0</v>
      </c>
      <c r="J562">
        <v>183</v>
      </c>
      <c r="K562">
        <v>28</v>
      </c>
      <c r="L562" s="10">
        <v>19.600000000000001</v>
      </c>
      <c r="M562" s="2">
        <f t="shared" si="18"/>
        <v>281.56162</v>
      </c>
      <c r="N562" s="2">
        <f t="shared" si="17"/>
        <v>125.19562500000001</v>
      </c>
      <c r="O562">
        <v>0</v>
      </c>
    </row>
    <row r="563" spans="1:15" x14ac:dyDescent="0.25">
      <c r="A563" s="15"/>
      <c r="B563" s="15"/>
      <c r="C563">
        <v>30</v>
      </c>
      <c r="D563">
        <v>256.2</v>
      </c>
      <c r="E563">
        <v>109.8</v>
      </c>
      <c r="F563">
        <v>742.3</v>
      </c>
      <c r="G563">
        <v>1013.5</v>
      </c>
      <c r="H563">
        <v>0</v>
      </c>
      <c r="I563">
        <v>0</v>
      </c>
      <c r="J563">
        <v>183</v>
      </c>
      <c r="K563">
        <v>28</v>
      </c>
      <c r="L563" s="10">
        <v>19.100000000000001</v>
      </c>
      <c r="M563" s="2">
        <f t="shared" si="18"/>
        <v>281.56162</v>
      </c>
      <c r="N563" s="2">
        <f t="shared" si="17"/>
        <v>125.19562500000001</v>
      </c>
      <c r="O563">
        <v>0</v>
      </c>
    </row>
    <row r="564" spans="1:15" x14ac:dyDescent="0.25">
      <c r="A564" s="15"/>
      <c r="B564" s="15"/>
      <c r="C564">
        <v>30</v>
      </c>
      <c r="D564">
        <v>256.2</v>
      </c>
      <c r="E564">
        <v>109.8</v>
      </c>
      <c r="F564">
        <v>742.3</v>
      </c>
      <c r="G564">
        <v>1013.5</v>
      </c>
      <c r="H564">
        <v>0</v>
      </c>
      <c r="I564">
        <v>0</v>
      </c>
      <c r="J564">
        <v>183</v>
      </c>
      <c r="K564">
        <v>28</v>
      </c>
      <c r="L564" s="10">
        <v>19.5</v>
      </c>
      <c r="M564" s="2">
        <f t="shared" si="18"/>
        <v>281.56162</v>
      </c>
      <c r="N564" s="2">
        <f t="shared" si="17"/>
        <v>125.19562500000001</v>
      </c>
      <c r="O564">
        <v>0</v>
      </c>
    </row>
    <row r="565" spans="1:15" x14ac:dyDescent="0.25">
      <c r="A565" s="15"/>
      <c r="B565" s="15"/>
      <c r="C565">
        <v>30</v>
      </c>
      <c r="D565">
        <v>256.2</v>
      </c>
      <c r="E565">
        <v>109.8</v>
      </c>
      <c r="F565">
        <v>742.3</v>
      </c>
      <c r="G565">
        <v>1013.5</v>
      </c>
      <c r="H565">
        <v>0</v>
      </c>
      <c r="I565">
        <v>0</v>
      </c>
      <c r="J565">
        <v>183</v>
      </c>
      <c r="K565">
        <v>28</v>
      </c>
      <c r="L565" s="10">
        <v>16.7</v>
      </c>
      <c r="M565" s="2">
        <f t="shared" si="18"/>
        <v>281.56162</v>
      </c>
      <c r="N565" s="2">
        <f t="shared" si="17"/>
        <v>125.19562500000001</v>
      </c>
      <c r="O565">
        <v>0</v>
      </c>
    </row>
    <row r="566" spans="1:15" x14ac:dyDescent="0.25">
      <c r="A566" s="15"/>
      <c r="B566" s="15"/>
      <c r="C566">
        <v>40</v>
      </c>
      <c r="D566">
        <v>219.6</v>
      </c>
      <c r="E566">
        <v>146.4</v>
      </c>
      <c r="F566">
        <v>742.3</v>
      </c>
      <c r="G566">
        <v>1013.5</v>
      </c>
      <c r="H566">
        <v>0</v>
      </c>
      <c r="I566">
        <v>0</v>
      </c>
      <c r="J566">
        <v>183</v>
      </c>
      <c r="K566">
        <v>28</v>
      </c>
      <c r="L566" s="10">
        <v>15.6</v>
      </c>
      <c r="M566" s="2">
        <f t="shared" si="18"/>
        <v>255.20962000000003</v>
      </c>
      <c r="N566" s="2">
        <f t="shared" si="17"/>
        <v>111.470625</v>
      </c>
      <c r="O566">
        <v>0</v>
      </c>
    </row>
    <row r="567" spans="1:15" x14ac:dyDescent="0.25">
      <c r="A567" s="15"/>
      <c r="B567" s="15"/>
      <c r="C567">
        <v>40</v>
      </c>
      <c r="D567">
        <v>219.6</v>
      </c>
      <c r="E567">
        <v>146.4</v>
      </c>
      <c r="F567">
        <v>742.3</v>
      </c>
      <c r="G567">
        <v>1013.5</v>
      </c>
      <c r="H567">
        <v>0</v>
      </c>
      <c r="I567">
        <v>0</v>
      </c>
      <c r="J567">
        <v>183</v>
      </c>
      <c r="K567">
        <v>28</v>
      </c>
      <c r="L567" s="10">
        <v>16.399999999999999</v>
      </c>
      <c r="M567" s="2">
        <f t="shared" si="18"/>
        <v>255.20962000000003</v>
      </c>
      <c r="N567" s="2">
        <f t="shared" si="17"/>
        <v>111.470625</v>
      </c>
      <c r="O567">
        <v>0</v>
      </c>
    </row>
    <row r="568" spans="1:15" x14ac:dyDescent="0.25">
      <c r="A568" s="15"/>
      <c r="B568" s="15"/>
      <c r="C568">
        <v>40</v>
      </c>
      <c r="D568">
        <v>219.6</v>
      </c>
      <c r="E568">
        <v>146.4</v>
      </c>
      <c r="F568">
        <v>742.3</v>
      </c>
      <c r="G568">
        <v>1013.5</v>
      </c>
      <c r="H568">
        <v>0</v>
      </c>
      <c r="I568">
        <v>0</v>
      </c>
      <c r="J568">
        <v>183</v>
      </c>
      <c r="K568">
        <v>28</v>
      </c>
      <c r="L568" s="10">
        <v>15.7</v>
      </c>
      <c r="M568" s="2">
        <f t="shared" si="18"/>
        <v>255.20962000000003</v>
      </c>
      <c r="N568" s="2">
        <f t="shared" si="17"/>
        <v>111.470625</v>
      </c>
      <c r="O568">
        <v>0</v>
      </c>
    </row>
    <row r="569" spans="1:15" x14ac:dyDescent="0.25">
      <c r="A569" s="15"/>
      <c r="B569" s="15"/>
      <c r="C569">
        <v>40</v>
      </c>
      <c r="D569">
        <v>219.6</v>
      </c>
      <c r="E569">
        <v>146.4</v>
      </c>
      <c r="F569">
        <v>742.3</v>
      </c>
      <c r="G569">
        <v>1013.5</v>
      </c>
      <c r="H569">
        <v>0</v>
      </c>
      <c r="I569">
        <v>0</v>
      </c>
      <c r="J569">
        <v>183</v>
      </c>
      <c r="K569">
        <v>28</v>
      </c>
      <c r="L569" s="10">
        <v>16.100000000000001</v>
      </c>
      <c r="M569" s="2">
        <f t="shared" si="18"/>
        <v>255.20962000000003</v>
      </c>
      <c r="N569" s="2">
        <f t="shared" si="17"/>
        <v>111.470625</v>
      </c>
      <c r="O569">
        <v>0</v>
      </c>
    </row>
    <row r="570" spans="1:15" x14ac:dyDescent="0.25">
      <c r="A570" s="15" t="s">
        <v>360</v>
      </c>
      <c r="B570" s="15" t="s">
        <v>359</v>
      </c>
      <c r="C570">
        <v>0</v>
      </c>
      <c r="D570">
        <v>350</v>
      </c>
      <c r="E570">
        <v>0</v>
      </c>
      <c r="F570">
        <v>650</v>
      </c>
      <c r="G570">
        <v>1205</v>
      </c>
      <c r="H570">
        <v>0</v>
      </c>
      <c r="I570">
        <v>0</v>
      </c>
      <c r="J570">
        <v>192.5</v>
      </c>
      <c r="K570">
        <v>3</v>
      </c>
      <c r="L570" s="10">
        <v>21.85</v>
      </c>
      <c r="M570" s="2">
        <f t="shared" si="18"/>
        <v>354.84450000000004</v>
      </c>
      <c r="N570" s="2">
        <f t="shared" si="17"/>
        <v>161.51249999999999</v>
      </c>
      <c r="O570">
        <v>147</v>
      </c>
    </row>
    <row r="571" spans="1:15" x14ac:dyDescent="0.25">
      <c r="A571" s="15"/>
      <c r="B571" s="15"/>
      <c r="C571">
        <v>0</v>
      </c>
      <c r="D571">
        <v>350</v>
      </c>
      <c r="E571">
        <v>0</v>
      </c>
      <c r="F571">
        <v>650</v>
      </c>
      <c r="G571">
        <v>1205</v>
      </c>
      <c r="H571">
        <v>0</v>
      </c>
      <c r="I571">
        <v>0</v>
      </c>
      <c r="J571">
        <v>192.5</v>
      </c>
      <c r="K571">
        <v>7</v>
      </c>
      <c r="L571" s="10">
        <v>35.85</v>
      </c>
      <c r="M571" s="2">
        <f t="shared" si="18"/>
        <v>354.84450000000004</v>
      </c>
      <c r="N571" s="2">
        <f t="shared" si="17"/>
        <v>161.51249999999999</v>
      </c>
      <c r="O571">
        <v>147</v>
      </c>
    </row>
    <row r="572" spans="1:15" x14ac:dyDescent="0.25">
      <c r="A572" s="15"/>
      <c r="B572" s="15"/>
      <c r="C572">
        <v>0</v>
      </c>
      <c r="D572">
        <v>350</v>
      </c>
      <c r="E572">
        <v>0</v>
      </c>
      <c r="F572">
        <v>650</v>
      </c>
      <c r="G572">
        <v>1205</v>
      </c>
      <c r="H572">
        <v>0</v>
      </c>
      <c r="I572">
        <v>0</v>
      </c>
      <c r="J572">
        <v>192.5</v>
      </c>
      <c r="K572">
        <v>28</v>
      </c>
      <c r="L572" s="10">
        <v>53.86</v>
      </c>
      <c r="M572" s="2">
        <f t="shared" si="18"/>
        <v>354.84450000000004</v>
      </c>
      <c r="N572" s="2">
        <f t="shared" si="17"/>
        <v>161.51249999999999</v>
      </c>
      <c r="O572">
        <v>147</v>
      </c>
    </row>
    <row r="573" spans="1:15" x14ac:dyDescent="0.25">
      <c r="A573" s="15"/>
      <c r="B573" s="15"/>
      <c r="C573">
        <v>5</v>
      </c>
      <c r="D573">
        <v>332.5</v>
      </c>
      <c r="E573">
        <v>12</v>
      </c>
      <c r="F573">
        <v>650</v>
      </c>
      <c r="G573">
        <v>1205</v>
      </c>
      <c r="H573">
        <v>0</v>
      </c>
      <c r="I573">
        <v>0</v>
      </c>
      <c r="J573">
        <v>192.5</v>
      </c>
      <c r="K573">
        <v>3</v>
      </c>
      <c r="L573" s="10">
        <v>23.05</v>
      </c>
      <c r="M573" s="2">
        <f t="shared" si="18"/>
        <v>341.6395</v>
      </c>
      <c r="N573" s="2">
        <f t="shared" si="17"/>
        <v>154.94999999999999</v>
      </c>
      <c r="O573">
        <v>146</v>
      </c>
    </row>
    <row r="574" spans="1:15" x14ac:dyDescent="0.25">
      <c r="A574" s="15"/>
      <c r="B574" s="15"/>
      <c r="C574">
        <v>5</v>
      </c>
      <c r="D574">
        <v>332.5</v>
      </c>
      <c r="E574">
        <v>12</v>
      </c>
      <c r="F574">
        <v>650</v>
      </c>
      <c r="G574">
        <v>1205</v>
      </c>
      <c r="H574">
        <v>0</v>
      </c>
      <c r="I574">
        <v>0</v>
      </c>
      <c r="J574">
        <v>192.5</v>
      </c>
      <c r="K574">
        <v>7</v>
      </c>
      <c r="L574" s="10">
        <v>37.36</v>
      </c>
      <c r="M574" s="2">
        <f t="shared" si="18"/>
        <v>341.6395</v>
      </c>
      <c r="N574" s="2">
        <f t="shared" si="17"/>
        <v>154.94999999999999</v>
      </c>
      <c r="O574">
        <v>146</v>
      </c>
    </row>
    <row r="575" spans="1:15" x14ac:dyDescent="0.25">
      <c r="A575" s="15"/>
      <c r="B575" s="15"/>
      <c r="C575">
        <v>5</v>
      </c>
      <c r="D575">
        <v>332.5</v>
      </c>
      <c r="E575">
        <v>12</v>
      </c>
      <c r="F575">
        <v>650</v>
      </c>
      <c r="G575">
        <v>1205</v>
      </c>
      <c r="H575">
        <v>0</v>
      </c>
      <c r="I575">
        <v>0</v>
      </c>
      <c r="J575">
        <v>192.5</v>
      </c>
      <c r="K575">
        <v>28</v>
      </c>
      <c r="L575" s="10">
        <v>56.01</v>
      </c>
      <c r="M575" s="2">
        <f t="shared" si="18"/>
        <v>341.6395</v>
      </c>
      <c r="N575" s="2">
        <f t="shared" si="17"/>
        <v>154.94999999999999</v>
      </c>
      <c r="O575">
        <v>146</v>
      </c>
    </row>
    <row r="576" spans="1:15" x14ac:dyDescent="0.25">
      <c r="A576" s="15"/>
      <c r="B576" s="15"/>
      <c r="C576">
        <v>15</v>
      </c>
      <c r="D576">
        <v>297.5</v>
      </c>
      <c r="E576">
        <v>36</v>
      </c>
      <c r="F576">
        <v>650</v>
      </c>
      <c r="G576">
        <v>1205</v>
      </c>
      <c r="H576">
        <v>0</v>
      </c>
      <c r="I576">
        <v>0</v>
      </c>
      <c r="J576">
        <v>192.5</v>
      </c>
      <c r="K576">
        <v>3</v>
      </c>
      <c r="L576" s="10">
        <v>22.35</v>
      </c>
      <c r="M576" s="2">
        <f t="shared" si="18"/>
        <v>315.22950000000003</v>
      </c>
      <c r="N576" s="2">
        <f t="shared" si="17"/>
        <v>141.82499999999999</v>
      </c>
      <c r="O576">
        <v>146</v>
      </c>
    </row>
    <row r="577" spans="1:15" x14ac:dyDescent="0.25">
      <c r="A577" s="15"/>
      <c r="B577" s="15"/>
      <c r="C577">
        <v>15</v>
      </c>
      <c r="D577">
        <v>297.5</v>
      </c>
      <c r="E577">
        <v>36</v>
      </c>
      <c r="F577">
        <v>650</v>
      </c>
      <c r="G577">
        <v>1205</v>
      </c>
      <c r="H577">
        <v>0</v>
      </c>
      <c r="I577">
        <v>0</v>
      </c>
      <c r="J577">
        <v>192.5</v>
      </c>
      <c r="K577">
        <v>7</v>
      </c>
      <c r="L577" s="10">
        <v>36.24</v>
      </c>
      <c r="M577" s="2">
        <f t="shared" si="18"/>
        <v>315.22950000000003</v>
      </c>
      <c r="N577" s="2">
        <f t="shared" si="17"/>
        <v>141.82499999999999</v>
      </c>
      <c r="O577">
        <v>146</v>
      </c>
    </row>
    <row r="578" spans="1:15" x14ac:dyDescent="0.25">
      <c r="A578" s="15"/>
      <c r="B578" s="15"/>
      <c r="C578">
        <v>15</v>
      </c>
      <c r="D578">
        <v>297.5</v>
      </c>
      <c r="E578">
        <v>36</v>
      </c>
      <c r="F578">
        <v>650</v>
      </c>
      <c r="G578">
        <v>1205</v>
      </c>
      <c r="H578">
        <v>0</v>
      </c>
      <c r="I578">
        <v>0</v>
      </c>
      <c r="J578">
        <v>192.5</v>
      </c>
      <c r="K578">
        <v>28</v>
      </c>
      <c r="L578" s="10">
        <v>55.42</v>
      </c>
      <c r="M578" s="2">
        <f t="shared" si="18"/>
        <v>315.22950000000003</v>
      </c>
      <c r="N578" s="2">
        <f t="shared" si="17"/>
        <v>141.82499999999999</v>
      </c>
      <c r="O578">
        <v>146</v>
      </c>
    </row>
    <row r="579" spans="1:15" x14ac:dyDescent="0.25">
      <c r="A579" s="15"/>
      <c r="B579" s="15"/>
      <c r="C579">
        <v>25</v>
      </c>
      <c r="D579">
        <v>262.5</v>
      </c>
      <c r="E579">
        <v>60</v>
      </c>
      <c r="F579">
        <v>650</v>
      </c>
      <c r="G579">
        <v>1205</v>
      </c>
      <c r="H579">
        <v>0</v>
      </c>
      <c r="I579">
        <v>0</v>
      </c>
      <c r="J579">
        <v>192.5</v>
      </c>
      <c r="K579">
        <v>3</v>
      </c>
      <c r="L579" s="10">
        <v>18.98</v>
      </c>
      <c r="M579" s="2">
        <f t="shared" si="18"/>
        <v>288.81950000000001</v>
      </c>
      <c r="N579" s="2">
        <f t="shared" ref="N579:N642" si="19">SUM((D579*5)+((F579*0.25)+(G579*0.2)+(I579*20)))*0.075</f>
        <v>128.69999999999999</v>
      </c>
      <c r="O579">
        <v>143</v>
      </c>
    </row>
    <row r="580" spans="1:15" x14ac:dyDescent="0.25">
      <c r="A580" s="15"/>
      <c r="B580" s="15"/>
      <c r="C580">
        <v>25</v>
      </c>
      <c r="D580">
        <v>262.5</v>
      </c>
      <c r="E580">
        <v>60</v>
      </c>
      <c r="F580">
        <v>650</v>
      </c>
      <c r="G580">
        <v>1205</v>
      </c>
      <c r="H580">
        <v>0</v>
      </c>
      <c r="I580">
        <v>0</v>
      </c>
      <c r="J580">
        <v>192.5</v>
      </c>
      <c r="K580">
        <v>7</v>
      </c>
      <c r="L580" s="10">
        <v>33.090000000000003</v>
      </c>
      <c r="M580" s="2">
        <f t="shared" si="18"/>
        <v>288.81950000000001</v>
      </c>
      <c r="N580" s="2">
        <f t="shared" si="19"/>
        <v>128.69999999999999</v>
      </c>
      <c r="O580">
        <v>143</v>
      </c>
    </row>
    <row r="581" spans="1:15" x14ac:dyDescent="0.25">
      <c r="A581" s="15"/>
      <c r="B581" s="15"/>
      <c r="C581">
        <v>25</v>
      </c>
      <c r="D581">
        <v>262.5</v>
      </c>
      <c r="E581">
        <v>60</v>
      </c>
      <c r="F581">
        <v>650</v>
      </c>
      <c r="G581">
        <v>1205</v>
      </c>
      <c r="H581">
        <v>0</v>
      </c>
      <c r="I581">
        <v>0</v>
      </c>
      <c r="J581">
        <v>192.5</v>
      </c>
      <c r="K581">
        <v>28</v>
      </c>
      <c r="L581" s="10">
        <v>53.64</v>
      </c>
      <c r="M581" s="2">
        <f t="shared" si="18"/>
        <v>288.81950000000001</v>
      </c>
      <c r="N581" s="2">
        <f t="shared" si="19"/>
        <v>128.69999999999999</v>
      </c>
      <c r="O581">
        <v>143</v>
      </c>
    </row>
    <row r="582" spans="1:15" x14ac:dyDescent="0.25">
      <c r="A582" s="15" t="s">
        <v>362</v>
      </c>
      <c r="B582" s="15" t="s">
        <v>361</v>
      </c>
      <c r="C582">
        <v>0</v>
      </c>
      <c r="D582">
        <v>341</v>
      </c>
      <c r="E582">
        <v>0</v>
      </c>
      <c r="F582">
        <v>648</v>
      </c>
      <c r="G582">
        <v>1057</v>
      </c>
      <c r="H582">
        <v>0</v>
      </c>
      <c r="I582">
        <v>0</v>
      </c>
      <c r="J582">
        <v>171</v>
      </c>
      <c r="K582">
        <v>7</v>
      </c>
      <c r="L582" s="10">
        <v>21.12</v>
      </c>
      <c r="M582" s="2">
        <f t="shared" si="18"/>
        <v>340.55349999999999</v>
      </c>
      <c r="N582" s="2">
        <f t="shared" si="19"/>
        <v>155.88</v>
      </c>
      <c r="O582">
        <v>30</v>
      </c>
    </row>
    <row r="583" spans="1:15" x14ac:dyDescent="0.25">
      <c r="A583" s="15"/>
      <c r="B583" s="15"/>
      <c r="C583">
        <v>0</v>
      </c>
      <c r="D583">
        <v>341</v>
      </c>
      <c r="E583">
        <v>0</v>
      </c>
      <c r="F583">
        <v>648</v>
      </c>
      <c r="G583">
        <v>1057</v>
      </c>
      <c r="H583">
        <v>0</v>
      </c>
      <c r="I583">
        <v>0</v>
      </c>
      <c r="J583">
        <v>171</v>
      </c>
      <c r="K583">
        <v>28</v>
      </c>
      <c r="L583" s="10">
        <v>31.5</v>
      </c>
      <c r="M583" s="2">
        <f t="shared" si="18"/>
        <v>340.55349999999999</v>
      </c>
      <c r="N583" s="2">
        <f t="shared" si="19"/>
        <v>155.88</v>
      </c>
      <c r="O583">
        <v>30</v>
      </c>
    </row>
    <row r="584" spans="1:15" x14ac:dyDescent="0.25">
      <c r="A584" s="15"/>
      <c r="B584" s="15"/>
      <c r="C584">
        <v>5</v>
      </c>
      <c r="D584">
        <v>323</v>
      </c>
      <c r="E584">
        <v>17</v>
      </c>
      <c r="F584">
        <v>614</v>
      </c>
      <c r="G584">
        <v>1001</v>
      </c>
      <c r="H584">
        <v>0</v>
      </c>
      <c r="I584">
        <v>0</v>
      </c>
      <c r="J584">
        <v>171</v>
      </c>
      <c r="K584">
        <v>7</v>
      </c>
      <c r="L584" s="10">
        <v>22.11</v>
      </c>
      <c r="M584" s="2">
        <f t="shared" si="18"/>
        <v>324.44049999999999</v>
      </c>
      <c r="N584" s="2">
        <f t="shared" si="19"/>
        <v>147.6525</v>
      </c>
      <c r="O584">
        <v>34</v>
      </c>
    </row>
    <row r="585" spans="1:15" x14ac:dyDescent="0.25">
      <c r="A585" s="15"/>
      <c r="B585" s="15"/>
      <c r="C585">
        <v>5</v>
      </c>
      <c r="D585">
        <v>323</v>
      </c>
      <c r="E585">
        <v>17</v>
      </c>
      <c r="F585">
        <v>614</v>
      </c>
      <c r="G585">
        <v>1001</v>
      </c>
      <c r="H585">
        <v>0</v>
      </c>
      <c r="I585">
        <v>0</v>
      </c>
      <c r="J585">
        <v>171</v>
      </c>
      <c r="K585">
        <v>28</v>
      </c>
      <c r="L585" s="10">
        <v>32.9</v>
      </c>
      <c r="M585" s="2">
        <f t="shared" ref="M585:M642" si="20">SUM((D585*0.83)+(E585*0.11)+(F585*0.0139)+(G585*0.0459)+(I585*2))</f>
        <v>324.44049999999999</v>
      </c>
      <c r="N585" s="2">
        <f t="shared" si="19"/>
        <v>147.6525</v>
      </c>
      <c r="O585">
        <v>34</v>
      </c>
    </row>
    <row r="586" spans="1:15" x14ac:dyDescent="0.25">
      <c r="A586" s="15"/>
      <c r="B586" s="15"/>
      <c r="C586">
        <v>10</v>
      </c>
      <c r="D586">
        <v>306</v>
      </c>
      <c r="E586">
        <v>34</v>
      </c>
      <c r="F586">
        <v>581</v>
      </c>
      <c r="G586">
        <v>949</v>
      </c>
      <c r="H586">
        <v>0</v>
      </c>
      <c r="I586">
        <v>0</v>
      </c>
      <c r="J586">
        <v>171</v>
      </c>
      <c r="K586">
        <v>7</v>
      </c>
      <c r="L586" s="10">
        <v>23.08</v>
      </c>
      <c r="M586" s="2">
        <f t="shared" si="20"/>
        <v>309.35499999999996</v>
      </c>
      <c r="N586" s="2">
        <f t="shared" si="19"/>
        <v>139.87875</v>
      </c>
      <c r="O586">
        <v>38</v>
      </c>
    </row>
    <row r="587" spans="1:15" x14ac:dyDescent="0.25">
      <c r="A587" s="15"/>
      <c r="B587" s="15"/>
      <c r="C587">
        <v>10</v>
      </c>
      <c r="D587">
        <v>306</v>
      </c>
      <c r="E587">
        <v>34</v>
      </c>
      <c r="F587">
        <v>581</v>
      </c>
      <c r="G587">
        <v>949</v>
      </c>
      <c r="H587">
        <v>0</v>
      </c>
      <c r="I587">
        <v>0</v>
      </c>
      <c r="J587">
        <v>171</v>
      </c>
      <c r="K587">
        <v>28</v>
      </c>
      <c r="L587" s="10">
        <v>33.14</v>
      </c>
      <c r="M587" s="2">
        <f t="shared" si="20"/>
        <v>309.35499999999996</v>
      </c>
      <c r="N587" s="2">
        <f t="shared" si="19"/>
        <v>139.87875</v>
      </c>
      <c r="O587">
        <v>38</v>
      </c>
    </row>
    <row r="588" spans="1:15" x14ac:dyDescent="0.25">
      <c r="A588" s="15"/>
      <c r="B588" s="15"/>
      <c r="C588">
        <v>15</v>
      </c>
      <c r="D588">
        <v>289</v>
      </c>
      <c r="E588">
        <v>51</v>
      </c>
      <c r="F588">
        <v>549</v>
      </c>
      <c r="G588">
        <v>896</v>
      </c>
      <c r="H588">
        <v>0</v>
      </c>
      <c r="I588">
        <v>0</v>
      </c>
      <c r="J588">
        <v>171</v>
      </c>
      <c r="K588">
        <v>7</v>
      </c>
      <c r="L588" s="10">
        <v>24.31</v>
      </c>
      <c r="M588" s="2">
        <f t="shared" si="20"/>
        <v>294.23750000000001</v>
      </c>
      <c r="N588" s="2">
        <f t="shared" si="19"/>
        <v>132.10874999999999</v>
      </c>
      <c r="O588">
        <v>40</v>
      </c>
    </row>
    <row r="589" spans="1:15" x14ac:dyDescent="0.25">
      <c r="A589" s="15"/>
      <c r="B589" s="15"/>
      <c r="C589">
        <v>15</v>
      </c>
      <c r="D589">
        <v>289</v>
      </c>
      <c r="E589">
        <v>51</v>
      </c>
      <c r="F589">
        <v>549</v>
      </c>
      <c r="G589">
        <v>896</v>
      </c>
      <c r="H589">
        <v>0</v>
      </c>
      <c r="I589">
        <v>0</v>
      </c>
      <c r="J589">
        <v>171</v>
      </c>
      <c r="K589">
        <v>28</v>
      </c>
      <c r="L589" s="10">
        <v>34.79</v>
      </c>
      <c r="M589" s="2">
        <f t="shared" si="20"/>
        <v>294.23750000000001</v>
      </c>
      <c r="N589" s="2">
        <f t="shared" si="19"/>
        <v>132.10874999999999</v>
      </c>
      <c r="O589">
        <v>40</v>
      </c>
    </row>
    <row r="590" spans="1:15" x14ac:dyDescent="0.25">
      <c r="A590" s="15"/>
      <c r="B590" s="15"/>
      <c r="C590">
        <v>20</v>
      </c>
      <c r="D590">
        <v>272</v>
      </c>
      <c r="E590">
        <v>68</v>
      </c>
      <c r="F590">
        <v>517</v>
      </c>
      <c r="G590">
        <v>843</v>
      </c>
      <c r="H590">
        <v>0</v>
      </c>
      <c r="I590">
        <v>0</v>
      </c>
      <c r="J590">
        <v>171</v>
      </c>
      <c r="K590">
        <v>7</v>
      </c>
      <c r="L590" s="10">
        <v>24.56</v>
      </c>
      <c r="M590" s="2">
        <f t="shared" si="20"/>
        <v>279.11999999999995</v>
      </c>
      <c r="N590" s="2">
        <f t="shared" si="19"/>
        <v>124.33874999999999</v>
      </c>
      <c r="O590">
        <v>46</v>
      </c>
    </row>
    <row r="591" spans="1:15" x14ac:dyDescent="0.25">
      <c r="A591" s="15"/>
      <c r="B591" s="15"/>
      <c r="C591">
        <v>20</v>
      </c>
      <c r="D591">
        <v>272</v>
      </c>
      <c r="E591">
        <v>68</v>
      </c>
      <c r="F591">
        <v>517</v>
      </c>
      <c r="G591">
        <v>843</v>
      </c>
      <c r="H591">
        <v>0</v>
      </c>
      <c r="I591">
        <v>0</v>
      </c>
      <c r="J591">
        <v>171</v>
      </c>
      <c r="K591">
        <v>28</v>
      </c>
      <c r="L591" s="10">
        <v>35.200000000000003</v>
      </c>
      <c r="M591" s="2">
        <f t="shared" si="20"/>
        <v>279.11999999999995</v>
      </c>
      <c r="N591" s="2">
        <f t="shared" si="19"/>
        <v>124.33874999999999</v>
      </c>
      <c r="O591">
        <v>46</v>
      </c>
    </row>
    <row r="592" spans="1:15" x14ac:dyDescent="0.25">
      <c r="A592" s="15"/>
      <c r="B592" s="15"/>
      <c r="C592">
        <v>25</v>
      </c>
      <c r="D592">
        <v>255</v>
      </c>
      <c r="E592">
        <v>85</v>
      </c>
      <c r="F592">
        <v>485</v>
      </c>
      <c r="G592">
        <v>791</v>
      </c>
      <c r="H592">
        <v>0</v>
      </c>
      <c r="I592">
        <v>0</v>
      </c>
      <c r="J592">
        <v>171</v>
      </c>
      <c r="K592">
        <v>7</v>
      </c>
      <c r="L592" s="10">
        <v>25.11</v>
      </c>
      <c r="M592" s="2">
        <f t="shared" si="20"/>
        <v>264.04839999999996</v>
      </c>
      <c r="N592" s="2">
        <f t="shared" si="19"/>
        <v>116.58374999999999</v>
      </c>
      <c r="O592">
        <v>49</v>
      </c>
    </row>
    <row r="593" spans="1:15" x14ac:dyDescent="0.25">
      <c r="A593" s="15"/>
      <c r="B593" s="15"/>
      <c r="C593">
        <v>25</v>
      </c>
      <c r="D593">
        <v>255</v>
      </c>
      <c r="E593">
        <v>85</v>
      </c>
      <c r="F593">
        <v>485</v>
      </c>
      <c r="G593">
        <v>791</v>
      </c>
      <c r="H593">
        <v>0</v>
      </c>
      <c r="I593">
        <v>0</v>
      </c>
      <c r="J593">
        <v>171</v>
      </c>
      <c r="K593">
        <v>28</v>
      </c>
      <c r="L593" s="10">
        <v>35.9</v>
      </c>
      <c r="M593" s="2">
        <f t="shared" si="20"/>
        <v>264.04839999999996</v>
      </c>
      <c r="N593" s="2">
        <f t="shared" si="19"/>
        <v>116.58374999999999</v>
      </c>
      <c r="O593">
        <v>49</v>
      </c>
    </row>
    <row r="594" spans="1:15" x14ac:dyDescent="0.25">
      <c r="A594" s="15"/>
      <c r="B594" s="15"/>
      <c r="C594">
        <v>30</v>
      </c>
      <c r="D594">
        <v>238</v>
      </c>
      <c r="E594">
        <v>102</v>
      </c>
      <c r="F594">
        <v>452</v>
      </c>
      <c r="G594">
        <v>738</v>
      </c>
      <c r="H594">
        <v>0</v>
      </c>
      <c r="I594">
        <v>0</v>
      </c>
      <c r="J594">
        <v>171</v>
      </c>
      <c r="K594">
        <v>7</v>
      </c>
      <c r="L594" s="10">
        <v>25.9</v>
      </c>
      <c r="M594" s="2">
        <f t="shared" si="20"/>
        <v>248.917</v>
      </c>
      <c r="N594" s="2">
        <f t="shared" si="19"/>
        <v>108.79499999999999</v>
      </c>
      <c r="O594">
        <v>55</v>
      </c>
    </row>
    <row r="595" spans="1:15" x14ac:dyDescent="0.25">
      <c r="A595" s="15"/>
      <c r="B595" s="15"/>
      <c r="C595">
        <v>30</v>
      </c>
      <c r="D595">
        <v>238</v>
      </c>
      <c r="E595">
        <v>102</v>
      </c>
      <c r="F595">
        <v>452</v>
      </c>
      <c r="G595">
        <v>738</v>
      </c>
      <c r="H595">
        <v>0</v>
      </c>
      <c r="I595">
        <v>0</v>
      </c>
      <c r="J595">
        <v>171</v>
      </c>
      <c r="K595">
        <v>28</v>
      </c>
      <c r="L595" s="10">
        <v>36.700000000000003</v>
      </c>
      <c r="M595" s="2">
        <f t="shared" si="20"/>
        <v>248.917</v>
      </c>
      <c r="N595" s="2">
        <f t="shared" si="19"/>
        <v>108.79499999999999</v>
      </c>
      <c r="O595">
        <v>55</v>
      </c>
    </row>
    <row r="596" spans="1:15" x14ac:dyDescent="0.25">
      <c r="A596" s="15"/>
      <c r="B596" s="15"/>
      <c r="C596">
        <v>35</v>
      </c>
      <c r="D596">
        <v>221</v>
      </c>
      <c r="E596">
        <v>119</v>
      </c>
      <c r="F596">
        <v>420</v>
      </c>
      <c r="G596">
        <v>685</v>
      </c>
      <c r="H596">
        <v>0</v>
      </c>
      <c r="I596">
        <v>0</v>
      </c>
      <c r="J596">
        <v>171</v>
      </c>
      <c r="K596">
        <v>7</v>
      </c>
      <c r="L596" s="10">
        <v>23.9</v>
      </c>
      <c r="M596" s="2">
        <f t="shared" si="20"/>
        <v>233.79949999999997</v>
      </c>
      <c r="N596" s="2">
        <f t="shared" si="19"/>
        <v>101.02499999999999</v>
      </c>
      <c r="O596">
        <v>65</v>
      </c>
    </row>
    <row r="597" spans="1:15" x14ac:dyDescent="0.25">
      <c r="A597" s="15"/>
      <c r="B597" s="15"/>
      <c r="C597">
        <v>35</v>
      </c>
      <c r="D597">
        <v>221</v>
      </c>
      <c r="E597">
        <v>119</v>
      </c>
      <c r="F597">
        <v>420</v>
      </c>
      <c r="G597">
        <v>685</v>
      </c>
      <c r="H597">
        <v>0</v>
      </c>
      <c r="I597">
        <v>0</v>
      </c>
      <c r="J597">
        <v>171</v>
      </c>
      <c r="K597">
        <v>28</v>
      </c>
      <c r="L597" s="10">
        <v>32.700000000000003</v>
      </c>
      <c r="M597" s="2">
        <f t="shared" si="20"/>
        <v>233.79949999999997</v>
      </c>
      <c r="N597" s="2">
        <f t="shared" si="19"/>
        <v>101.02499999999999</v>
      </c>
      <c r="O597">
        <v>65</v>
      </c>
    </row>
    <row r="598" spans="1:15" x14ac:dyDescent="0.25">
      <c r="A598" s="15"/>
      <c r="B598" s="15"/>
      <c r="C598">
        <v>40</v>
      </c>
      <c r="D598">
        <v>204</v>
      </c>
      <c r="E598">
        <v>136</v>
      </c>
      <c r="F598">
        <v>388</v>
      </c>
      <c r="G598">
        <v>632</v>
      </c>
      <c r="H598">
        <v>0</v>
      </c>
      <c r="I598">
        <v>0</v>
      </c>
      <c r="J598">
        <v>171</v>
      </c>
      <c r="K598">
        <v>7</v>
      </c>
      <c r="L598" s="10">
        <v>22.1</v>
      </c>
      <c r="M598" s="2">
        <f t="shared" si="20"/>
        <v>218.68200000000002</v>
      </c>
      <c r="N598" s="2">
        <f t="shared" si="19"/>
        <v>93.25500000000001</v>
      </c>
      <c r="O598">
        <v>75</v>
      </c>
    </row>
    <row r="599" spans="1:15" x14ac:dyDescent="0.25">
      <c r="A599" s="15"/>
      <c r="B599" s="15"/>
      <c r="C599">
        <v>40</v>
      </c>
      <c r="D599">
        <v>204</v>
      </c>
      <c r="E599">
        <v>136</v>
      </c>
      <c r="F599">
        <v>388</v>
      </c>
      <c r="G599">
        <v>632</v>
      </c>
      <c r="H599">
        <v>0</v>
      </c>
      <c r="I599">
        <v>0</v>
      </c>
      <c r="J599">
        <v>171</v>
      </c>
      <c r="K599">
        <v>28</v>
      </c>
      <c r="L599" s="10">
        <v>31.6</v>
      </c>
      <c r="M599" s="2">
        <f t="shared" si="20"/>
        <v>218.68200000000002</v>
      </c>
      <c r="N599" s="2">
        <f t="shared" si="19"/>
        <v>93.25500000000001</v>
      </c>
      <c r="O599">
        <v>75</v>
      </c>
    </row>
    <row r="600" spans="1:15" x14ac:dyDescent="0.25">
      <c r="A600" s="15"/>
      <c r="B600" s="15"/>
      <c r="C600">
        <v>45</v>
      </c>
      <c r="D600">
        <v>187</v>
      </c>
      <c r="E600">
        <v>153</v>
      </c>
      <c r="F600">
        <v>355</v>
      </c>
      <c r="G600">
        <v>580</v>
      </c>
      <c r="H600">
        <v>0</v>
      </c>
      <c r="I600">
        <v>0</v>
      </c>
      <c r="J600">
        <v>171</v>
      </c>
      <c r="K600">
        <v>7</v>
      </c>
      <c r="L600" s="10">
        <v>20.5</v>
      </c>
      <c r="M600" s="2">
        <f t="shared" si="20"/>
        <v>203.59649999999999</v>
      </c>
      <c r="N600" s="2">
        <f t="shared" si="19"/>
        <v>85.481250000000003</v>
      </c>
      <c r="O600">
        <v>82</v>
      </c>
    </row>
    <row r="601" spans="1:15" x14ac:dyDescent="0.25">
      <c r="A601" s="15"/>
      <c r="B601" s="15"/>
      <c r="C601">
        <v>45</v>
      </c>
      <c r="D601">
        <v>187</v>
      </c>
      <c r="E601">
        <v>153</v>
      </c>
      <c r="F601">
        <v>355</v>
      </c>
      <c r="G601">
        <v>580</v>
      </c>
      <c r="H601">
        <v>0</v>
      </c>
      <c r="I601">
        <v>0</v>
      </c>
      <c r="J601">
        <v>171</v>
      </c>
      <c r="K601">
        <v>28</v>
      </c>
      <c r="L601" s="10">
        <v>27.82</v>
      </c>
      <c r="M601" s="2">
        <f t="shared" si="20"/>
        <v>203.59649999999999</v>
      </c>
      <c r="N601" s="2">
        <f t="shared" si="19"/>
        <v>85.481250000000003</v>
      </c>
      <c r="O601">
        <v>82</v>
      </c>
    </row>
    <row r="602" spans="1:15" x14ac:dyDescent="0.25">
      <c r="A602" s="15"/>
      <c r="B602" s="15"/>
      <c r="C602">
        <v>50</v>
      </c>
      <c r="D602">
        <v>170</v>
      </c>
      <c r="E602">
        <v>170</v>
      </c>
      <c r="F602">
        <v>323</v>
      </c>
      <c r="G602">
        <v>527</v>
      </c>
      <c r="H602">
        <v>0</v>
      </c>
      <c r="I602">
        <v>0</v>
      </c>
      <c r="J602">
        <v>171</v>
      </c>
      <c r="K602">
        <v>7</v>
      </c>
      <c r="L602" s="10">
        <v>18.7</v>
      </c>
      <c r="M602" s="2">
        <f t="shared" si="20"/>
        <v>188.47899999999998</v>
      </c>
      <c r="N602" s="2">
        <f t="shared" si="19"/>
        <v>77.711250000000007</v>
      </c>
      <c r="O602">
        <v>95</v>
      </c>
    </row>
    <row r="603" spans="1:15" x14ac:dyDescent="0.25">
      <c r="A603" s="15"/>
      <c r="B603" s="15"/>
      <c r="C603">
        <v>50</v>
      </c>
      <c r="D603">
        <v>170</v>
      </c>
      <c r="E603">
        <v>170</v>
      </c>
      <c r="F603">
        <v>323</v>
      </c>
      <c r="G603">
        <v>527</v>
      </c>
      <c r="H603">
        <v>0</v>
      </c>
      <c r="I603">
        <v>0</v>
      </c>
      <c r="J603">
        <v>171</v>
      </c>
      <c r="K603">
        <v>28</v>
      </c>
      <c r="L603" s="10">
        <v>25.2</v>
      </c>
      <c r="M603" s="2">
        <f t="shared" si="20"/>
        <v>188.47899999999998</v>
      </c>
      <c r="N603" s="2">
        <f t="shared" si="19"/>
        <v>77.711250000000007</v>
      </c>
      <c r="O603">
        <v>95</v>
      </c>
    </row>
    <row r="604" spans="1:15" x14ac:dyDescent="0.25">
      <c r="A604" s="15" t="s">
        <v>364</v>
      </c>
      <c r="B604" s="15" t="s">
        <v>363</v>
      </c>
      <c r="C604">
        <v>0</v>
      </c>
      <c r="D604">
        <v>360</v>
      </c>
      <c r="E604">
        <v>0</v>
      </c>
      <c r="F604">
        <v>785</v>
      </c>
      <c r="G604">
        <v>1090</v>
      </c>
      <c r="H604">
        <v>0</v>
      </c>
      <c r="I604">
        <v>2.16</v>
      </c>
      <c r="J604">
        <v>160</v>
      </c>
      <c r="K604">
        <v>7</v>
      </c>
      <c r="L604" s="10">
        <v>33</v>
      </c>
      <c r="M604" s="2">
        <f t="shared" si="20"/>
        <v>364.0625</v>
      </c>
      <c r="N604" s="2">
        <f t="shared" si="19"/>
        <v>169.30874999999997</v>
      </c>
      <c r="O604">
        <v>0</v>
      </c>
    </row>
    <row r="605" spans="1:15" x14ac:dyDescent="0.25">
      <c r="A605" s="15"/>
      <c r="B605" s="15"/>
      <c r="C605">
        <v>0</v>
      </c>
      <c r="D605">
        <v>360</v>
      </c>
      <c r="E605">
        <v>0</v>
      </c>
      <c r="F605">
        <v>785</v>
      </c>
      <c r="G605">
        <v>1090</v>
      </c>
      <c r="H605">
        <v>0</v>
      </c>
      <c r="I605">
        <v>2.16</v>
      </c>
      <c r="J605">
        <v>160</v>
      </c>
      <c r="K605">
        <v>28</v>
      </c>
      <c r="L605" s="10">
        <v>43</v>
      </c>
      <c r="M605" s="2">
        <f t="shared" si="20"/>
        <v>364.0625</v>
      </c>
      <c r="N605" s="2">
        <f t="shared" si="19"/>
        <v>169.30874999999997</v>
      </c>
      <c r="O605">
        <v>0</v>
      </c>
    </row>
    <row r="606" spans="1:15" x14ac:dyDescent="0.25">
      <c r="A606" s="15"/>
      <c r="B606" s="15"/>
      <c r="C606">
        <v>0</v>
      </c>
      <c r="D606">
        <v>360</v>
      </c>
      <c r="E606">
        <v>0</v>
      </c>
      <c r="F606">
        <v>785</v>
      </c>
      <c r="G606">
        <v>1090</v>
      </c>
      <c r="H606">
        <v>0</v>
      </c>
      <c r="I606">
        <v>2.16</v>
      </c>
      <c r="J606">
        <v>160</v>
      </c>
      <c r="K606">
        <v>56</v>
      </c>
      <c r="L606" s="10">
        <v>44</v>
      </c>
      <c r="M606" s="2">
        <f t="shared" si="20"/>
        <v>364.0625</v>
      </c>
      <c r="N606" s="2">
        <f t="shared" si="19"/>
        <v>169.30874999999997</v>
      </c>
      <c r="O606">
        <v>0</v>
      </c>
    </row>
    <row r="607" spans="1:15" x14ac:dyDescent="0.25">
      <c r="A607" s="15"/>
      <c r="B607" s="15"/>
      <c r="C607">
        <v>20</v>
      </c>
      <c r="D607">
        <v>284</v>
      </c>
      <c r="E607">
        <v>76</v>
      </c>
      <c r="F607">
        <v>785</v>
      </c>
      <c r="G607">
        <v>1090</v>
      </c>
      <c r="H607">
        <v>0</v>
      </c>
      <c r="I607">
        <v>2.16</v>
      </c>
      <c r="J607">
        <v>160</v>
      </c>
      <c r="K607">
        <v>7</v>
      </c>
      <c r="L607" s="10">
        <v>35</v>
      </c>
      <c r="M607" s="2">
        <f t="shared" si="20"/>
        <v>309.34249999999997</v>
      </c>
      <c r="N607" s="2">
        <f t="shared" si="19"/>
        <v>140.80875</v>
      </c>
      <c r="O607">
        <v>0</v>
      </c>
    </row>
    <row r="608" spans="1:15" x14ac:dyDescent="0.25">
      <c r="A608" s="15"/>
      <c r="B608" s="15"/>
      <c r="C608">
        <v>20</v>
      </c>
      <c r="D608">
        <v>284</v>
      </c>
      <c r="E608">
        <v>76</v>
      </c>
      <c r="F608">
        <v>785</v>
      </c>
      <c r="G608">
        <v>1090</v>
      </c>
      <c r="H608">
        <v>0</v>
      </c>
      <c r="I608">
        <v>2.16</v>
      </c>
      <c r="J608">
        <v>160</v>
      </c>
      <c r="K608">
        <v>28</v>
      </c>
      <c r="L608" s="10">
        <v>46</v>
      </c>
      <c r="M608" s="2">
        <f t="shared" si="20"/>
        <v>309.34249999999997</v>
      </c>
      <c r="N608" s="2">
        <f t="shared" si="19"/>
        <v>140.80875</v>
      </c>
      <c r="O608">
        <v>0</v>
      </c>
    </row>
    <row r="609" spans="1:15" x14ac:dyDescent="0.25">
      <c r="A609" s="15"/>
      <c r="B609" s="15"/>
      <c r="C609">
        <v>20</v>
      </c>
      <c r="D609">
        <v>284</v>
      </c>
      <c r="E609">
        <v>76</v>
      </c>
      <c r="F609">
        <v>785</v>
      </c>
      <c r="G609">
        <v>1090</v>
      </c>
      <c r="H609">
        <v>0</v>
      </c>
      <c r="I609">
        <v>2.16</v>
      </c>
      <c r="J609">
        <v>160</v>
      </c>
      <c r="K609">
        <v>56</v>
      </c>
      <c r="L609" s="10">
        <v>47</v>
      </c>
      <c r="M609" s="2">
        <f t="shared" si="20"/>
        <v>309.34249999999997</v>
      </c>
      <c r="N609" s="2">
        <f t="shared" si="19"/>
        <v>140.80875</v>
      </c>
      <c r="O609">
        <v>0</v>
      </c>
    </row>
    <row r="610" spans="1:15" x14ac:dyDescent="0.25">
      <c r="A610" s="15"/>
      <c r="B610" s="15"/>
      <c r="C610">
        <v>20</v>
      </c>
      <c r="D610">
        <v>280</v>
      </c>
      <c r="E610">
        <v>76</v>
      </c>
      <c r="F610">
        <v>785</v>
      </c>
      <c r="G610">
        <v>1090</v>
      </c>
      <c r="H610">
        <v>0</v>
      </c>
      <c r="I610">
        <v>2.16</v>
      </c>
      <c r="J610">
        <v>160</v>
      </c>
      <c r="K610">
        <v>7</v>
      </c>
      <c r="L610" s="10">
        <v>38</v>
      </c>
      <c r="M610" s="2">
        <f t="shared" si="20"/>
        <v>306.02249999999998</v>
      </c>
      <c r="N610" s="2">
        <f t="shared" si="19"/>
        <v>139.30875</v>
      </c>
      <c r="O610">
        <v>0</v>
      </c>
    </row>
    <row r="611" spans="1:15" x14ac:dyDescent="0.25">
      <c r="A611" s="15"/>
      <c r="B611" s="15"/>
      <c r="C611">
        <v>20</v>
      </c>
      <c r="D611">
        <v>280</v>
      </c>
      <c r="E611">
        <v>76</v>
      </c>
      <c r="F611">
        <v>785</v>
      </c>
      <c r="G611">
        <v>1090</v>
      </c>
      <c r="H611">
        <v>0</v>
      </c>
      <c r="I611">
        <v>2.16</v>
      </c>
      <c r="J611">
        <v>160</v>
      </c>
      <c r="K611">
        <v>28</v>
      </c>
      <c r="L611" s="10">
        <v>47</v>
      </c>
      <c r="M611" s="2">
        <f t="shared" si="20"/>
        <v>306.02249999999998</v>
      </c>
      <c r="N611" s="2">
        <f t="shared" si="19"/>
        <v>139.30875</v>
      </c>
      <c r="O611">
        <v>0</v>
      </c>
    </row>
    <row r="612" spans="1:15" x14ac:dyDescent="0.25">
      <c r="A612" s="15"/>
      <c r="B612" s="15"/>
      <c r="C612">
        <v>20</v>
      </c>
      <c r="D612">
        <v>280</v>
      </c>
      <c r="E612">
        <v>76</v>
      </c>
      <c r="F612">
        <v>785</v>
      </c>
      <c r="G612">
        <v>1090</v>
      </c>
      <c r="H612">
        <v>0</v>
      </c>
      <c r="I612">
        <v>2.16</v>
      </c>
      <c r="J612">
        <v>160</v>
      </c>
      <c r="K612">
        <v>56</v>
      </c>
      <c r="L612" s="10">
        <v>48</v>
      </c>
      <c r="M612" s="2">
        <f t="shared" si="20"/>
        <v>306.02249999999998</v>
      </c>
      <c r="N612" s="2">
        <f t="shared" si="19"/>
        <v>139.30875</v>
      </c>
      <c r="O612">
        <v>0</v>
      </c>
    </row>
    <row r="613" spans="1:15" x14ac:dyDescent="0.25">
      <c r="A613" s="15"/>
      <c r="B613" s="15"/>
      <c r="C613">
        <v>20</v>
      </c>
      <c r="D613">
        <v>277</v>
      </c>
      <c r="E613">
        <v>76</v>
      </c>
      <c r="F613">
        <v>785</v>
      </c>
      <c r="G613">
        <v>1090</v>
      </c>
      <c r="H613">
        <v>0</v>
      </c>
      <c r="I613">
        <v>2.16</v>
      </c>
      <c r="J613">
        <v>160</v>
      </c>
      <c r="K613">
        <v>7</v>
      </c>
      <c r="L613" s="10">
        <v>39</v>
      </c>
      <c r="M613" s="2">
        <f t="shared" si="20"/>
        <v>303.53249999999997</v>
      </c>
      <c r="N613" s="2">
        <f t="shared" si="19"/>
        <v>138.18375</v>
      </c>
      <c r="O613">
        <v>0</v>
      </c>
    </row>
    <row r="614" spans="1:15" x14ac:dyDescent="0.25">
      <c r="A614" s="15"/>
      <c r="B614" s="15"/>
      <c r="C614">
        <v>20</v>
      </c>
      <c r="D614">
        <v>277</v>
      </c>
      <c r="E614">
        <v>76</v>
      </c>
      <c r="F614">
        <v>785</v>
      </c>
      <c r="G614">
        <v>1090</v>
      </c>
      <c r="H614">
        <v>0</v>
      </c>
      <c r="I614">
        <v>2.16</v>
      </c>
      <c r="J614">
        <v>160</v>
      </c>
      <c r="K614">
        <v>28</v>
      </c>
      <c r="L614" s="10">
        <v>48</v>
      </c>
      <c r="M614" s="2">
        <f t="shared" si="20"/>
        <v>303.53249999999997</v>
      </c>
      <c r="N614" s="2">
        <f t="shared" si="19"/>
        <v>138.18375</v>
      </c>
      <c r="O614">
        <v>0</v>
      </c>
    </row>
    <row r="615" spans="1:15" x14ac:dyDescent="0.25">
      <c r="A615" s="15"/>
      <c r="B615" s="15"/>
      <c r="C615">
        <v>20</v>
      </c>
      <c r="D615">
        <v>277</v>
      </c>
      <c r="E615">
        <v>76</v>
      </c>
      <c r="F615">
        <v>785</v>
      </c>
      <c r="G615">
        <v>1090</v>
      </c>
      <c r="H615">
        <v>0</v>
      </c>
      <c r="I615">
        <v>2.16</v>
      </c>
      <c r="J615">
        <v>160</v>
      </c>
      <c r="K615">
        <v>56</v>
      </c>
      <c r="L615" s="10">
        <v>48.5</v>
      </c>
      <c r="M615" s="2">
        <f t="shared" si="20"/>
        <v>303.53249999999997</v>
      </c>
      <c r="N615" s="2">
        <f t="shared" si="19"/>
        <v>138.18375</v>
      </c>
      <c r="O615">
        <v>0</v>
      </c>
    </row>
    <row r="616" spans="1:15" x14ac:dyDescent="0.25">
      <c r="A616" s="15"/>
      <c r="B616" s="15"/>
      <c r="C616">
        <v>20</v>
      </c>
      <c r="D616">
        <v>273</v>
      </c>
      <c r="E616">
        <v>76</v>
      </c>
      <c r="F616">
        <v>785</v>
      </c>
      <c r="G616">
        <v>1090</v>
      </c>
      <c r="H616">
        <v>0</v>
      </c>
      <c r="I616">
        <v>2.16</v>
      </c>
      <c r="J616">
        <v>160</v>
      </c>
      <c r="K616">
        <v>7</v>
      </c>
      <c r="L616" s="10">
        <v>38</v>
      </c>
      <c r="M616" s="2">
        <f t="shared" si="20"/>
        <v>300.21249999999998</v>
      </c>
      <c r="N616" s="2">
        <f t="shared" si="19"/>
        <v>136.68375</v>
      </c>
      <c r="O616">
        <v>0</v>
      </c>
    </row>
    <row r="617" spans="1:15" x14ac:dyDescent="0.25">
      <c r="A617" s="15"/>
      <c r="B617" s="15"/>
      <c r="C617">
        <v>20</v>
      </c>
      <c r="D617">
        <v>273</v>
      </c>
      <c r="E617">
        <v>76</v>
      </c>
      <c r="F617">
        <v>785</v>
      </c>
      <c r="G617">
        <v>1090</v>
      </c>
      <c r="H617">
        <v>0</v>
      </c>
      <c r="I617">
        <v>2.16</v>
      </c>
      <c r="J617">
        <v>160</v>
      </c>
      <c r="K617">
        <v>28</v>
      </c>
      <c r="L617" s="10">
        <v>46</v>
      </c>
      <c r="M617" s="2">
        <f t="shared" si="20"/>
        <v>300.21249999999998</v>
      </c>
      <c r="N617" s="2">
        <f t="shared" si="19"/>
        <v>136.68375</v>
      </c>
      <c r="O617">
        <v>0</v>
      </c>
    </row>
    <row r="618" spans="1:15" x14ac:dyDescent="0.25">
      <c r="A618" s="15"/>
      <c r="B618" s="15"/>
      <c r="C618">
        <v>20</v>
      </c>
      <c r="D618">
        <v>273</v>
      </c>
      <c r="E618">
        <v>76</v>
      </c>
      <c r="F618">
        <v>785</v>
      </c>
      <c r="G618">
        <v>1090</v>
      </c>
      <c r="H618">
        <v>0</v>
      </c>
      <c r="I618">
        <v>2.16</v>
      </c>
      <c r="J618">
        <v>160</v>
      </c>
      <c r="K618">
        <v>56</v>
      </c>
      <c r="L618" s="10">
        <v>47</v>
      </c>
      <c r="M618" s="2">
        <f t="shared" si="20"/>
        <v>300.21249999999998</v>
      </c>
      <c r="N618" s="2">
        <f t="shared" si="19"/>
        <v>136.68375</v>
      </c>
      <c r="O618">
        <v>0</v>
      </c>
    </row>
    <row r="619" spans="1:15" x14ac:dyDescent="0.25">
      <c r="A619" s="15" t="s">
        <v>366</v>
      </c>
      <c r="B619" s="15" t="s">
        <v>365</v>
      </c>
      <c r="C619">
        <v>0</v>
      </c>
      <c r="D619">
        <v>330</v>
      </c>
      <c r="E619">
        <v>0</v>
      </c>
      <c r="F619">
        <v>780</v>
      </c>
      <c r="G619">
        <v>1110</v>
      </c>
      <c r="H619">
        <v>0</v>
      </c>
      <c r="I619">
        <v>3.3</v>
      </c>
      <c r="J619">
        <v>165</v>
      </c>
      <c r="K619">
        <v>7</v>
      </c>
      <c r="L619" s="10">
        <v>22.9</v>
      </c>
      <c r="M619" s="2">
        <f t="shared" si="20"/>
        <v>342.291</v>
      </c>
      <c r="N619" s="2">
        <f t="shared" si="19"/>
        <v>159.97499999999999</v>
      </c>
      <c r="O619">
        <v>120</v>
      </c>
    </row>
    <row r="620" spans="1:15" x14ac:dyDescent="0.25">
      <c r="A620" s="15"/>
      <c r="B620" s="15"/>
      <c r="C620">
        <v>0</v>
      </c>
      <c r="D620">
        <v>330</v>
      </c>
      <c r="E620">
        <v>0</v>
      </c>
      <c r="F620">
        <v>780</v>
      </c>
      <c r="G620">
        <v>1110</v>
      </c>
      <c r="H620">
        <v>0</v>
      </c>
      <c r="I620">
        <v>3.3</v>
      </c>
      <c r="J620">
        <v>165</v>
      </c>
      <c r="K620">
        <v>28</v>
      </c>
      <c r="L620" s="10">
        <v>35.4</v>
      </c>
      <c r="M620" s="2">
        <f t="shared" si="20"/>
        <v>342.291</v>
      </c>
      <c r="N620" s="2">
        <f t="shared" si="19"/>
        <v>159.97499999999999</v>
      </c>
      <c r="O620">
        <v>120</v>
      </c>
    </row>
    <row r="621" spans="1:15" x14ac:dyDescent="0.25">
      <c r="A621" s="15"/>
      <c r="B621" s="15"/>
      <c r="C621">
        <v>0</v>
      </c>
      <c r="D621">
        <v>330</v>
      </c>
      <c r="E621">
        <v>0</v>
      </c>
      <c r="F621">
        <v>780</v>
      </c>
      <c r="G621">
        <v>1110</v>
      </c>
      <c r="H621">
        <v>0</v>
      </c>
      <c r="I621">
        <v>3.3</v>
      </c>
      <c r="J621">
        <v>165</v>
      </c>
      <c r="K621">
        <v>56</v>
      </c>
      <c r="L621" s="10">
        <v>38.5</v>
      </c>
      <c r="M621" s="2">
        <f t="shared" si="20"/>
        <v>342.291</v>
      </c>
      <c r="N621" s="2">
        <f t="shared" si="19"/>
        <v>159.97499999999999</v>
      </c>
      <c r="O621">
        <v>120</v>
      </c>
    </row>
    <row r="622" spans="1:15" x14ac:dyDescent="0.25">
      <c r="A622" s="15"/>
      <c r="B622" s="15"/>
      <c r="C622">
        <v>0</v>
      </c>
      <c r="D622">
        <v>330</v>
      </c>
      <c r="E622">
        <v>0</v>
      </c>
      <c r="F622">
        <v>780</v>
      </c>
      <c r="G622">
        <v>1110</v>
      </c>
      <c r="H622">
        <v>0</v>
      </c>
      <c r="I622">
        <v>3.3</v>
      </c>
      <c r="J622">
        <v>165</v>
      </c>
      <c r="K622">
        <v>90</v>
      </c>
      <c r="L622" s="10">
        <v>42.6</v>
      </c>
      <c r="M622" s="2">
        <f t="shared" si="20"/>
        <v>342.291</v>
      </c>
      <c r="N622" s="2">
        <f t="shared" si="19"/>
        <v>159.97499999999999</v>
      </c>
      <c r="O622">
        <v>120</v>
      </c>
    </row>
    <row r="623" spans="1:15" x14ac:dyDescent="0.25">
      <c r="A623" s="15"/>
      <c r="B623" s="15"/>
      <c r="C623">
        <v>5</v>
      </c>
      <c r="D623">
        <v>313.5</v>
      </c>
      <c r="E623">
        <v>16.5</v>
      </c>
      <c r="F623">
        <v>780</v>
      </c>
      <c r="G623">
        <v>1110</v>
      </c>
      <c r="H623">
        <v>0</v>
      </c>
      <c r="I623">
        <v>3.3</v>
      </c>
      <c r="J623">
        <v>165</v>
      </c>
      <c r="K623">
        <v>7</v>
      </c>
      <c r="L623" s="10">
        <v>33.04</v>
      </c>
      <c r="M623" s="2">
        <f t="shared" si="20"/>
        <v>330.411</v>
      </c>
      <c r="N623" s="2">
        <f t="shared" si="19"/>
        <v>153.78749999999999</v>
      </c>
      <c r="O623">
        <v>100</v>
      </c>
    </row>
    <row r="624" spans="1:15" x14ac:dyDescent="0.25">
      <c r="A624" s="15"/>
      <c r="B624" s="15"/>
      <c r="C624">
        <v>5</v>
      </c>
      <c r="D624">
        <v>313.5</v>
      </c>
      <c r="E624">
        <v>16.5</v>
      </c>
      <c r="F624">
        <v>780</v>
      </c>
      <c r="G624">
        <v>1110</v>
      </c>
      <c r="H624">
        <v>0</v>
      </c>
      <c r="I624">
        <v>3.3</v>
      </c>
      <c r="J624">
        <v>165</v>
      </c>
      <c r="K624">
        <v>28</v>
      </c>
      <c r="L624" s="10">
        <v>44.6</v>
      </c>
      <c r="M624" s="2">
        <f t="shared" si="20"/>
        <v>330.411</v>
      </c>
      <c r="N624" s="2">
        <f t="shared" si="19"/>
        <v>153.78749999999999</v>
      </c>
      <c r="O624">
        <v>100</v>
      </c>
    </row>
    <row r="625" spans="1:15" x14ac:dyDescent="0.25">
      <c r="A625" s="15"/>
      <c r="B625" s="15"/>
      <c r="C625">
        <v>5</v>
      </c>
      <c r="D625">
        <v>313.5</v>
      </c>
      <c r="E625">
        <v>16.5</v>
      </c>
      <c r="F625">
        <v>780</v>
      </c>
      <c r="G625">
        <v>1110</v>
      </c>
      <c r="H625">
        <v>0</v>
      </c>
      <c r="I625">
        <v>3.3</v>
      </c>
      <c r="J625">
        <v>165</v>
      </c>
      <c r="K625">
        <v>56</v>
      </c>
      <c r="L625" s="10">
        <v>45.1</v>
      </c>
      <c r="M625" s="2">
        <f t="shared" si="20"/>
        <v>330.411</v>
      </c>
      <c r="N625" s="2">
        <f t="shared" si="19"/>
        <v>153.78749999999999</v>
      </c>
      <c r="O625">
        <v>100</v>
      </c>
    </row>
    <row r="626" spans="1:15" x14ac:dyDescent="0.25">
      <c r="A626" s="15"/>
      <c r="B626" s="15"/>
      <c r="C626">
        <v>5</v>
      </c>
      <c r="D626">
        <v>313.5</v>
      </c>
      <c r="E626">
        <v>16.5</v>
      </c>
      <c r="F626">
        <v>780</v>
      </c>
      <c r="G626">
        <v>1110</v>
      </c>
      <c r="H626">
        <v>0</v>
      </c>
      <c r="I626">
        <v>3.3</v>
      </c>
      <c r="J626">
        <v>165</v>
      </c>
      <c r="K626">
        <v>90</v>
      </c>
      <c r="L626" s="10">
        <v>47.6</v>
      </c>
      <c r="M626" s="2">
        <f t="shared" si="20"/>
        <v>330.411</v>
      </c>
      <c r="N626" s="2">
        <f t="shared" si="19"/>
        <v>153.78749999999999</v>
      </c>
      <c r="O626">
        <v>100</v>
      </c>
    </row>
    <row r="627" spans="1:15" x14ac:dyDescent="0.25">
      <c r="A627" s="15"/>
      <c r="B627" s="15"/>
      <c r="C627">
        <v>10</v>
      </c>
      <c r="D627">
        <v>297</v>
      </c>
      <c r="E627">
        <v>33</v>
      </c>
      <c r="F627">
        <v>780</v>
      </c>
      <c r="G627">
        <v>1110</v>
      </c>
      <c r="H627">
        <v>0</v>
      </c>
      <c r="I627">
        <v>3.3</v>
      </c>
      <c r="J627">
        <v>165</v>
      </c>
      <c r="K627">
        <v>7</v>
      </c>
      <c r="L627" s="10">
        <v>35.9</v>
      </c>
      <c r="M627" s="2">
        <f t="shared" si="20"/>
        <v>318.53100000000001</v>
      </c>
      <c r="N627" s="2">
        <f t="shared" si="19"/>
        <v>147.6</v>
      </c>
      <c r="O627">
        <v>80</v>
      </c>
    </row>
    <row r="628" spans="1:15" x14ac:dyDescent="0.25">
      <c r="A628" s="15"/>
      <c r="B628" s="15"/>
      <c r="C628">
        <v>10</v>
      </c>
      <c r="D628">
        <v>297</v>
      </c>
      <c r="E628">
        <v>33</v>
      </c>
      <c r="F628">
        <v>780</v>
      </c>
      <c r="G628">
        <v>1110</v>
      </c>
      <c r="H628">
        <v>0</v>
      </c>
      <c r="I628">
        <v>3.3</v>
      </c>
      <c r="J628">
        <v>165</v>
      </c>
      <c r="K628">
        <v>28</v>
      </c>
      <c r="L628" s="10">
        <v>46.7</v>
      </c>
      <c r="M628" s="2">
        <f t="shared" si="20"/>
        <v>318.53100000000001</v>
      </c>
      <c r="N628" s="2">
        <f t="shared" si="19"/>
        <v>147.6</v>
      </c>
      <c r="O628">
        <v>80</v>
      </c>
    </row>
    <row r="629" spans="1:15" x14ac:dyDescent="0.25">
      <c r="A629" s="15"/>
      <c r="B629" s="15"/>
      <c r="C629">
        <v>10</v>
      </c>
      <c r="D629">
        <v>297</v>
      </c>
      <c r="E629">
        <v>33</v>
      </c>
      <c r="F629">
        <v>780</v>
      </c>
      <c r="G629">
        <v>1110</v>
      </c>
      <c r="H629">
        <v>0</v>
      </c>
      <c r="I629">
        <v>3.3</v>
      </c>
      <c r="J629">
        <v>165</v>
      </c>
      <c r="K629">
        <v>56</v>
      </c>
      <c r="L629" s="10">
        <v>47.1</v>
      </c>
      <c r="M629" s="2">
        <f t="shared" si="20"/>
        <v>318.53100000000001</v>
      </c>
      <c r="N629" s="2">
        <f t="shared" si="19"/>
        <v>147.6</v>
      </c>
      <c r="O629">
        <v>80</v>
      </c>
    </row>
    <row r="630" spans="1:15" x14ac:dyDescent="0.25">
      <c r="A630" s="15"/>
      <c r="B630" s="15"/>
      <c r="C630">
        <v>10</v>
      </c>
      <c r="D630">
        <v>297</v>
      </c>
      <c r="E630">
        <v>33</v>
      </c>
      <c r="F630">
        <v>780</v>
      </c>
      <c r="G630">
        <v>1110</v>
      </c>
      <c r="H630">
        <v>0</v>
      </c>
      <c r="I630">
        <v>3.3</v>
      </c>
      <c r="J630">
        <v>165</v>
      </c>
      <c r="K630">
        <v>90</v>
      </c>
      <c r="L630" s="10">
        <v>47.9</v>
      </c>
      <c r="M630" s="2">
        <f t="shared" si="20"/>
        <v>318.53100000000001</v>
      </c>
      <c r="N630" s="2">
        <f t="shared" si="19"/>
        <v>147.6</v>
      </c>
      <c r="O630">
        <v>80</v>
      </c>
    </row>
    <row r="631" spans="1:15" x14ac:dyDescent="0.25">
      <c r="A631" s="15"/>
      <c r="B631" s="15"/>
      <c r="C631">
        <v>15</v>
      </c>
      <c r="D631">
        <v>280.5</v>
      </c>
      <c r="E631">
        <v>49.5</v>
      </c>
      <c r="F631">
        <v>780</v>
      </c>
      <c r="G631">
        <v>1110</v>
      </c>
      <c r="H631">
        <v>0</v>
      </c>
      <c r="I631">
        <v>3.3</v>
      </c>
      <c r="J631">
        <v>165</v>
      </c>
      <c r="K631">
        <v>7</v>
      </c>
      <c r="L631" s="10">
        <v>30.6</v>
      </c>
      <c r="M631" s="2">
        <f t="shared" si="20"/>
        <v>306.65100000000001</v>
      </c>
      <c r="N631" s="2">
        <f t="shared" si="19"/>
        <v>141.41249999999999</v>
      </c>
      <c r="O631">
        <v>50</v>
      </c>
    </row>
    <row r="632" spans="1:15" x14ac:dyDescent="0.25">
      <c r="A632" s="15"/>
      <c r="B632" s="15"/>
      <c r="C632">
        <v>15</v>
      </c>
      <c r="D632">
        <v>280.5</v>
      </c>
      <c r="E632">
        <v>49.5</v>
      </c>
      <c r="F632">
        <v>780</v>
      </c>
      <c r="G632">
        <v>1110</v>
      </c>
      <c r="H632">
        <v>0</v>
      </c>
      <c r="I632">
        <v>3.3</v>
      </c>
      <c r="J632">
        <v>165</v>
      </c>
      <c r="K632">
        <v>28</v>
      </c>
      <c r="L632" s="10">
        <v>42.4</v>
      </c>
      <c r="M632" s="2">
        <f t="shared" si="20"/>
        <v>306.65100000000001</v>
      </c>
      <c r="N632" s="2">
        <f t="shared" si="19"/>
        <v>141.41249999999999</v>
      </c>
      <c r="O632">
        <v>50</v>
      </c>
    </row>
    <row r="633" spans="1:15" x14ac:dyDescent="0.25">
      <c r="A633" s="15"/>
      <c r="B633" s="15"/>
      <c r="C633">
        <v>15</v>
      </c>
      <c r="D633">
        <v>280.5</v>
      </c>
      <c r="E633">
        <v>49.5</v>
      </c>
      <c r="F633">
        <v>780</v>
      </c>
      <c r="G633">
        <v>1110</v>
      </c>
      <c r="H633">
        <v>0</v>
      </c>
      <c r="I633">
        <v>3.3</v>
      </c>
      <c r="J633">
        <v>165</v>
      </c>
      <c r="K633">
        <v>56</v>
      </c>
      <c r="L633" s="10">
        <v>44.3</v>
      </c>
      <c r="M633" s="2">
        <f t="shared" si="20"/>
        <v>306.65100000000001</v>
      </c>
      <c r="N633" s="2">
        <f t="shared" si="19"/>
        <v>141.41249999999999</v>
      </c>
      <c r="O633">
        <v>50</v>
      </c>
    </row>
    <row r="634" spans="1:15" x14ac:dyDescent="0.25">
      <c r="A634" s="15"/>
      <c r="B634" s="15"/>
      <c r="C634">
        <v>15</v>
      </c>
      <c r="D634">
        <v>280.5</v>
      </c>
      <c r="E634">
        <v>49.5</v>
      </c>
      <c r="F634">
        <v>780</v>
      </c>
      <c r="G634">
        <v>1110</v>
      </c>
      <c r="H634">
        <v>0</v>
      </c>
      <c r="I634">
        <v>3.3</v>
      </c>
      <c r="J634">
        <v>165</v>
      </c>
      <c r="K634">
        <v>90</v>
      </c>
      <c r="L634" s="10">
        <v>47.1</v>
      </c>
      <c r="M634" s="2">
        <f t="shared" si="20"/>
        <v>306.65100000000001</v>
      </c>
      <c r="N634" s="2">
        <f t="shared" si="19"/>
        <v>141.41249999999999</v>
      </c>
      <c r="O634">
        <v>50</v>
      </c>
    </row>
    <row r="635" spans="1:15" x14ac:dyDescent="0.25">
      <c r="A635" s="15"/>
      <c r="B635" s="15"/>
      <c r="C635">
        <v>20</v>
      </c>
      <c r="D635">
        <v>264</v>
      </c>
      <c r="E635">
        <v>66</v>
      </c>
      <c r="F635">
        <v>780</v>
      </c>
      <c r="G635">
        <v>1110</v>
      </c>
      <c r="H635">
        <v>0</v>
      </c>
      <c r="I635">
        <v>3.3</v>
      </c>
      <c r="J635">
        <v>165</v>
      </c>
      <c r="K635">
        <v>7</v>
      </c>
      <c r="L635" s="10">
        <v>30</v>
      </c>
      <c r="M635" s="2">
        <f t="shared" si="20"/>
        <v>294.77100000000002</v>
      </c>
      <c r="N635" s="2">
        <f t="shared" si="19"/>
        <v>135.22499999999999</v>
      </c>
      <c r="O635">
        <v>30</v>
      </c>
    </row>
    <row r="636" spans="1:15" x14ac:dyDescent="0.25">
      <c r="A636" s="15"/>
      <c r="B636" s="15"/>
      <c r="C636">
        <v>20</v>
      </c>
      <c r="D636">
        <v>264</v>
      </c>
      <c r="E636">
        <v>66</v>
      </c>
      <c r="F636">
        <v>780</v>
      </c>
      <c r="G636">
        <v>1110</v>
      </c>
      <c r="H636">
        <v>0</v>
      </c>
      <c r="I636">
        <v>3.3</v>
      </c>
      <c r="J636">
        <v>165</v>
      </c>
      <c r="K636">
        <v>28</v>
      </c>
      <c r="L636" s="10">
        <v>39</v>
      </c>
      <c r="M636" s="2">
        <f t="shared" si="20"/>
        <v>294.77100000000002</v>
      </c>
      <c r="N636" s="2">
        <f t="shared" si="19"/>
        <v>135.22499999999999</v>
      </c>
      <c r="O636">
        <v>30</v>
      </c>
    </row>
    <row r="637" spans="1:15" x14ac:dyDescent="0.25">
      <c r="A637" s="15"/>
      <c r="B637" s="15"/>
      <c r="C637">
        <v>20</v>
      </c>
      <c r="D637">
        <v>264</v>
      </c>
      <c r="E637">
        <v>66</v>
      </c>
      <c r="F637">
        <v>780</v>
      </c>
      <c r="G637">
        <v>1110</v>
      </c>
      <c r="H637">
        <v>0</v>
      </c>
      <c r="I637">
        <v>3.3</v>
      </c>
      <c r="J637">
        <v>165</v>
      </c>
      <c r="K637">
        <v>56</v>
      </c>
      <c r="L637" s="10">
        <v>43.8</v>
      </c>
      <c r="M637" s="2">
        <f t="shared" si="20"/>
        <v>294.77100000000002</v>
      </c>
      <c r="N637" s="2">
        <f t="shared" si="19"/>
        <v>135.22499999999999</v>
      </c>
      <c r="O637">
        <v>30</v>
      </c>
    </row>
    <row r="638" spans="1:15" x14ac:dyDescent="0.25">
      <c r="A638" s="15"/>
      <c r="B638" s="15"/>
      <c r="C638">
        <v>20</v>
      </c>
      <c r="D638">
        <v>264</v>
      </c>
      <c r="E638">
        <v>66</v>
      </c>
      <c r="F638">
        <v>780</v>
      </c>
      <c r="G638">
        <v>1110</v>
      </c>
      <c r="H638">
        <v>0</v>
      </c>
      <c r="I638">
        <v>3.3</v>
      </c>
      <c r="J638">
        <v>165</v>
      </c>
      <c r="K638">
        <v>90</v>
      </c>
      <c r="L638" s="10">
        <v>46.8</v>
      </c>
      <c r="M638" s="2">
        <f t="shared" si="20"/>
        <v>294.77100000000002</v>
      </c>
      <c r="N638" s="2">
        <f t="shared" si="19"/>
        <v>135.22499999999999</v>
      </c>
      <c r="O638">
        <v>30</v>
      </c>
    </row>
    <row r="639" spans="1:15" x14ac:dyDescent="0.25">
      <c r="A639" s="15"/>
      <c r="B639" s="15"/>
      <c r="C639">
        <v>25</v>
      </c>
      <c r="D639">
        <v>247.5</v>
      </c>
      <c r="E639">
        <v>82.5</v>
      </c>
      <c r="F639">
        <v>780</v>
      </c>
      <c r="G639">
        <v>1110</v>
      </c>
      <c r="H639">
        <v>0</v>
      </c>
      <c r="I639">
        <v>3.3</v>
      </c>
      <c r="J639">
        <v>165</v>
      </c>
      <c r="K639">
        <v>7</v>
      </c>
      <c r="L639" s="10">
        <v>22.1</v>
      </c>
      <c r="M639" s="2">
        <f t="shared" si="20"/>
        <v>282.89100000000002</v>
      </c>
      <c r="N639" s="2">
        <f t="shared" si="19"/>
        <v>129.03749999999999</v>
      </c>
      <c r="O639">
        <v>10</v>
      </c>
    </row>
    <row r="640" spans="1:15" x14ac:dyDescent="0.25">
      <c r="A640" s="15"/>
      <c r="B640" s="15"/>
      <c r="C640">
        <v>25</v>
      </c>
      <c r="D640">
        <v>247.5</v>
      </c>
      <c r="E640">
        <v>82.5</v>
      </c>
      <c r="F640">
        <v>780</v>
      </c>
      <c r="G640">
        <v>1110</v>
      </c>
      <c r="H640">
        <v>0</v>
      </c>
      <c r="I640">
        <v>3.3</v>
      </c>
      <c r="J640">
        <v>165</v>
      </c>
      <c r="K640">
        <v>28</v>
      </c>
      <c r="L640" s="10">
        <v>36.9</v>
      </c>
      <c r="M640" s="2">
        <f t="shared" si="20"/>
        <v>282.89100000000002</v>
      </c>
      <c r="N640" s="2">
        <f t="shared" si="19"/>
        <v>129.03749999999999</v>
      </c>
      <c r="O640">
        <v>10</v>
      </c>
    </row>
    <row r="641" spans="1:15" x14ac:dyDescent="0.25">
      <c r="A641" s="15"/>
      <c r="B641" s="15"/>
      <c r="C641">
        <v>25</v>
      </c>
      <c r="D641">
        <v>247.5</v>
      </c>
      <c r="E641">
        <v>82.5</v>
      </c>
      <c r="F641">
        <v>780</v>
      </c>
      <c r="G641">
        <v>1110</v>
      </c>
      <c r="H641">
        <v>0</v>
      </c>
      <c r="I641">
        <v>3.3</v>
      </c>
      <c r="J641">
        <v>165</v>
      </c>
      <c r="K641">
        <v>56</v>
      </c>
      <c r="L641" s="10">
        <v>41.8</v>
      </c>
      <c r="M641" s="2">
        <f t="shared" si="20"/>
        <v>282.89100000000002</v>
      </c>
      <c r="N641" s="2">
        <f t="shared" si="19"/>
        <v>129.03749999999999</v>
      </c>
      <c r="O641">
        <v>10</v>
      </c>
    </row>
    <row r="642" spans="1:15" x14ac:dyDescent="0.25">
      <c r="A642" s="15"/>
      <c r="B642" s="15"/>
      <c r="C642">
        <v>25</v>
      </c>
      <c r="D642">
        <v>247.5</v>
      </c>
      <c r="E642">
        <v>82.5</v>
      </c>
      <c r="F642">
        <v>780</v>
      </c>
      <c r="G642">
        <v>1110</v>
      </c>
      <c r="H642">
        <v>0</v>
      </c>
      <c r="I642">
        <v>3.3</v>
      </c>
      <c r="J642">
        <v>165</v>
      </c>
      <c r="K642">
        <v>90</v>
      </c>
      <c r="L642" s="10">
        <v>44.3</v>
      </c>
      <c r="M642" s="2">
        <f t="shared" si="20"/>
        <v>282.89100000000002</v>
      </c>
      <c r="N642" s="2">
        <f t="shared" si="19"/>
        <v>129.03749999999999</v>
      </c>
      <c r="O642">
        <v>10</v>
      </c>
    </row>
  </sheetData>
  <mergeCells count="38">
    <mergeCell ref="A502:A521"/>
    <mergeCell ref="A255:A298"/>
    <mergeCell ref="A464:A501"/>
    <mergeCell ref="A299:A342"/>
    <mergeCell ref="A343:A386"/>
    <mergeCell ref="A387:A430"/>
    <mergeCell ref="A431:A463"/>
    <mergeCell ref="A211:A254"/>
    <mergeCell ref="A2:A45"/>
    <mergeCell ref="A46:A78"/>
    <mergeCell ref="A79:A122"/>
    <mergeCell ref="A123:A166"/>
    <mergeCell ref="A167:A210"/>
    <mergeCell ref="B502:B521"/>
    <mergeCell ref="B464:B501"/>
    <mergeCell ref="B431:B463"/>
    <mergeCell ref="B387:B430"/>
    <mergeCell ref="B343:B386"/>
    <mergeCell ref="B79:B122"/>
    <mergeCell ref="B46:B78"/>
    <mergeCell ref="B2:B45"/>
    <mergeCell ref="B299:B342"/>
    <mergeCell ref="B255:B298"/>
    <mergeCell ref="B211:B254"/>
    <mergeCell ref="B167:B210"/>
    <mergeCell ref="B123:B166"/>
    <mergeCell ref="B619:B642"/>
    <mergeCell ref="A619:A642"/>
    <mergeCell ref="B604:B618"/>
    <mergeCell ref="A604:A618"/>
    <mergeCell ref="B582:B603"/>
    <mergeCell ref="A582:A603"/>
    <mergeCell ref="B570:B581"/>
    <mergeCell ref="A570:A581"/>
    <mergeCell ref="B550:B569"/>
    <mergeCell ref="A550:A569"/>
    <mergeCell ref="B522:B549"/>
    <mergeCell ref="A522:A549"/>
  </mergeCells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49"/>
  <sheetViews>
    <sheetView topLeftCell="B542" workbookViewId="0">
      <selection activeCell="L2" sqref="L2"/>
    </sheetView>
  </sheetViews>
  <sheetFormatPr defaultRowHeight="15" x14ac:dyDescent="0.25"/>
  <cols>
    <col min="2" max="2" width="14.42578125" customWidth="1"/>
    <col min="3" max="3" width="16" customWidth="1"/>
    <col min="4" max="4" width="16.85546875" customWidth="1"/>
    <col min="5" max="5" width="17" customWidth="1"/>
    <col min="8" max="8" width="17" customWidth="1"/>
    <col min="9" max="9" width="15.7109375" customWidth="1"/>
    <col min="10" max="10" width="15.28515625" customWidth="1"/>
    <col min="11" max="11" width="24.5703125" style="10" customWidth="1"/>
    <col min="12" max="12" width="17.42578125" customWidth="1"/>
    <col min="13" max="13" width="18.42578125" customWidth="1"/>
    <col min="14" max="14" width="11.140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1" t="s">
        <v>10</v>
      </c>
      <c r="L1" s="14" t="s">
        <v>407</v>
      </c>
      <c r="M1" s="1" t="s">
        <v>406</v>
      </c>
      <c r="N1" s="1" t="s">
        <v>11</v>
      </c>
    </row>
    <row r="2" spans="1:14" x14ac:dyDescent="0.25">
      <c r="A2" s="19" t="s">
        <v>78</v>
      </c>
      <c r="B2" s="19" t="s">
        <v>79</v>
      </c>
      <c r="C2">
        <v>0</v>
      </c>
      <c r="D2">
        <v>533.4</v>
      </c>
      <c r="E2">
        <v>0</v>
      </c>
      <c r="F2">
        <v>659</v>
      </c>
      <c r="G2">
        <v>1162.8</v>
      </c>
      <c r="H2">
        <v>0</v>
      </c>
      <c r="I2">
        <v>197.2</v>
      </c>
      <c r="J2">
        <v>10</v>
      </c>
      <c r="K2" s="10">
        <v>20.37</v>
      </c>
      <c r="L2" s="2">
        <f t="shared" ref="L2:L65" si="0">SUM((D2*0.83)+(E2*0.1)+(F2*0.0139)+(G2*0.0459)+(H2*2))</f>
        <v>505.25461999999999</v>
      </c>
      <c r="M2" s="2">
        <f>SUM((D2*5)+((F2*0.25)+(G2*0.2)+(H2*20)))*0.075</f>
        <v>229.82325</v>
      </c>
      <c r="N2">
        <v>0</v>
      </c>
    </row>
    <row r="3" spans="1:14" x14ac:dyDescent="0.25">
      <c r="A3" s="22"/>
      <c r="B3" s="15"/>
      <c r="C3">
        <v>0</v>
      </c>
      <c r="D3">
        <v>533.4</v>
      </c>
      <c r="E3">
        <v>0</v>
      </c>
      <c r="F3">
        <v>659</v>
      </c>
      <c r="G3">
        <v>1162.8</v>
      </c>
      <c r="H3">
        <v>0</v>
      </c>
      <c r="I3">
        <v>197.2</v>
      </c>
      <c r="J3">
        <v>14</v>
      </c>
      <c r="K3" s="10">
        <v>25.59</v>
      </c>
      <c r="L3" s="2">
        <f t="shared" si="0"/>
        <v>505.25461999999999</v>
      </c>
      <c r="M3" s="2">
        <f t="shared" ref="M3:M66" si="1">SUM((D3*5)+((F3*0.25)+(G3*0.2)+(H3*20)))*0.075</f>
        <v>229.82325</v>
      </c>
      <c r="N3">
        <v>0</v>
      </c>
    </row>
    <row r="4" spans="1:14" x14ac:dyDescent="0.25">
      <c r="A4" s="22"/>
      <c r="B4" s="15"/>
      <c r="C4">
        <v>0</v>
      </c>
      <c r="D4">
        <v>533.4</v>
      </c>
      <c r="E4">
        <v>0</v>
      </c>
      <c r="F4">
        <v>659</v>
      </c>
      <c r="G4">
        <v>1162.8</v>
      </c>
      <c r="H4">
        <v>0</v>
      </c>
      <c r="I4">
        <v>197.2</v>
      </c>
      <c r="J4">
        <v>56</v>
      </c>
      <c r="K4" s="10">
        <v>27.55</v>
      </c>
      <c r="L4" s="2">
        <f t="shared" si="0"/>
        <v>505.25461999999999</v>
      </c>
      <c r="M4" s="2">
        <f t="shared" si="1"/>
        <v>229.82325</v>
      </c>
      <c r="N4">
        <v>0</v>
      </c>
    </row>
    <row r="5" spans="1:14" x14ac:dyDescent="0.25">
      <c r="A5" s="22"/>
      <c r="B5" s="15"/>
      <c r="C5">
        <v>0</v>
      </c>
      <c r="D5">
        <v>533.4</v>
      </c>
      <c r="E5">
        <v>0</v>
      </c>
      <c r="F5">
        <v>659</v>
      </c>
      <c r="G5">
        <v>1162.8</v>
      </c>
      <c r="H5">
        <v>0</v>
      </c>
      <c r="I5">
        <v>197.2</v>
      </c>
      <c r="J5">
        <v>90</v>
      </c>
      <c r="K5" s="10">
        <v>33.549999999999997</v>
      </c>
      <c r="L5" s="2">
        <f t="shared" si="0"/>
        <v>505.25461999999999</v>
      </c>
      <c r="M5" s="2">
        <f t="shared" si="1"/>
        <v>229.82325</v>
      </c>
      <c r="N5">
        <v>0</v>
      </c>
    </row>
    <row r="6" spans="1:14" x14ac:dyDescent="0.25">
      <c r="A6" s="22"/>
      <c r="B6" s="15"/>
      <c r="C6">
        <v>5</v>
      </c>
      <c r="D6">
        <v>506.73</v>
      </c>
      <c r="E6">
        <v>26.67</v>
      </c>
      <c r="F6">
        <v>659</v>
      </c>
      <c r="G6">
        <v>1162.8</v>
      </c>
      <c r="H6">
        <v>0</v>
      </c>
      <c r="I6">
        <v>197.2</v>
      </c>
      <c r="J6">
        <v>10</v>
      </c>
      <c r="K6" s="10">
        <v>20.61</v>
      </c>
      <c r="L6" s="2">
        <f t="shared" si="0"/>
        <v>485.78551999999996</v>
      </c>
      <c r="M6" s="2">
        <f t="shared" si="1"/>
        <v>219.822</v>
      </c>
      <c r="N6">
        <v>0</v>
      </c>
    </row>
    <row r="7" spans="1:14" x14ac:dyDescent="0.25">
      <c r="A7" s="22"/>
      <c r="B7" s="15"/>
      <c r="C7">
        <v>5</v>
      </c>
      <c r="D7">
        <v>506.73</v>
      </c>
      <c r="E7">
        <v>26.67</v>
      </c>
      <c r="F7">
        <v>659</v>
      </c>
      <c r="G7">
        <v>1162.8</v>
      </c>
      <c r="H7">
        <v>0</v>
      </c>
      <c r="I7">
        <v>197.2</v>
      </c>
      <c r="J7">
        <v>14</v>
      </c>
      <c r="K7" s="10">
        <v>25.46</v>
      </c>
      <c r="L7" s="2">
        <f t="shared" si="0"/>
        <v>485.78551999999996</v>
      </c>
      <c r="M7" s="2">
        <f t="shared" si="1"/>
        <v>219.822</v>
      </c>
      <c r="N7">
        <v>0</v>
      </c>
    </row>
    <row r="8" spans="1:14" x14ac:dyDescent="0.25">
      <c r="A8" s="22"/>
      <c r="B8" s="15"/>
      <c r="C8">
        <v>5</v>
      </c>
      <c r="D8">
        <v>506.73</v>
      </c>
      <c r="E8">
        <v>26.67</v>
      </c>
      <c r="F8">
        <v>659</v>
      </c>
      <c r="G8">
        <v>1162.8</v>
      </c>
      <c r="H8">
        <v>0</v>
      </c>
      <c r="I8">
        <v>197.2</v>
      </c>
      <c r="J8">
        <v>56</v>
      </c>
      <c r="K8" s="10">
        <v>29.87</v>
      </c>
      <c r="L8" s="2">
        <f t="shared" si="0"/>
        <v>485.78551999999996</v>
      </c>
      <c r="M8" s="2">
        <f t="shared" si="1"/>
        <v>219.822</v>
      </c>
      <c r="N8">
        <v>0</v>
      </c>
    </row>
    <row r="9" spans="1:14" x14ac:dyDescent="0.25">
      <c r="A9" s="22"/>
      <c r="B9" s="15"/>
      <c r="C9">
        <v>5</v>
      </c>
      <c r="D9">
        <v>506.73</v>
      </c>
      <c r="E9">
        <v>26.67</v>
      </c>
      <c r="F9">
        <v>659</v>
      </c>
      <c r="G9">
        <v>1162.8</v>
      </c>
      <c r="H9">
        <v>0</v>
      </c>
      <c r="I9">
        <v>197.2</v>
      </c>
      <c r="J9">
        <v>90</v>
      </c>
      <c r="K9" s="10">
        <v>26.6</v>
      </c>
      <c r="L9" s="2">
        <f t="shared" si="0"/>
        <v>485.78551999999996</v>
      </c>
      <c r="M9" s="2">
        <f t="shared" si="1"/>
        <v>219.822</v>
      </c>
      <c r="N9">
        <v>0</v>
      </c>
    </row>
    <row r="10" spans="1:14" x14ac:dyDescent="0.25">
      <c r="A10" s="22"/>
      <c r="B10" s="15"/>
      <c r="C10">
        <v>10</v>
      </c>
      <c r="D10">
        <v>480.06</v>
      </c>
      <c r="E10">
        <v>53.34</v>
      </c>
      <c r="F10">
        <v>659</v>
      </c>
      <c r="G10">
        <v>1162.8</v>
      </c>
      <c r="H10">
        <v>0</v>
      </c>
      <c r="I10">
        <v>197.2</v>
      </c>
      <c r="J10">
        <v>10</v>
      </c>
      <c r="K10" s="10">
        <v>23.34</v>
      </c>
      <c r="L10" s="2">
        <f t="shared" si="0"/>
        <v>466.31641999999999</v>
      </c>
      <c r="M10" s="2">
        <f t="shared" si="1"/>
        <v>209.82075</v>
      </c>
      <c r="N10">
        <v>0</v>
      </c>
    </row>
    <row r="11" spans="1:14" x14ac:dyDescent="0.25">
      <c r="A11" s="22"/>
      <c r="B11" s="15"/>
      <c r="C11">
        <v>10</v>
      </c>
      <c r="D11">
        <v>480.06</v>
      </c>
      <c r="E11">
        <v>53.34</v>
      </c>
      <c r="F11">
        <v>659</v>
      </c>
      <c r="G11">
        <v>1162.8</v>
      </c>
      <c r="H11">
        <v>0</v>
      </c>
      <c r="I11">
        <v>197.2</v>
      </c>
      <c r="J11">
        <v>14</v>
      </c>
      <c r="K11" s="10">
        <v>22.11</v>
      </c>
      <c r="L11" s="2">
        <f t="shared" si="0"/>
        <v>466.31641999999999</v>
      </c>
      <c r="M11" s="2">
        <f t="shared" si="1"/>
        <v>209.82075</v>
      </c>
      <c r="N11">
        <v>0</v>
      </c>
    </row>
    <row r="12" spans="1:14" x14ac:dyDescent="0.25">
      <c r="A12" s="22"/>
      <c r="B12" s="15"/>
      <c r="C12">
        <v>10</v>
      </c>
      <c r="D12">
        <v>480.06</v>
      </c>
      <c r="E12">
        <v>53.34</v>
      </c>
      <c r="F12">
        <v>659</v>
      </c>
      <c r="G12">
        <v>1162.8</v>
      </c>
      <c r="H12">
        <v>0</v>
      </c>
      <c r="I12">
        <v>197.2</v>
      </c>
      <c r="J12">
        <v>56</v>
      </c>
      <c r="K12" s="10">
        <v>25.52</v>
      </c>
      <c r="L12" s="2">
        <f t="shared" si="0"/>
        <v>466.31641999999999</v>
      </c>
      <c r="M12" s="2">
        <f t="shared" si="1"/>
        <v>209.82075</v>
      </c>
      <c r="N12">
        <v>0</v>
      </c>
    </row>
    <row r="13" spans="1:14" x14ac:dyDescent="0.25">
      <c r="A13" s="22"/>
      <c r="B13" s="15"/>
      <c r="C13">
        <v>10</v>
      </c>
      <c r="D13">
        <v>480.06</v>
      </c>
      <c r="E13">
        <v>53.34</v>
      </c>
      <c r="F13">
        <v>659</v>
      </c>
      <c r="G13">
        <v>1162.8</v>
      </c>
      <c r="H13">
        <v>0</v>
      </c>
      <c r="I13">
        <v>197.2</v>
      </c>
      <c r="J13">
        <v>90</v>
      </c>
      <c r="K13" s="10">
        <v>27.15</v>
      </c>
      <c r="L13" s="2">
        <f t="shared" si="0"/>
        <v>466.31641999999999</v>
      </c>
      <c r="M13" s="2">
        <f t="shared" si="1"/>
        <v>209.82075</v>
      </c>
      <c r="N13">
        <v>0</v>
      </c>
    </row>
    <row r="14" spans="1:14" x14ac:dyDescent="0.25">
      <c r="A14" s="22"/>
      <c r="B14" s="15"/>
      <c r="C14">
        <v>15</v>
      </c>
      <c r="D14">
        <v>453.39</v>
      </c>
      <c r="E14">
        <v>80.010000000000005</v>
      </c>
      <c r="F14">
        <v>659</v>
      </c>
      <c r="G14">
        <v>1162.8</v>
      </c>
      <c r="H14">
        <v>0</v>
      </c>
      <c r="I14">
        <v>197.2</v>
      </c>
      <c r="J14">
        <v>10</v>
      </c>
      <c r="K14" s="10">
        <v>18.54</v>
      </c>
      <c r="L14" s="2">
        <f t="shared" si="0"/>
        <v>446.84731999999997</v>
      </c>
      <c r="M14" s="2">
        <f t="shared" si="1"/>
        <v>199.81949999999998</v>
      </c>
      <c r="N14">
        <v>0</v>
      </c>
    </row>
    <row r="15" spans="1:14" x14ac:dyDescent="0.25">
      <c r="A15" s="22"/>
      <c r="B15" s="15"/>
      <c r="C15">
        <v>15</v>
      </c>
      <c r="D15">
        <v>453.39</v>
      </c>
      <c r="E15">
        <v>80.010000000000005</v>
      </c>
      <c r="F15">
        <v>659</v>
      </c>
      <c r="G15">
        <v>1162.8</v>
      </c>
      <c r="H15">
        <v>0</v>
      </c>
      <c r="I15">
        <v>197.2</v>
      </c>
      <c r="J15">
        <v>14</v>
      </c>
      <c r="K15" s="10">
        <v>25.43</v>
      </c>
      <c r="L15" s="2">
        <f t="shared" si="0"/>
        <v>446.84731999999997</v>
      </c>
      <c r="M15" s="2">
        <f t="shared" si="1"/>
        <v>199.81949999999998</v>
      </c>
      <c r="N15">
        <v>0</v>
      </c>
    </row>
    <row r="16" spans="1:14" x14ac:dyDescent="0.25">
      <c r="A16" s="22"/>
      <c r="B16" s="15"/>
      <c r="C16">
        <v>15</v>
      </c>
      <c r="D16">
        <v>453.39</v>
      </c>
      <c r="E16">
        <v>80.010000000000005</v>
      </c>
      <c r="F16">
        <v>659</v>
      </c>
      <c r="G16">
        <v>1162.8</v>
      </c>
      <c r="H16">
        <v>0</v>
      </c>
      <c r="I16">
        <v>197.2</v>
      </c>
      <c r="J16">
        <v>56</v>
      </c>
      <c r="K16" s="10">
        <v>28.79</v>
      </c>
      <c r="L16" s="2">
        <f t="shared" si="0"/>
        <v>446.84731999999997</v>
      </c>
      <c r="M16" s="2">
        <f t="shared" si="1"/>
        <v>199.81949999999998</v>
      </c>
      <c r="N16">
        <v>0</v>
      </c>
    </row>
    <row r="17" spans="1:14" x14ac:dyDescent="0.25">
      <c r="A17" s="22"/>
      <c r="B17" s="15"/>
      <c r="C17">
        <v>15</v>
      </c>
      <c r="D17">
        <v>453.39</v>
      </c>
      <c r="E17">
        <v>80.010000000000005</v>
      </c>
      <c r="F17">
        <v>659</v>
      </c>
      <c r="G17">
        <v>1162.8</v>
      </c>
      <c r="H17">
        <v>0</v>
      </c>
      <c r="I17">
        <v>197.2</v>
      </c>
      <c r="J17">
        <v>90</v>
      </c>
      <c r="K17" s="10">
        <v>27.23</v>
      </c>
      <c r="L17" s="2">
        <f t="shared" si="0"/>
        <v>446.84731999999997</v>
      </c>
      <c r="M17" s="2">
        <f t="shared" si="1"/>
        <v>199.81949999999998</v>
      </c>
      <c r="N17">
        <v>0</v>
      </c>
    </row>
    <row r="18" spans="1:14" x14ac:dyDescent="0.25">
      <c r="A18" s="22"/>
      <c r="B18" s="15"/>
      <c r="C18">
        <v>20</v>
      </c>
      <c r="D18">
        <v>426.72</v>
      </c>
      <c r="E18">
        <v>106.68</v>
      </c>
      <c r="F18">
        <v>659</v>
      </c>
      <c r="G18">
        <v>1162.8</v>
      </c>
      <c r="H18">
        <v>0</v>
      </c>
      <c r="I18">
        <v>197.2</v>
      </c>
      <c r="J18">
        <v>10</v>
      </c>
      <c r="K18" s="10">
        <v>18.73</v>
      </c>
      <c r="L18" s="2">
        <f t="shared" si="0"/>
        <v>427.37822</v>
      </c>
      <c r="M18" s="2">
        <f t="shared" si="1"/>
        <v>189.81825000000001</v>
      </c>
      <c r="N18">
        <v>0</v>
      </c>
    </row>
    <row r="19" spans="1:14" x14ac:dyDescent="0.25">
      <c r="A19" s="22"/>
      <c r="B19" s="15"/>
      <c r="C19">
        <v>20</v>
      </c>
      <c r="D19">
        <v>426.72</v>
      </c>
      <c r="E19">
        <v>106.68</v>
      </c>
      <c r="F19">
        <v>659</v>
      </c>
      <c r="G19">
        <v>1162.8</v>
      </c>
      <c r="H19">
        <v>0</v>
      </c>
      <c r="I19">
        <v>197.2</v>
      </c>
      <c r="J19">
        <v>14</v>
      </c>
      <c r="K19" s="10">
        <v>21.23</v>
      </c>
      <c r="L19" s="2">
        <f t="shared" si="0"/>
        <v>427.37822</v>
      </c>
      <c r="M19" s="2">
        <f t="shared" si="1"/>
        <v>189.81825000000001</v>
      </c>
      <c r="N19">
        <v>0</v>
      </c>
    </row>
    <row r="20" spans="1:14" x14ac:dyDescent="0.25">
      <c r="A20" s="22"/>
      <c r="B20" s="15"/>
      <c r="C20">
        <v>20</v>
      </c>
      <c r="D20">
        <v>426.72</v>
      </c>
      <c r="E20">
        <v>106.68</v>
      </c>
      <c r="F20">
        <v>659</v>
      </c>
      <c r="G20">
        <v>1162.8</v>
      </c>
      <c r="H20">
        <v>0</v>
      </c>
      <c r="I20">
        <v>197.2</v>
      </c>
      <c r="J20">
        <v>56</v>
      </c>
      <c r="K20" s="10">
        <v>22.17</v>
      </c>
      <c r="L20" s="2">
        <f t="shared" si="0"/>
        <v>427.37822</v>
      </c>
      <c r="M20" s="2">
        <f t="shared" si="1"/>
        <v>189.81825000000001</v>
      </c>
      <c r="N20">
        <v>0</v>
      </c>
    </row>
    <row r="21" spans="1:14" x14ac:dyDescent="0.25">
      <c r="A21" s="22"/>
      <c r="B21" s="15"/>
      <c r="C21">
        <v>20</v>
      </c>
      <c r="D21">
        <v>426.72</v>
      </c>
      <c r="E21">
        <v>106.68</v>
      </c>
      <c r="F21">
        <v>659</v>
      </c>
      <c r="G21">
        <v>1162.8</v>
      </c>
      <c r="H21">
        <v>0</v>
      </c>
      <c r="I21">
        <v>197.2</v>
      </c>
      <c r="J21">
        <v>90</v>
      </c>
      <c r="K21" s="10">
        <v>22.8</v>
      </c>
      <c r="L21" s="2">
        <f t="shared" si="0"/>
        <v>427.37822</v>
      </c>
      <c r="M21" s="2">
        <f t="shared" si="1"/>
        <v>189.81825000000001</v>
      </c>
      <c r="N21">
        <v>0</v>
      </c>
    </row>
    <row r="22" spans="1:14" x14ac:dyDescent="0.25">
      <c r="A22" s="22"/>
      <c r="B22" s="15"/>
      <c r="C22">
        <v>25</v>
      </c>
      <c r="D22">
        <v>400.05</v>
      </c>
      <c r="E22">
        <v>133.35</v>
      </c>
      <c r="F22">
        <v>659</v>
      </c>
      <c r="G22">
        <v>1162.8</v>
      </c>
      <c r="H22">
        <v>0</v>
      </c>
      <c r="I22">
        <v>197.2</v>
      </c>
      <c r="J22">
        <v>10</v>
      </c>
      <c r="K22" s="10">
        <v>16.98</v>
      </c>
      <c r="L22" s="2">
        <f t="shared" si="0"/>
        <v>407.90911999999997</v>
      </c>
      <c r="M22" s="2">
        <f t="shared" si="1"/>
        <v>179.81699999999998</v>
      </c>
      <c r="N22">
        <v>0</v>
      </c>
    </row>
    <row r="23" spans="1:14" x14ac:dyDescent="0.25">
      <c r="A23" s="22"/>
      <c r="B23" s="15"/>
      <c r="C23">
        <v>25</v>
      </c>
      <c r="D23">
        <v>400.05</v>
      </c>
      <c r="E23">
        <v>133.35</v>
      </c>
      <c r="F23">
        <v>659</v>
      </c>
      <c r="G23">
        <v>1162.8</v>
      </c>
      <c r="H23">
        <v>0</v>
      </c>
      <c r="I23">
        <v>197.2</v>
      </c>
      <c r="J23">
        <v>14</v>
      </c>
      <c r="K23" s="10">
        <v>23</v>
      </c>
      <c r="L23" s="2">
        <f t="shared" si="0"/>
        <v>407.90911999999997</v>
      </c>
      <c r="M23" s="2">
        <f t="shared" si="1"/>
        <v>179.81699999999998</v>
      </c>
      <c r="N23">
        <v>0</v>
      </c>
    </row>
    <row r="24" spans="1:14" x14ac:dyDescent="0.25">
      <c r="A24" s="22"/>
      <c r="B24" s="15"/>
      <c r="C24">
        <v>25</v>
      </c>
      <c r="D24">
        <v>400.05</v>
      </c>
      <c r="E24">
        <v>133.35</v>
      </c>
      <c r="F24">
        <v>659</v>
      </c>
      <c r="G24">
        <v>1162.8</v>
      </c>
      <c r="H24">
        <v>0</v>
      </c>
      <c r="I24">
        <v>197.2</v>
      </c>
      <c r="J24">
        <v>56</v>
      </c>
      <c r="K24" s="10">
        <v>23.87</v>
      </c>
      <c r="L24" s="2">
        <f t="shared" si="0"/>
        <v>407.90911999999997</v>
      </c>
      <c r="M24" s="2">
        <f t="shared" si="1"/>
        <v>179.81699999999998</v>
      </c>
      <c r="N24">
        <v>0</v>
      </c>
    </row>
    <row r="25" spans="1:14" x14ac:dyDescent="0.25">
      <c r="A25" s="22"/>
      <c r="B25" s="15"/>
      <c r="C25">
        <v>25</v>
      </c>
      <c r="D25">
        <v>400.05</v>
      </c>
      <c r="E25">
        <v>133.35</v>
      </c>
      <c r="F25">
        <v>659</v>
      </c>
      <c r="G25">
        <v>1162.8</v>
      </c>
      <c r="H25">
        <v>0</v>
      </c>
      <c r="I25">
        <v>197.2</v>
      </c>
      <c r="J25">
        <v>90</v>
      </c>
      <c r="K25" s="10">
        <v>28.96</v>
      </c>
      <c r="L25" s="2">
        <f t="shared" si="0"/>
        <v>407.90911999999997</v>
      </c>
      <c r="M25" s="2">
        <f t="shared" si="1"/>
        <v>179.81699999999998</v>
      </c>
      <c r="N25">
        <v>0</v>
      </c>
    </row>
    <row r="26" spans="1:14" x14ac:dyDescent="0.25">
      <c r="A26" s="22"/>
      <c r="B26" s="15"/>
      <c r="C26">
        <v>30</v>
      </c>
      <c r="D26">
        <v>373.38</v>
      </c>
      <c r="E26">
        <v>160.02000000000001</v>
      </c>
      <c r="F26">
        <v>659</v>
      </c>
      <c r="G26">
        <v>1162.8</v>
      </c>
      <c r="H26">
        <v>0</v>
      </c>
      <c r="I26">
        <v>197.2</v>
      </c>
      <c r="J26">
        <v>10</v>
      </c>
      <c r="K26" s="10">
        <v>18.03</v>
      </c>
      <c r="L26" s="2">
        <f t="shared" si="0"/>
        <v>388.44002</v>
      </c>
      <c r="M26" s="2">
        <f t="shared" si="1"/>
        <v>169.81575000000001</v>
      </c>
      <c r="N26">
        <v>0</v>
      </c>
    </row>
    <row r="27" spans="1:14" x14ac:dyDescent="0.25">
      <c r="A27" s="22"/>
      <c r="B27" s="15"/>
      <c r="C27">
        <v>30</v>
      </c>
      <c r="D27">
        <v>373.38</v>
      </c>
      <c r="E27">
        <v>160.02000000000001</v>
      </c>
      <c r="F27">
        <v>659</v>
      </c>
      <c r="G27">
        <v>1162.8</v>
      </c>
      <c r="H27">
        <v>0</v>
      </c>
      <c r="I27">
        <v>197.2</v>
      </c>
      <c r="J27">
        <v>14</v>
      </c>
      <c r="K27" s="10">
        <v>20.329999999999998</v>
      </c>
      <c r="L27" s="2">
        <f t="shared" si="0"/>
        <v>388.44002</v>
      </c>
      <c r="M27" s="2">
        <f t="shared" si="1"/>
        <v>169.81575000000001</v>
      </c>
      <c r="N27">
        <v>0</v>
      </c>
    </row>
    <row r="28" spans="1:14" x14ac:dyDescent="0.25">
      <c r="A28" s="22"/>
      <c r="B28" s="15"/>
      <c r="C28">
        <v>30</v>
      </c>
      <c r="D28">
        <v>373.38</v>
      </c>
      <c r="E28">
        <v>160.02000000000001</v>
      </c>
      <c r="F28">
        <v>659</v>
      </c>
      <c r="G28">
        <v>1162.8</v>
      </c>
      <c r="H28">
        <v>0</v>
      </c>
      <c r="I28">
        <v>197.2</v>
      </c>
      <c r="J28">
        <v>56</v>
      </c>
      <c r="K28" s="10">
        <v>21.83</v>
      </c>
      <c r="L28" s="2">
        <f t="shared" si="0"/>
        <v>388.44002</v>
      </c>
      <c r="M28" s="2">
        <f t="shared" si="1"/>
        <v>169.81575000000001</v>
      </c>
      <c r="N28">
        <v>0</v>
      </c>
    </row>
    <row r="29" spans="1:14" x14ac:dyDescent="0.25">
      <c r="A29" s="22"/>
      <c r="B29" s="15"/>
      <c r="C29">
        <v>30</v>
      </c>
      <c r="D29">
        <v>373.38</v>
      </c>
      <c r="E29">
        <v>160.02000000000001</v>
      </c>
      <c r="F29">
        <v>659</v>
      </c>
      <c r="G29">
        <v>1162.8</v>
      </c>
      <c r="H29">
        <v>0</v>
      </c>
      <c r="I29">
        <v>197.2</v>
      </c>
      <c r="J29">
        <v>90</v>
      </c>
      <c r="K29" s="10">
        <v>23.58</v>
      </c>
      <c r="L29" s="2">
        <f t="shared" si="0"/>
        <v>388.44002</v>
      </c>
      <c r="M29" s="2">
        <f t="shared" si="1"/>
        <v>169.81575000000001</v>
      </c>
      <c r="N29">
        <v>0</v>
      </c>
    </row>
    <row r="30" spans="1:14" x14ac:dyDescent="0.25">
      <c r="A30" s="22"/>
      <c r="B30" s="15"/>
      <c r="C30">
        <v>35</v>
      </c>
      <c r="D30">
        <v>346.71</v>
      </c>
      <c r="E30">
        <v>186.69</v>
      </c>
      <c r="F30">
        <v>659</v>
      </c>
      <c r="G30">
        <v>1162.8</v>
      </c>
      <c r="H30">
        <v>0</v>
      </c>
      <c r="I30">
        <v>197.2</v>
      </c>
      <c r="J30">
        <v>10</v>
      </c>
      <c r="K30" s="10">
        <v>13.03</v>
      </c>
      <c r="L30" s="2">
        <f t="shared" si="0"/>
        <v>368.97091999999998</v>
      </c>
      <c r="M30" s="2">
        <f t="shared" si="1"/>
        <v>159.81450000000001</v>
      </c>
      <c r="N30">
        <v>0</v>
      </c>
    </row>
    <row r="31" spans="1:14" x14ac:dyDescent="0.25">
      <c r="A31" s="22"/>
      <c r="B31" s="15"/>
      <c r="C31">
        <v>35</v>
      </c>
      <c r="D31">
        <v>346.71</v>
      </c>
      <c r="E31">
        <v>186.69</v>
      </c>
      <c r="F31">
        <v>659</v>
      </c>
      <c r="G31">
        <v>1162.8</v>
      </c>
      <c r="H31">
        <v>0</v>
      </c>
      <c r="I31">
        <v>197.2</v>
      </c>
      <c r="J31">
        <v>14</v>
      </c>
      <c r="K31" s="10">
        <v>20.77</v>
      </c>
      <c r="L31" s="2">
        <f t="shared" si="0"/>
        <v>368.97091999999998</v>
      </c>
      <c r="M31" s="2">
        <f t="shared" si="1"/>
        <v>159.81450000000001</v>
      </c>
      <c r="N31">
        <v>0</v>
      </c>
    </row>
    <row r="32" spans="1:14" x14ac:dyDescent="0.25">
      <c r="A32" s="22"/>
      <c r="B32" s="15"/>
      <c r="C32">
        <v>35</v>
      </c>
      <c r="D32">
        <v>346.71</v>
      </c>
      <c r="E32">
        <v>186.69</v>
      </c>
      <c r="F32">
        <v>659</v>
      </c>
      <c r="G32">
        <v>1162.8</v>
      </c>
      <c r="H32">
        <v>0</v>
      </c>
      <c r="I32">
        <v>197.2</v>
      </c>
      <c r="J32">
        <v>56</v>
      </c>
      <c r="K32" s="10">
        <v>22.35</v>
      </c>
      <c r="L32" s="2">
        <f t="shared" si="0"/>
        <v>368.97091999999998</v>
      </c>
      <c r="M32" s="2">
        <f t="shared" si="1"/>
        <v>159.81450000000001</v>
      </c>
      <c r="N32">
        <v>0</v>
      </c>
    </row>
    <row r="33" spans="1:14" x14ac:dyDescent="0.25">
      <c r="A33" s="22"/>
      <c r="B33" s="15"/>
      <c r="C33">
        <v>35</v>
      </c>
      <c r="D33">
        <v>346.71</v>
      </c>
      <c r="E33">
        <v>186.69</v>
      </c>
      <c r="F33">
        <v>659</v>
      </c>
      <c r="G33">
        <v>1162.8</v>
      </c>
      <c r="H33">
        <v>0</v>
      </c>
      <c r="I33">
        <v>197.2</v>
      </c>
      <c r="J33">
        <v>90</v>
      </c>
      <c r="K33" s="10">
        <v>24.14</v>
      </c>
      <c r="L33" s="2">
        <f t="shared" si="0"/>
        <v>368.97091999999998</v>
      </c>
      <c r="M33" s="2">
        <f t="shared" si="1"/>
        <v>159.81450000000001</v>
      </c>
      <c r="N33">
        <v>0</v>
      </c>
    </row>
    <row r="34" spans="1:14" x14ac:dyDescent="0.25">
      <c r="A34" s="22"/>
      <c r="B34" s="15"/>
      <c r="C34">
        <v>40</v>
      </c>
      <c r="D34">
        <v>320.04000000000002</v>
      </c>
      <c r="E34">
        <v>213.36</v>
      </c>
      <c r="F34">
        <v>659</v>
      </c>
      <c r="G34">
        <v>1162.8</v>
      </c>
      <c r="H34">
        <v>0</v>
      </c>
      <c r="I34">
        <v>197.2</v>
      </c>
      <c r="J34">
        <v>10</v>
      </c>
      <c r="K34" s="10">
        <v>15.44</v>
      </c>
      <c r="L34" s="2">
        <f t="shared" si="0"/>
        <v>349.50182000000001</v>
      </c>
      <c r="M34" s="2">
        <f t="shared" si="1"/>
        <v>149.81324999999998</v>
      </c>
      <c r="N34">
        <v>0</v>
      </c>
    </row>
    <row r="35" spans="1:14" x14ac:dyDescent="0.25">
      <c r="A35" s="22"/>
      <c r="B35" s="15"/>
      <c r="C35">
        <v>40</v>
      </c>
      <c r="D35">
        <v>320.04000000000002</v>
      </c>
      <c r="E35">
        <v>213.36</v>
      </c>
      <c r="F35">
        <v>659</v>
      </c>
      <c r="G35">
        <v>1162.8</v>
      </c>
      <c r="H35">
        <v>0</v>
      </c>
      <c r="I35">
        <v>197.2</v>
      </c>
      <c r="J35">
        <v>14</v>
      </c>
      <c r="K35" s="10">
        <v>19.97</v>
      </c>
      <c r="L35" s="2">
        <f t="shared" si="0"/>
        <v>349.50182000000001</v>
      </c>
      <c r="M35" s="2">
        <f t="shared" si="1"/>
        <v>149.81324999999998</v>
      </c>
      <c r="N35">
        <v>0</v>
      </c>
    </row>
    <row r="36" spans="1:14" x14ac:dyDescent="0.25">
      <c r="A36" s="22"/>
      <c r="B36" s="15"/>
      <c r="C36">
        <v>40</v>
      </c>
      <c r="D36">
        <v>320.04000000000002</v>
      </c>
      <c r="E36">
        <v>213.36</v>
      </c>
      <c r="F36">
        <v>659</v>
      </c>
      <c r="G36">
        <v>1162.8</v>
      </c>
      <c r="H36">
        <v>0</v>
      </c>
      <c r="I36">
        <v>197.2</v>
      </c>
      <c r="J36">
        <v>56</v>
      </c>
      <c r="K36" s="10">
        <v>22.4</v>
      </c>
      <c r="L36" s="2">
        <f t="shared" si="0"/>
        <v>349.50182000000001</v>
      </c>
      <c r="M36" s="2">
        <f t="shared" si="1"/>
        <v>149.81324999999998</v>
      </c>
      <c r="N36">
        <v>0</v>
      </c>
    </row>
    <row r="37" spans="1:14" x14ac:dyDescent="0.25">
      <c r="A37" s="22"/>
      <c r="B37" s="15"/>
      <c r="C37">
        <v>40</v>
      </c>
      <c r="D37">
        <v>320.04000000000002</v>
      </c>
      <c r="E37">
        <v>213.36</v>
      </c>
      <c r="F37">
        <v>659</v>
      </c>
      <c r="G37">
        <v>1162.8</v>
      </c>
      <c r="H37">
        <v>0</v>
      </c>
      <c r="I37">
        <v>197.2</v>
      </c>
      <c r="J37">
        <v>90</v>
      </c>
      <c r="K37" s="10">
        <v>23.81</v>
      </c>
      <c r="L37" s="2">
        <f t="shared" si="0"/>
        <v>349.50182000000001</v>
      </c>
      <c r="M37" s="2">
        <f t="shared" si="1"/>
        <v>149.81324999999998</v>
      </c>
      <c r="N37">
        <v>0</v>
      </c>
    </row>
    <row r="38" spans="1:14" x14ac:dyDescent="0.25">
      <c r="A38" s="22"/>
      <c r="B38" s="15"/>
      <c r="C38">
        <v>45</v>
      </c>
      <c r="D38">
        <v>293.37</v>
      </c>
      <c r="E38">
        <v>240.03</v>
      </c>
      <c r="F38">
        <v>659</v>
      </c>
      <c r="G38">
        <v>1162.8</v>
      </c>
      <c r="H38">
        <v>0</v>
      </c>
      <c r="I38">
        <v>197.2</v>
      </c>
      <c r="J38">
        <v>10</v>
      </c>
      <c r="K38" s="10">
        <v>18.649999999999999</v>
      </c>
      <c r="L38" s="2">
        <f t="shared" si="0"/>
        <v>330.03271999999998</v>
      </c>
      <c r="M38" s="2">
        <f t="shared" si="1"/>
        <v>139.81199999999998</v>
      </c>
      <c r="N38">
        <v>0</v>
      </c>
    </row>
    <row r="39" spans="1:14" x14ac:dyDescent="0.25">
      <c r="A39" s="22"/>
      <c r="B39" s="15"/>
      <c r="C39">
        <v>45</v>
      </c>
      <c r="D39">
        <v>293.37</v>
      </c>
      <c r="E39">
        <v>240.03</v>
      </c>
      <c r="F39">
        <v>659</v>
      </c>
      <c r="G39">
        <v>1162.8</v>
      </c>
      <c r="H39">
        <v>0</v>
      </c>
      <c r="I39">
        <v>197.2</v>
      </c>
      <c r="J39">
        <v>14</v>
      </c>
      <c r="K39" s="10">
        <v>16.690000000000001</v>
      </c>
      <c r="L39" s="2">
        <f t="shared" si="0"/>
        <v>330.03271999999998</v>
      </c>
      <c r="M39" s="2">
        <f t="shared" si="1"/>
        <v>139.81199999999998</v>
      </c>
      <c r="N39">
        <v>0</v>
      </c>
    </row>
    <row r="40" spans="1:14" x14ac:dyDescent="0.25">
      <c r="A40" s="22"/>
      <c r="B40" s="15"/>
      <c r="C40">
        <v>45</v>
      </c>
      <c r="D40">
        <v>293.37</v>
      </c>
      <c r="E40">
        <v>240.03</v>
      </c>
      <c r="F40">
        <v>659</v>
      </c>
      <c r="G40">
        <v>1162.8</v>
      </c>
      <c r="H40">
        <v>0</v>
      </c>
      <c r="I40">
        <v>197.2</v>
      </c>
      <c r="J40">
        <v>56</v>
      </c>
      <c r="K40" s="10">
        <v>21.16</v>
      </c>
      <c r="L40" s="2">
        <f t="shared" si="0"/>
        <v>330.03271999999998</v>
      </c>
      <c r="M40" s="2">
        <f t="shared" si="1"/>
        <v>139.81199999999998</v>
      </c>
      <c r="N40">
        <v>0</v>
      </c>
    </row>
    <row r="41" spans="1:14" x14ac:dyDescent="0.25">
      <c r="A41" s="22"/>
      <c r="B41" s="15"/>
      <c r="C41">
        <v>45</v>
      </c>
      <c r="D41">
        <v>293.37</v>
      </c>
      <c r="E41">
        <v>240.03</v>
      </c>
      <c r="F41">
        <v>659</v>
      </c>
      <c r="G41">
        <v>1162.8</v>
      </c>
      <c r="H41">
        <v>0</v>
      </c>
      <c r="I41">
        <v>197.2</v>
      </c>
      <c r="J41">
        <v>90</v>
      </c>
      <c r="K41" s="10">
        <v>17.23</v>
      </c>
      <c r="L41" s="2">
        <f t="shared" si="0"/>
        <v>330.03271999999998</v>
      </c>
      <c r="M41" s="2">
        <f t="shared" si="1"/>
        <v>139.81199999999998</v>
      </c>
      <c r="N41">
        <v>0</v>
      </c>
    </row>
    <row r="42" spans="1:14" x14ac:dyDescent="0.25">
      <c r="A42" s="22"/>
      <c r="B42" s="15"/>
      <c r="C42">
        <v>50</v>
      </c>
      <c r="D42">
        <v>266.7</v>
      </c>
      <c r="E42">
        <v>266.7</v>
      </c>
      <c r="F42">
        <v>659</v>
      </c>
      <c r="G42">
        <v>1162.8</v>
      </c>
      <c r="H42">
        <v>0</v>
      </c>
      <c r="I42">
        <v>197.2</v>
      </c>
      <c r="J42">
        <v>10</v>
      </c>
      <c r="K42" s="10">
        <v>13.26</v>
      </c>
      <c r="L42" s="2">
        <f t="shared" si="0"/>
        <v>310.56362000000001</v>
      </c>
      <c r="M42" s="2">
        <f t="shared" si="1"/>
        <v>129.81074999999998</v>
      </c>
      <c r="N42">
        <v>0</v>
      </c>
    </row>
    <row r="43" spans="1:14" x14ac:dyDescent="0.25">
      <c r="A43" s="22"/>
      <c r="B43" s="15"/>
      <c r="C43">
        <v>50</v>
      </c>
      <c r="D43">
        <v>266.7</v>
      </c>
      <c r="E43">
        <v>266.7</v>
      </c>
      <c r="F43">
        <v>659</v>
      </c>
      <c r="G43">
        <v>1162.8</v>
      </c>
      <c r="H43">
        <v>0</v>
      </c>
      <c r="I43">
        <v>197.2</v>
      </c>
      <c r="J43">
        <v>14</v>
      </c>
      <c r="K43" s="10">
        <v>16.02</v>
      </c>
      <c r="L43" s="2">
        <f t="shared" si="0"/>
        <v>310.56362000000001</v>
      </c>
      <c r="M43" s="2">
        <f t="shared" si="1"/>
        <v>129.81074999999998</v>
      </c>
      <c r="N43">
        <v>0</v>
      </c>
    </row>
    <row r="44" spans="1:14" x14ac:dyDescent="0.25">
      <c r="A44" s="22"/>
      <c r="B44" s="15"/>
      <c r="C44">
        <v>50</v>
      </c>
      <c r="D44">
        <v>266.7</v>
      </c>
      <c r="E44">
        <v>266.7</v>
      </c>
      <c r="F44">
        <v>659</v>
      </c>
      <c r="G44">
        <v>1162.8</v>
      </c>
      <c r="H44">
        <v>0</v>
      </c>
      <c r="I44">
        <v>197.2</v>
      </c>
      <c r="J44">
        <v>56</v>
      </c>
      <c r="K44" s="10">
        <v>21.26</v>
      </c>
      <c r="L44" s="2">
        <f t="shared" si="0"/>
        <v>310.56362000000001</v>
      </c>
      <c r="M44" s="2">
        <f t="shared" si="1"/>
        <v>129.81074999999998</v>
      </c>
      <c r="N44">
        <v>0</v>
      </c>
    </row>
    <row r="45" spans="1:14" x14ac:dyDescent="0.25">
      <c r="A45" s="22"/>
      <c r="B45" s="15"/>
      <c r="C45">
        <v>50</v>
      </c>
      <c r="D45">
        <v>266.7</v>
      </c>
      <c r="E45">
        <v>266.7</v>
      </c>
      <c r="F45">
        <v>659</v>
      </c>
      <c r="G45">
        <v>1162.8</v>
      </c>
      <c r="H45">
        <v>0</v>
      </c>
      <c r="I45">
        <v>197.2</v>
      </c>
      <c r="J45">
        <v>90</v>
      </c>
      <c r="K45" s="10">
        <v>21.37</v>
      </c>
      <c r="L45" s="2">
        <f t="shared" si="0"/>
        <v>310.56362000000001</v>
      </c>
      <c r="M45" s="2">
        <f t="shared" si="1"/>
        <v>129.81074999999998</v>
      </c>
      <c r="N45">
        <v>0</v>
      </c>
    </row>
    <row r="46" spans="1:14" x14ac:dyDescent="0.25">
      <c r="A46" s="15" t="s">
        <v>80</v>
      </c>
      <c r="B46" s="15" t="s">
        <v>81</v>
      </c>
      <c r="C46">
        <v>0</v>
      </c>
      <c r="D46">
        <v>437.5</v>
      </c>
      <c r="E46">
        <v>0</v>
      </c>
      <c r="F46">
        <v>691.2</v>
      </c>
      <c r="G46">
        <v>1191.0999999999999</v>
      </c>
      <c r="H46">
        <v>0</v>
      </c>
      <c r="I46">
        <v>167.7</v>
      </c>
      <c r="J46">
        <v>7</v>
      </c>
      <c r="K46" s="10">
        <v>21.95</v>
      </c>
      <c r="L46" s="2">
        <f t="shared" si="0"/>
        <v>427.40417000000002</v>
      </c>
      <c r="M46" s="2">
        <f t="shared" si="1"/>
        <v>194.88899999999998</v>
      </c>
      <c r="N46">
        <v>0</v>
      </c>
    </row>
    <row r="47" spans="1:14" x14ac:dyDescent="0.25">
      <c r="A47" s="15"/>
      <c r="B47" s="15"/>
      <c r="C47">
        <v>0</v>
      </c>
      <c r="D47">
        <v>437.5</v>
      </c>
      <c r="E47">
        <v>0</v>
      </c>
      <c r="F47">
        <v>691.2</v>
      </c>
      <c r="G47">
        <v>1191.0999999999999</v>
      </c>
      <c r="H47">
        <v>0</v>
      </c>
      <c r="I47">
        <v>167.7</v>
      </c>
      <c r="J47">
        <v>14</v>
      </c>
      <c r="K47" s="10">
        <v>25.77</v>
      </c>
      <c r="L47" s="2">
        <f t="shared" si="0"/>
        <v>427.40417000000002</v>
      </c>
      <c r="M47" s="2">
        <f t="shared" si="1"/>
        <v>194.88899999999998</v>
      </c>
      <c r="N47">
        <v>0</v>
      </c>
    </row>
    <row r="48" spans="1:14" x14ac:dyDescent="0.25">
      <c r="A48" s="15"/>
      <c r="B48" s="15"/>
      <c r="C48">
        <v>0</v>
      </c>
      <c r="D48">
        <v>437.5</v>
      </c>
      <c r="E48">
        <v>0</v>
      </c>
      <c r="F48">
        <v>691.2</v>
      </c>
      <c r="G48">
        <v>1191.0999999999999</v>
      </c>
      <c r="H48">
        <v>0</v>
      </c>
      <c r="I48">
        <v>167.7</v>
      </c>
      <c r="J48">
        <v>56</v>
      </c>
      <c r="K48" s="10">
        <v>29.15</v>
      </c>
      <c r="L48" s="2">
        <f t="shared" si="0"/>
        <v>427.40417000000002</v>
      </c>
      <c r="M48" s="2">
        <f t="shared" si="1"/>
        <v>194.88899999999998</v>
      </c>
      <c r="N48">
        <v>0</v>
      </c>
    </row>
    <row r="49" spans="1:14" x14ac:dyDescent="0.25">
      <c r="A49" s="15"/>
      <c r="B49" s="15"/>
      <c r="C49">
        <v>0</v>
      </c>
      <c r="D49">
        <v>437.5</v>
      </c>
      <c r="E49">
        <v>0</v>
      </c>
      <c r="F49">
        <v>691.2</v>
      </c>
      <c r="G49">
        <v>1191.0999999999999</v>
      </c>
      <c r="H49">
        <v>0</v>
      </c>
      <c r="I49">
        <v>167.7</v>
      </c>
      <c r="J49">
        <v>90</v>
      </c>
      <c r="K49" s="10">
        <v>31.13</v>
      </c>
      <c r="L49" s="2">
        <f t="shared" si="0"/>
        <v>427.40417000000002</v>
      </c>
      <c r="M49" s="2">
        <f t="shared" si="1"/>
        <v>194.88899999999998</v>
      </c>
      <c r="N49">
        <v>0</v>
      </c>
    </row>
    <row r="50" spans="1:14" x14ac:dyDescent="0.25">
      <c r="A50" s="15"/>
      <c r="B50" s="15"/>
      <c r="C50">
        <v>5</v>
      </c>
      <c r="D50">
        <v>415.625</v>
      </c>
      <c r="E50">
        <v>21.875</v>
      </c>
      <c r="F50">
        <v>691.2</v>
      </c>
      <c r="G50">
        <v>1191.0999999999999</v>
      </c>
      <c r="H50">
        <v>0</v>
      </c>
      <c r="I50">
        <v>167.7</v>
      </c>
      <c r="J50">
        <v>7</v>
      </c>
      <c r="K50" s="10">
        <v>18.86</v>
      </c>
      <c r="L50" s="2">
        <f t="shared" si="0"/>
        <v>411.43542000000002</v>
      </c>
      <c r="M50" s="2">
        <f t="shared" si="1"/>
        <v>186.68587499999998</v>
      </c>
      <c r="N50">
        <v>0</v>
      </c>
    </row>
    <row r="51" spans="1:14" x14ac:dyDescent="0.25">
      <c r="A51" s="15"/>
      <c r="B51" s="15"/>
      <c r="C51">
        <v>5</v>
      </c>
      <c r="D51">
        <v>415.625</v>
      </c>
      <c r="E51">
        <v>21.875</v>
      </c>
      <c r="F51">
        <v>691.2</v>
      </c>
      <c r="G51">
        <v>1191.0999999999999</v>
      </c>
      <c r="H51">
        <v>0</v>
      </c>
      <c r="I51">
        <v>167.7</v>
      </c>
      <c r="J51">
        <v>14</v>
      </c>
      <c r="K51" s="10">
        <v>23.29</v>
      </c>
      <c r="L51" s="2">
        <f t="shared" si="0"/>
        <v>411.43542000000002</v>
      </c>
      <c r="M51" s="2">
        <f t="shared" si="1"/>
        <v>186.68587499999998</v>
      </c>
      <c r="N51">
        <v>0</v>
      </c>
    </row>
    <row r="52" spans="1:14" x14ac:dyDescent="0.25">
      <c r="A52" s="15"/>
      <c r="B52" s="15"/>
      <c r="C52">
        <v>5</v>
      </c>
      <c r="D52">
        <v>415.625</v>
      </c>
      <c r="E52">
        <v>21.875</v>
      </c>
      <c r="F52">
        <v>691.2</v>
      </c>
      <c r="G52">
        <v>1191.0999999999999</v>
      </c>
      <c r="H52">
        <v>0</v>
      </c>
      <c r="I52">
        <v>167.7</v>
      </c>
      <c r="J52">
        <v>56</v>
      </c>
      <c r="K52" s="10">
        <v>26.95</v>
      </c>
      <c r="L52" s="2">
        <f t="shared" si="0"/>
        <v>411.43542000000002</v>
      </c>
      <c r="M52" s="2">
        <f t="shared" si="1"/>
        <v>186.68587499999998</v>
      </c>
      <c r="N52">
        <v>0</v>
      </c>
    </row>
    <row r="53" spans="1:14" x14ac:dyDescent="0.25">
      <c r="A53" s="15"/>
      <c r="B53" s="15"/>
      <c r="C53">
        <v>5</v>
      </c>
      <c r="D53">
        <v>415.625</v>
      </c>
      <c r="E53">
        <v>21.875</v>
      </c>
      <c r="F53">
        <v>691.2</v>
      </c>
      <c r="G53">
        <v>1191.0999999999999</v>
      </c>
      <c r="H53">
        <v>0</v>
      </c>
      <c r="I53">
        <v>167.7</v>
      </c>
      <c r="J53">
        <v>90</v>
      </c>
      <c r="K53" s="10">
        <v>28.87</v>
      </c>
      <c r="L53" s="2">
        <f t="shared" si="0"/>
        <v>411.43542000000002</v>
      </c>
      <c r="M53" s="2">
        <f t="shared" si="1"/>
        <v>186.68587499999998</v>
      </c>
      <c r="N53">
        <v>0</v>
      </c>
    </row>
    <row r="54" spans="1:14" x14ac:dyDescent="0.25">
      <c r="A54" s="15"/>
      <c r="B54" s="15"/>
      <c r="C54">
        <v>10</v>
      </c>
      <c r="D54">
        <v>393.75</v>
      </c>
      <c r="E54">
        <v>43.75</v>
      </c>
      <c r="F54">
        <v>691.2</v>
      </c>
      <c r="G54">
        <v>1191.0999999999999</v>
      </c>
      <c r="H54">
        <v>0</v>
      </c>
      <c r="I54">
        <v>167.7</v>
      </c>
      <c r="J54">
        <v>7</v>
      </c>
      <c r="K54" s="10">
        <v>20.75</v>
      </c>
      <c r="L54" s="2">
        <f t="shared" si="0"/>
        <v>395.46667000000002</v>
      </c>
      <c r="M54" s="2">
        <f t="shared" si="1"/>
        <v>178.48274999999998</v>
      </c>
      <c r="N54">
        <v>0</v>
      </c>
    </row>
    <row r="55" spans="1:14" x14ac:dyDescent="0.25">
      <c r="A55" s="15"/>
      <c r="B55" s="15"/>
      <c r="C55">
        <v>10</v>
      </c>
      <c r="D55">
        <v>393.75</v>
      </c>
      <c r="E55">
        <v>43.75</v>
      </c>
      <c r="F55">
        <v>691.2</v>
      </c>
      <c r="G55">
        <v>1191.0999999999999</v>
      </c>
      <c r="H55">
        <v>0</v>
      </c>
      <c r="I55">
        <v>167.7</v>
      </c>
      <c r="J55">
        <v>14</v>
      </c>
      <c r="K55" s="10">
        <v>24.44</v>
      </c>
      <c r="L55" s="2">
        <f t="shared" si="0"/>
        <v>395.46667000000002</v>
      </c>
      <c r="M55" s="2">
        <f t="shared" si="1"/>
        <v>178.48274999999998</v>
      </c>
      <c r="N55">
        <v>0</v>
      </c>
    </row>
    <row r="56" spans="1:14" x14ac:dyDescent="0.25">
      <c r="A56" s="15"/>
      <c r="B56" s="15"/>
      <c r="C56">
        <v>10</v>
      </c>
      <c r="D56">
        <v>393.75</v>
      </c>
      <c r="E56">
        <v>43.75</v>
      </c>
      <c r="F56">
        <v>691.2</v>
      </c>
      <c r="G56">
        <v>1191.0999999999999</v>
      </c>
      <c r="H56">
        <v>0</v>
      </c>
      <c r="I56">
        <v>167.7</v>
      </c>
      <c r="J56">
        <v>56</v>
      </c>
      <c r="K56" s="10">
        <v>25.24</v>
      </c>
      <c r="L56" s="2">
        <f t="shared" si="0"/>
        <v>395.46667000000002</v>
      </c>
      <c r="M56" s="2">
        <f t="shared" si="1"/>
        <v>178.48274999999998</v>
      </c>
      <c r="N56">
        <v>0</v>
      </c>
    </row>
    <row r="57" spans="1:14" x14ac:dyDescent="0.25">
      <c r="A57" s="15"/>
      <c r="B57" s="15"/>
      <c r="C57">
        <v>10</v>
      </c>
      <c r="D57">
        <v>393.75</v>
      </c>
      <c r="E57">
        <v>43.75</v>
      </c>
      <c r="F57">
        <v>691.2</v>
      </c>
      <c r="G57">
        <v>1191.0999999999999</v>
      </c>
      <c r="H57">
        <v>0</v>
      </c>
      <c r="I57">
        <v>167.7</v>
      </c>
      <c r="J57">
        <v>90</v>
      </c>
      <c r="K57" s="10">
        <v>29.26</v>
      </c>
      <c r="L57" s="2">
        <f t="shared" si="0"/>
        <v>395.46667000000002</v>
      </c>
      <c r="M57" s="2">
        <f t="shared" si="1"/>
        <v>178.48274999999998</v>
      </c>
      <c r="N57">
        <v>0</v>
      </c>
    </row>
    <row r="58" spans="1:14" x14ac:dyDescent="0.25">
      <c r="A58" s="15"/>
      <c r="B58" s="15"/>
      <c r="C58">
        <v>15</v>
      </c>
      <c r="D58">
        <v>371.875</v>
      </c>
      <c r="E58">
        <v>65.625</v>
      </c>
      <c r="F58">
        <v>691.2</v>
      </c>
      <c r="G58">
        <v>1191.0999999999999</v>
      </c>
      <c r="H58">
        <v>0</v>
      </c>
      <c r="I58">
        <v>167.7</v>
      </c>
      <c r="J58">
        <v>7</v>
      </c>
      <c r="K58" s="10">
        <v>19.09</v>
      </c>
      <c r="L58" s="2">
        <f t="shared" si="0"/>
        <v>379.49792000000002</v>
      </c>
      <c r="M58" s="2">
        <f t="shared" si="1"/>
        <v>170.27962499999998</v>
      </c>
      <c r="N58">
        <v>0</v>
      </c>
    </row>
    <row r="59" spans="1:14" x14ac:dyDescent="0.25">
      <c r="A59" s="15"/>
      <c r="B59" s="15"/>
      <c r="C59">
        <v>15</v>
      </c>
      <c r="D59">
        <v>371.875</v>
      </c>
      <c r="E59">
        <v>65.625</v>
      </c>
      <c r="F59">
        <v>691.2</v>
      </c>
      <c r="G59">
        <v>1191.0999999999999</v>
      </c>
      <c r="H59">
        <v>0</v>
      </c>
      <c r="I59">
        <v>167.7</v>
      </c>
      <c r="J59">
        <v>14</v>
      </c>
      <c r="K59" s="10">
        <v>24.63</v>
      </c>
      <c r="L59" s="2">
        <f t="shared" si="0"/>
        <v>379.49792000000002</v>
      </c>
      <c r="M59" s="2">
        <f t="shared" si="1"/>
        <v>170.27962499999998</v>
      </c>
      <c r="N59">
        <v>0</v>
      </c>
    </row>
    <row r="60" spans="1:14" x14ac:dyDescent="0.25">
      <c r="A60" s="15"/>
      <c r="B60" s="15"/>
      <c r="C60">
        <v>15</v>
      </c>
      <c r="D60">
        <v>371.875</v>
      </c>
      <c r="E60">
        <v>65.625</v>
      </c>
      <c r="F60">
        <v>691.2</v>
      </c>
      <c r="G60">
        <v>1191.0999999999999</v>
      </c>
      <c r="H60">
        <v>0</v>
      </c>
      <c r="I60">
        <v>167.7</v>
      </c>
      <c r="J60">
        <v>56</v>
      </c>
      <c r="K60" s="10">
        <v>26.5</v>
      </c>
      <c r="L60" s="2">
        <f t="shared" si="0"/>
        <v>379.49792000000002</v>
      </c>
      <c r="M60" s="2">
        <f t="shared" si="1"/>
        <v>170.27962499999998</v>
      </c>
      <c r="N60">
        <v>0</v>
      </c>
    </row>
    <row r="61" spans="1:14" x14ac:dyDescent="0.25">
      <c r="A61" s="15"/>
      <c r="B61" s="15"/>
      <c r="C61">
        <v>15</v>
      </c>
      <c r="D61">
        <v>371.875</v>
      </c>
      <c r="E61">
        <v>65.625</v>
      </c>
      <c r="F61">
        <v>691.2</v>
      </c>
      <c r="G61">
        <v>1191.0999999999999</v>
      </c>
      <c r="H61">
        <v>0</v>
      </c>
      <c r="I61">
        <v>167.7</v>
      </c>
      <c r="J61">
        <v>90</v>
      </c>
      <c r="K61" s="10">
        <v>28.33</v>
      </c>
      <c r="L61" s="2">
        <f t="shared" si="0"/>
        <v>379.49792000000002</v>
      </c>
      <c r="M61" s="2">
        <f t="shared" si="1"/>
        <v>170.27962499999998</v>
      </c>
      <c r="N61">
        <v>0</v>
      </c>
    </row>
    <row r="62" spans="1:14" x14ac:dyDescent="0.25">
      <c r="A62" s="15"/>
      <c r="B62" s="15"/>
      <c r="C62">
        <v>20</v>
      </c>
      <c r="D62">
        <v>350</v>
      </c>
      <c r="E62">
        <v>87.5</v>
      </c>
      <c r="F62">
        <v>691.2</v>
      </c>
      <c r="G62">
        <v>1191.0999999999999</v>
      </c>
      <c r="H62">
        <v>0</v>
      </c>
      <c r="I62">
        <v>167.7</v>
      </c>
      <c r="J62">
        <v>7</v>
      </c>
      <c r="K62" s="10">
        <v>16.809999999999999</v>
      </c>
      <c r="L62" s="2">
        <f t="shared" si="0"/>
        <v>363.52917000000002</v>
      </c>
      <c r="M62" s="2">
        <f t="shared" si="1"/>
        <v>162.07649999999998</v>
      </c>
      <c r="N62">
        <v>0</v>
      </c>
    </row>
    <row r="63" spans="1:14" x14ac:dyDescent="0.25">
      <c r="A63" s="15"/>
      <c r="B63" s="15"/>
      <c r="C63">
        <v>20</v>
      </c>
      <c r="D63">
        <v>350</v>
      </c>
      <c r="E63">
        <v>87.5</v>
      </c>
      <c r="F63">
        <v>691.2</v>
      </c>
      <c r="G63">
        <v>1191.0999999999999</v>
      </c>
      <c r="H63">
        <v>0</v>
      </c>
      <c r="I63">
        <v>167.7</v>
      </c>
      <c r="J63">
        <v>14</v>
      </c>
      <c r="K63" s="10">
        <v>19.809999999999999</v>
      </c>
      <c r="L63" s="2">
        <f t="shared" si="0"/>
        <v>363.52917000000002</v>
      </c>
      <c r="M63" s="2">
        <f t="shared" si="1"/>
        <v>162.07649999999998</v>
      </c>
      <c r="N63">
        <v>0</v>
      </c>
    </row>
    <row r="64" spans="1:14" x14ac:dyDescent="0.25">
      <c r="A64" s="15"/>
      <c r="B64" s="15"/>
      <c r="C64">
        <v>20</v>
      </c>
      <c r="D64">
        <v>350</v>
      </c>
      <c r="E64">
        <v>87.5</v>
      </c>
      <c r="F64">
        <v>691.2</v>
      </c>
      <c r="G64">
        <v>1191.0999999999999</v>
      </c>
      <c r="H64">
        <v>0</v>
      </c>
      <c r="I64">
        <v>167.7</v>
      </c>
      <c r="J64">
        <v>56</v>
      </c>
      <c r="K64" s="10">
        <v>21.9</v>
      </c>
      <c r="L64" s="2">
        <f t="shared" si="0"/>
        <v>363.52917000000002</v>
      </c>
      <c r="M64" s="2">
        <f t="shared" si="1"/>
        <v>162.07649999999998</v>
      </c>
      <c r="N64">
        <v>0</v>
      </c>
    </row>
    <row r="65" spans="1:14" x14ac:dyDescent="0.25">
      <c r="A65" s="15"/>
      <c r="B65" s="15"/>
      <c r="C65">
        <v>20</v>
      </c>
      <c r="D65">
        <v>350</v>
      </c>
      <c r="E65">
        <v>87.5</v>
      </c>
      <c r="F65">
        <v>691.2</v>
      </c>
      <c r="G65">
        <v>1191.0999999999999</v>
      </c>
      <c r="H65">
        <v>0</v>
      </c>
      <c r="I65">
        <v>167.7</v>
      </c>
      <c r="J65">
        <v>90</v>
      </c>
      <c r="K65" s="10">
        <v>28.34</v>
      </c>
      <c r="L65" s="2">
        <f t="shared" si="0"/>
        <v>363.52917000000002</v>
      </c>
      <c r="M65" s="2">
        <f t="shared" si="1"/>
        <v>162.07649999999998</v>
      </c>
      <c r="N65">
        <v>0</v>
      </c>
    </row>
    <row r="66" spans="1:14" x14ac:dyDescent="0.25">
      <c r="A66" s="15"/>
      <c r="B66" s="15"/>
      <c r="C66">
        <v>25</v>
      </c>
      <c r="D66">
        <v>328.125</v>
      </c>
      <c r="E66">
        <v>109.375</v>
      </c>
      <c r="F66">
        <v>691.2</v>
      </c>
      <c r="G66">
        <v>1191.0999999999999</v>
      </c>
      <c r="H66">
        <v>0</v>
      </c>
      <c r="I66">
        <v>167.7</v>
      </c>
      <c r="J66">
        <v>7</v>
      </c>
      <c r="K66" s="10">
        <v>20.38</v>
      </c>
      <c r="L66" s="2">
        <f t="shared" ref="L66:L129" si="2">SUM((D66*0.83)+(E66*0.1)+(F66*0.0139)+(G66*0.0459)+(H66*2))</f>
        <v>347.56042000000002</v>
      </c>
      <c r="M66" s="2">
        <f t="shared" si="1"/>
        <v>153.87337499999998</v>
      </c>
      <c r="N66">
        <v>0</v>
      </c>
    </row>
    <row r="67" spans="1:14" x14ac:dyDescent="0.25">
      <c r="A67" s="15"/>
      <c r="B67" s="15"/>
      <c r="C67">
        <v>25</v>
      </c>
      <c r="D67">
        <v>328.125</v>
      </c>
      <c r="E67">
        <v>109.375</v>
      </c>
      <c r="F67">
        <v>691.2</v>
      </c>
      <c r="G67">
        <v>1191.0999999999999</v>
      </c>
      <c r="H67">
        <v>0</v>
      </c>
      <c r="I67">
        <v>167.7</v>
      </c>
      <c r="J67">
        <v>14</v>
      </c>
      <c r="K67" s="10">
        <v>21.98</v>
      </c>
      <c r="L67" s="2">
        <f t="shared" si="2"/>
        <v>347.56042000000002</v>
      </c>
      <c r="M67" s="2">
        <f t="shared" ref="M67:M130" si="3">SUM((D67*5)+((F67*0.25)+(G67*0.2)+(H67*20)))*0.075</f>
        <v>153.87337499999998</v>
      </c>
      <c r="N67">
        <v>0</v>
      </c>
    </row>
    <row r="68" spans="1:14" x14ac:dyDescent="0.25">
      <c r="A68" s="15"/>
      <c r="B68" s="15"/>
      <c r="C68">
        <v>25</v>
      </c>
      <c r="D68">
        <v>328.125</v>
      </c>
      <c r="E68">
        <v>109.375</v>
      </c>
      <c r="F68">
        <v>691.2</v>
      </c>
      <c r="G68">
        <v>1191.0999999999999</v>
      </c>
      <c r="H68">
        <v>0</v>
      </c>
      <c r="I68">
        <v>167.7</v>
      </c>
      <c r="J68">
        <v>56</v>
      </c>
      <c r="K68" s="10">
        <v>24</v>
      </c>
      <c r="L68" s="2">
        <f t="shared" si="2"/>
        <v>347.56042000000002</v>
      </c>
      <c r="M68" s="2">
        <f t="shared" si="3"/>
        <v>153.87337499999998</v>
      </c>
      <c r="N68">
        <v>0</v>
      </c>
    </row>
    <row r="69" spans="1:14" x14ac:dyDescent="0.25">
      <c r="A69" s="15"/>
      <c r="B69" s="15"/>
      <c r="C69">
        <v>25</v>
      </c>
      <c r="D69">
        <v>328.125</v>
      </c>
      <c r="E69">
        <v>109.375</v>
      </c>
      <c r="F69">
        <v>691.2</v>
      </c>
      <c r="G69">
        <v>1191.0999999999999</v>
      </c>
      <c r="H69">
        <v>0</v>
      </c>
      <c r="I69">
        <v>167.7</v>
      </c>
      <c r="J69">
        <v>90</v>
      </c>
      <c r="K69" s="10">
        <v>27.62</v>
      </c>
      <c r="L69" s="2">
        <f t="shared" si="2"/>
        <v>347.56042000000002</v>
      </c>
      <c r="M69" s="2">
        <f t="shared" si="3"/>
        <v>153.87337499999998</v>
      </c>
      <c r="N69">
        <v>0</v>
      </c>
    </row>
    <row r="70" spans="1:14" x14ac:dyDescent="0.25">
      <c r="A70" s="15"/>
      <c r="B70" s="15"/>
      <c r="C70">
        <v>30</v>
      </c>
      <c r="D70">
        <v>306.25</v>
      </c>
      <c r="E70">
        <v>131.25</v>
      </c>
      <c r="F70">
        <v>691.2</v>
      </c>
      <c r="G70">
        <v>1191.0999999999999</v>
      </c>
      <c r="H70">
        <v>0</v>
      </c>
      <c r="I70">
        <v>167.7</v>
      </c>
      <c r="J70">
        <v>7</v>
      </c>
      <c r="K70" s="10">
        <v>18.989999999999998</v>
      </c>
      <c r="L70" s="2">
        <f t="shared" si="2"/>
        <v>331.59167000000002</v>
      </c>
      <c r="M70" s="2">
        <f t="shared" si="3"/>
        <v>145.67024999999998</v>
      </c>
      <c r="N70">
        <v>0</v>
      </c>
    </row>
    <row r="71" spans="1:14" x14ac:dyDescent="0.25">
      <c r="A71" s="15"/>
      <c r="B71" s="15"/>
      <c r="C71">
        <v>30</v>
      </c>
      <c r="D71">
        <v>306.25</v>
      </c>
      <c r="E71">
        <v>131.25</v>
      </c>
      <c r="F71">
        <v>691.2</v>
      </c>
      <c r="G71">
        <v>1191.0999999999999</v>
      </c>
      <c r="H71">
        <v>0</v>
      </c>
      <c r="I71">
        <v>167.7</v>
      </c>
      <c r="J71">
        <v>14</v>
      </c>
      <c r="K71" s="10">
        <v>20.98</v>
      </c>
      <c r="L71" s="2">
        <f t="shared" si="2"/>
        <v>331.59167000000002</v>
      </c>
      <c r="M71" s="2">
        <f t="shared" si="3"/>
        <v>145.67024999999998</v>
      </c>
      <c r="N71">
        <v>0</v>
      </c>
    </row>
    <row r="72" spans="1:14" x14ac:dyDescent="0.25">
      <c r="A72" s="15"/>
      <c r="B72" s="15"/>
      <c r="C72">
        <v>30</v>
      </c>
      <c r="D72">
        <v>306.25</v>
      </c>
      <c r="E72">
        <v>131.25</v>
      </c>
      <c r="F72">
        <v>691.2</v>
      </c>
      <c r="G72">
        <v>1191.0999999999999</v>
      </c>
      <c r="H72">
        <v>0</v>
      </c>
      <c r="I72">
        <v>167.7</v>
      </c>
      <c r="J72">
        <v>56</v>
      </c>
      <c r="K72" s="10">
        <v>22.04</v>
      </c>
      <c r="L72" s="2">
        <f t="shared" si="2"/>
        <v>331.59167000000002</v>
      </c>
      <c r="M72" s="2">
        <f t="shared" si="3"/>
        <v>145.67024999999998</v>
      </c>
      <c r="N72">
        <v>0</v>
      </c>
    </row>
    <row r="73" spans="1:14" x14ac:dyDescent="0.25">
      <c r="A73" s="15"/>
      <c r="B73" s="15"/>
      <c r="C73">
        <v>30</v>
      </c>
      <c r="D73">
        <v>306.25</v>
      </c>
      <c r="E73">
        <v>131.25</v>
      </c>
      <c r="F73">
        <v>691.2</v>
      </c>
      <c r="G73">
        <v>1191.0999999999999</v>
      </c>
      <c r="H73">
        <v>0</v>
      </c>
      <c r="I73">
        <v>167.7</v>
      </c>
      <c r="J73">
        <v>90</v>
      </c>
      <c r="K73" s="10">
        <v>24.1</v>
      </c>
      <c r="L73" s="2">
        <f t="shared" si="2"/>
        <v>331.59167000000002</v>
      </c>
      <c r="M73" s="2">
        <f t="shared" si="3"/>
        <v>145.67024999999998</v>
      </c>
      <c r="N73">
        <v>0</v>
      </c>
    </row>
    <row r="74" spans="1:14" x14ac:dyDescent="0.25">
      <c r="A74" s="15"/>
      <c r="B74" s="15"/>
      <c r="C74">
        <v>35</v>
      </c>
      <c r="D74">
        <v>284.375</v>
      </c>
      <c r="E74">
        <v>153.125</v>
      </c>
      <c r="F74">
        <v>691.2</v>
      </c>
      <c r="G74">
        <v>1191.0999999999999</v>
      </c>
      <c r="H74">
        <v>0</v>
      </c>
      <c r="I74">
        <v>167.7</v>
      </c>
      <c r="J74">
        <v>7</v>
      </c>
      <c r="K74" s="10">
        <v>17.11</v>
      </c>
      <c r="L74" s="2">
        <f t="shared" si="2"/>
        <v>315.62292000000002</v>
      </c>
      <c r="M74" s="2">
        <f t="shared" si="3"/>
        <v>137.46712499999998</v>
      </c>
      <c r="N74">
        <v>0</v>
      </c>
    </row>
    <row r="75" spans="1:14" x14ac:dyDescent="0.25">
      <c r="A75" s="15"/>
      <c r="B75" s="15"/>
      <c r="C75">
        <v>35</v>
      </c>
      <c r="D75">
        <v>284.375</v>
      </c>
      <c r="E75">
        <v>153.125</v>
      </c>
      <c r="F75">
        <v>691.2</v>
      </c>
      <c r="G75">
        <v>1191.0999999999999</v>
      </c>
      <c r="H75">
        <v>0</v>
      </c>
      <c r="I75">
        <v>167.7</v>
      </c>
      <c r="J75">
        <v>14</v>
      </c>
      <c r="K75" s="10">
        <v>21.44</v>
      </c>
      <c r="L75" s="2">
        <f t="shared" si="2"/>
        <v>315.62292000000002</v>
      </c>
      <c r="M75" s="2">
        <f t="shared" si="3"/>
        <v>137.46712499999998</v>
      </c>
      <c r="N75">
        <v>0</v>
      </c>
    </row>
    <row r="76" spans="1:14" x14ac:dyDescent="0.25">
      <c r="A76" s="15"/>
      <c r="B76" s="15"/>
      <c r="C76">
        <v>35</v>
      </c>
      <c r="D76">
        <v>284.375</v>
      </c>
      <c r="E76">
        <v>153.125</v>
      </c>
      <c r="F76">
        <v>691.2</v>
      </c>
      <c r="G76">
        <v>1191.0999999999999</v>
      </c>
      <c r="H76">
        <v>0</v>
      </c>
      <c r="I76">
        <v>167.7</v>
      </c>
      <c r="J76">
        <v>56</v>
      </c>
      <c r="K76" s="10">
        <v>19.420000000000002</v>
      </c>
      <c r="L76" s="2">
        <f t="shared" si="2"/>
        <v>315.62292000000002</v>
      </c>
      <c r="M76" s="2">
        <f t="shared" si="3"/>
        <v>137.46712499999998</v>
      </c>
      <c r="N76">
        <v>0</v>
      </c>
    </row>
    <row r="77" spans="1:14" x14ac:dyDescent="0.25">
      <c r="A77" s="15"/>
      <c r="B77" s="15"/>
      <c r="C77">
        <v>35</v>
      </c>
      <c r="D77">
        <v>284.375</v>
      </c>
      <c r="E77">
        <v>153.125</v>
      </c>
      <c r="F77">
        <v>691.2</v>
      </c>
      <c r="G77">
        <v>1191.0999999999999</v>
      </c>
      <c r="H77">
        <v>0</v>
      </c>
      <c r="I77">
        <v>167.7</v>
      </c>
      <c r="J77">
        <v>90</v>
      </c>
      <c r="K77" s="10">
        <v>24.66</v>
      </c>
      <c r="L77" s="2">
        <f t="shared" si="2"/>
        <v>315.62292000000002</v>
      </c>
      <c r="M77" s="2">
        <f t="shared" si="3"/>
        <v>137.46712499999998</v>
      </c>
      <c r="N77">
        <v>0</v>
      </c>
    </row>
    <row r="78" spans="1:14" x14ac:dyDescent="0.25">
      <c r="A78" s="15"/>
      <c r="B78" s="15"/>
      <c r="C78">
        <v>40</v>
      </c>
      <c r="D78">
        <v>262.5</v>
      </c>
      <c r="E78">
        <v>175</v>
      </c>
      <c r="F78">
        <v>691.2</v>
      </c>
      <c r="G78">
        <v>1191.0999999999999</v>
      </c>
      <c r="H78">
        <v>0</v>
      </c>
      <c r="I78">
        <v>167.7</v>
      </c>
      <c r="J78">
        <v>7</v>
      </c>
      <c r="K78" s="10">
        <v>16.7</v>
      </c>
      <c r="L78" s="2">
        <f t="shared" si="2"/>
        <v>299.65416999999997</v>
      </c>
      <c r="M78" s="2">
        <f t="shared" si="3"/>
        <v>129.26399999999998</v>
      </c>
      <c r="N78">
        <v>0</v>
      </c>
    </row>
    <row r="79" spans="1:14" x14ac:dyDescent="0.25">
      <c r="A79" s="15"/>
      <c r="B79" s="15"/>
      <c r="C79">
        <v>40</v>
      </c>
      <c r="D79">
        <v>262.5</v>
      </c>
      <c r="E79">
        <v>175</v>
      </c>
      <c r="F79">
        <v>691.2</v>
      </c>
      <c r="G79">
        <v>1191.0999999999999</v>
      </c>
      <c r="H79">
        <v>0</v>
      </c>
      <c r="I79">
        <v>167.7</v>
      </c>
      <c r="J79">
        <v>14</v>
      </c>
      <c r="K79" s="10">
        <v>15.4</v>
      </c>
      <c r="L79" s="2">
        <f t="shared" si="2"/>
        <v>299.65416999999997</v>
      </c>
      <c r="M79" s="2">
        <f t="shared" si="3"/>
        <v>129.26399999999998</v>
      </c>
      <c r="N79">
        <v>0</v>
      </c>
    </row>
    <row r="80" spans="1:14" x14ac:dyDescent="0.25">
      <c r="A80" s="15"/>
      <c r="B80" s="15"/>
      <c r="C80">
        <v>40</v>
      </c>
      <c r="D80">
        <v>262.5</v>
      </c>
      <c r="E80">
        <v>175</v>
      </c>
      <c r="F80">
        <v>691.2</v>
      </c>
      <c r="G80">
        <v>1191.0999999999999</v>
      </c>
      <c r="H80">
        <v>0</v>
      </c>
      <c r="I80">
        <v>167.7</v>
      </c>
      <c r="J80">
        <v>56</v>
      </c>
      <c r="K80" s="10">
        <v>20.83</v>
      </c>
      <c r="L80" s="2">
        <f t="shared" si="2"/>
        <v>299.65416999999997</v>
      </c>
      <c r="M80" s="2">
        <f t="shared" si="3"/>
        <v>129.26399999999998</v>
      </c>
      <c r="N80">
        <v>0</v>
      </c>
    </row>
    <row r="81" spans="1:14" x14ac:dyDescent="0.25">
      <c r="A81" s="15"/>
      <c r="B81" s="15"/>
      <c r="C81">
        <v>40</v>
      </c>
      <c r="D81">
        <v>262.5</v>
      </c>
      <c r="E81">
        <v>175</v>
      </c>
      <c r="F81">
        <v>691.2</v>
      </c>
      <c r="G81">
        <v>1191.0999999999999</v>
      </c>
      <c r="H81">
        <v>0</v>
      </c>
      <c r="I81">
        <v>167.7</v>
      </c>
      <c r="J81">
        <v>90</v>
      </c>
      <c r="K81" s="10">
        <v>22.7</v>
      </c>
      <c r="L81" s="2">
        <f t="shared" si="2"/>
        <v>299.65416999999997</v>
      </c>
      <c r="M81" s="2">
        <f t="shared" si="3"/>
        <v>129.26399999999998</v>
      </c>
      <c r="N81">
        <v>0</v>
      </c>
    </row>
    <row r="82" spans="1:14" x14ac:dyDescent="0.25">
      <c r="A82" s="15"/>
      <c r="B82" s="15"/>
      <c r="C82">
        <v>45</v>
      </c>
      <c r="D82">
        <v>240.625</v>
      </c>
      <c r="E82">
        <v>196.875</v>
      </c>
      <c r="F82">
        <v>691.2</v>
      </c>
      <c r="G82">
        <v>1191.0999999999999</v>
      </c>
      <c r="H82">
        <v>0</v>
      </c>
      <c r="I82">
        <v>167.7</v>
      </c>
      <c r="J82">
        <v>7</v>
      </c>
      <c r="K82" s="10">
        <v>14.93</v>
      </c>
      <c r="L82" s="2">
        <f t="shared" si="2"/>
        <v>283.68541999999997</v>
      </c>
      <c r="M82" s="2">
        <f t="shared" si="3"/>
        <v>121.060875</v>
      </c>
      <c r="N82">
        <v>0</v>
      </c>
    </row>
    <row r="83" spans="1:14" x14ac:dyDescent="0.25">
      <c r="A83" s="15"/>
      <c r="B83" s="15"/>
      <c r="C83">
        <v>45</v>
      </c>
      <c r="D83">
        <v>240.625</v>
      </c>
      <c r="E83">
        <v>196.875</v>
      </c>
      <c r="F83">
        <v>691.2</v>
      </c>
      <c r="G83">
        <v>1191.0999999999999</v>
      </c>
      <c r="H83">
        <v>0</v>
      </c>
      <c r="I83">
        <v>167.7</v>
      </c>
      <c r="J83">
        <v>14</v>
      </c>
      <c r="K83" s="10">
        <v>17.309999999999999</v>
      </c>
      <c r="L83" s="2">
        <f t="shared" si="2"/>
        <v>283.68541999999997</v>
      </c>
      <c r="M83" s="2">
        <f t="shared" si="3"/>
        <v>121.060875</v>
      </c>
      <c r="N83">
        <v>0</v>
      </c>
    </row>
    <row r="84" spans="1:14" x14ac:dyDescent="0.25">
      <c r="A84" s="15"/>
      <c r="B84" s="15"/>
      <c r="C84">
        <v>45</v>
      </c>
      <c r="D84">
        <v>240.625</v>
      </c>
      <c r="E84">
        <v>196.875</v>
      </c>
      <c r="F84">
        <v>691.2</v>
      </c>
      <c r="G84">
        <v>1191.0999999999999</v>
      </c>
      <c r="H84">
        <v>0</v>
      </c>
      <c r="I84">
        <v>167.7</v>
      </c>
      <c r="J84">
        <v>56</v>
      </c>
      <c r="K84" s="10">
        <v>20.329999999999998</v>
      </c>
      <c r="L84" s="2">
        <f t="shared" si="2"/>
        <v>283.68541999999997</v>
      </c>
      <c r="M84" s="2">
        <f t="shared" si="3"/>
        <v>121.060875</v>
      </c>
      <c r="N84">
        <v>0</v>
      </c>
    </row>
    <row r="85" spans="1:14" x14ac:dyDescent="0.25">
      <c r="A85" s="15"/>
      <c r="B85" s="15"/>
      <c r="C85">
        <v>45</v>
      </c>
      <c r="D85">
        <v>240.625</v>
      </c>
      <c r="E85">
        <v>196.875</v>
      </c>
      <c r="F85">
        <v>691.2</v>
      </c>
      <c r="G85">
        <v>1191.0999999999999</v>
      </c>
      <c r="H85">
        <v>0</v>
      </c>
      <c r="I85">
        <v>167.7</v>
      </c>
      <c r="J85">
        <v>90</v>
      </c>
      <c r="K85" s="10">
        <v>21.31</v>
      </c>
      <c r="L85" s="2">
        <f t="shared" si="2"/>
        <v>283.68541999999997</v>
      </c>
      <c r="M85" s="2">
        <f t="shared" si="3"/>
        <v>121.060875</v>
      </c>
      <c r="N85">
        <v>0</v>
      </c>
    </row>
    <row r="86" spans="1:14" x14ac:dyDescent="0.25">
      <c r="A86" s="15"/>
      <c r="B86" s="15"/>
      <c r="C86">
        <v>50</v>
      </c>
      <c r="D86">
        <v>218.75</v>
      </c>
      <c r="E86">
        <v>218.75</v>
      </c>
      <c r="F86">
        <v>691.2</v>
      </c>
      <c r="G86">
        <v>1191.0999999999999</v>
      </c>
      <c r="H86">
        <v>0</v>
      </c>
      <c r="I86">
        <v>167.7</v>
      </c>
      <c r="J86">
        <v>7</v>
      </c>
      <c r="K86" s="10">
        <v>15.32</v>
      </c>
      <c r="L86" s="2">
        <f t="shared" si="2"/>
        <v>267.71666999999997</v>
      </c>
      <c r="M86" s="2">
        <f t="shared" si="3"/>
        <v>112.85775</v>
      </c>
      <c r="N86">
        <v>0</v>
      </c>
    </row>
    <row r="87" spans="1:14" x14ac:dyDescent="0.25">
      <c r="A87" s="15"/>
      <c r="B87" s="15"/>
      <c r="C87">
        <v>50</v>
      </c>
      <c r="D87">
        <v>218.75</v>
      </c>
      <c r="E87">
        <v>218.75</v>
      </c>
      <c r="F87">
        <v>691.2</v>
      </c>
      <c r="G87">
        <v>1191.0999999999999</v>
      </c>
      <c r="H87">
        <v>0</v>
      </c>
      <c r="I87">
        <v>167.7</v>
      </c>
      <c r="J87">
        <v>14</v>
      </c>
      <c r="K87" s="10">
        <v>19.23</v>
      </c>
      <c r="L87" s="2">
        <f t="shared" si="2"/>
        <v>267.71666999999997</v>
      </c>
      <c r="M87" s="2">
        <f t="shared" si="3"/>
        <v>112.85775</v>
      </c>
      <c r="N87">
        <v>0</v>
      </c>
    </row>
    <row r="88" spans="1:14" x14ac:dyDescent="0.25">
      <c r="A88" s="15"/>
      <c r="B88" s="15"/>
      <c r="C88">
        <v>50</v>
      </c>
      <c r="D88">
        <v>218.75</v>
      </c>
      <c r="E88">
        <v>218.75</v>
      </c>
      <c r="F88">
        <v>691.2</v>
      </c>
      <c r="G88">
        <v>1191.0999999999999</v>
      </c>
      <c r="H88">
        <v>0</v>
      </c>
      <c r="I88">
        <v>167.7</v>
      </c>
      <c r="J88">
        <v>56</v>
      </c>
      <c r="K88" s="10">
        <v>18.27</v>
      </c>
      <c r="L88" s="2">
        <f t="shared" si="2"/>
        <v>267.71666999999997</v>
      </c>
      <c r="M88" s="2">
        <f t="shared" si="3"/>
        <v>112.85775</v>
      </c>
      <c r="N88">
        <v>0</v>
      </c>
    </row>
    <row r="89" spans="1:14" x14ac:dyDescent="0.25">
      <c r="A89" s="15"/>
      <c r="B89" s="15"/>
      <c r="C89">
        <v>50</v>
      </c>
      <c r="D89">
        <v>218.75</v>
      </c>
      <c r="E89">
        <v>218.75</v>
      </c>
      <c r="F89">
        <v>691.2</v>
      </c>
      <c r="G89">
        <v>1191.0999999999999</v>
      </c>
      <c r="H89">
        <v>0</v>
      </c>
      <c r="I89">
        <v>167.7</v>
      </c>
      <c r="J89">
        <v>90</v>
      </c>
      <c r="K89" s="10">
        <v>18.670000000000002</v>
      </c>
      <c r="L89" s="2">
        <f t="shared" si="2"/>
        <v>267.71666999999997</v>
      </c>
      <c r="M89" s="2">
        <f t="shared" si="3"/>
        <v>112.85775</v>
      </c>
      <c r="N89">
        <v>0</v>
      </c>
    </row>
    <row r="90" spans="1:14" x14ac:dyDescent="0.25">
      <c r="A90" s="15"/>
      <c r="B90" s="15"/>
      <c r="C90">
        <v>0</v>
      </c>
      <c r="D90">
        <v>482.5</v>
      </c>
      <c r="E90">
        <v>0</v>
      </c>
      <c r="F90">
        <v>803.7</v>
      </c>
      <c r="G90">
        <v>1058.4000000000001</v>
      </c>
      <c r="H90">
        <v>0</v>
      </c>
      <c r="I90">
        <v>152</v>
      </c>
      <c r="J90">
        <v>7</v>
      </c>
      <c r="K90" s="10">
        <v>23.14</v>
      </c>
      <c r="L90" s="2">
        <f t="shared" si="2"/>
        <v>460.22698999999994</v>
      </c>
      <c r="M90" s="2">
        <f t="shared" si="3"/>
        <v>211.88287499999998</v>
      </c>
      <c r="N90">
        <v>0</v>
      </c>
    </row>
    <row r="91" spans="1:14" x14ac:dyDescent="0.25">
      <c r="A91" s="15"/>
      <c r="B91" s="15"/>
      <c r="C91">
        <v>0</v>
      </c>
      <c r="D91">
        <v>482.5</v>
      </c>
      <c r="E91">
        <v>0</v>
      </c>
      <c r="F91">
        <v>803.7</v>
      </c>
      <c r="G91">
        <v>1058.4000000000001</v>
      </c>
      <c r="H91">
        <v>0</v>
      </c>
      <c r="I91">
        <v>152</v>
      </c>
      <c r="J91">
        <v>14</v>
      </c>
      <c r="K91" s="10">
        <v>23.37</v>
      </c>
      <c r="L91" s="2">
        <f t="shared" si="2"/>
        <v>460.22698999999994</v>
      </c>
      <c r="M91" s="2">
        <f t="shared" si="3"/>
        <v>211.88287499999998</v>
      </c>
      <c r="N91">
        <v>0</v>
      </c>
    </row>
    <row r="92" spans="1:14" x14ac:dyDescent="0.25">
      <c r="A92" s="15"/>
      <c r="B92" s="15"/>
      <c r="C92">
        <v>0</v>
      </c>
      <c r="D92">
        <v>482.5</v>
      </c>
      <c r="E92">
        <v>0</v>
      </c>
      <c r="F92">
        <v>803.7</v>
      </c>
      <c r="G92">
        <v>1058.4000000000001</v>
      </c>
      <c r="H92">
        <v>0</v>
      </c>
      <c r="I92">
        <v>152</v>
      </c>
      <c r="J92">
        <v>56</v>
      </c>
      <c r="K92" s="10">
        <v>25.07</v>
      </c>
      <c r="L92" s="2">
        <f t="shared" si="2"/>
        <v>460.22698999999994</v>
      </c>
      <c r="M92" s="2">
        <f t="shared" si="3"/>
        <v>211.88287499999998</v>
      </c>
      <c r="N92">
        <v>0</v>
      </c>
    </row>
    <row r="93" spans="1:14" x14ac:dyDescent="0.25">
      <c r="A93" s="15"/>
      <c r="B93" s="15"/>
      <c r="C93">
        <v>0</v>
      </c>
      <c r="D93">
        <v>482.5</v>
      </c>
      <c r="E93">
        <v>0</v>
      </c>
      <c r="F93">
        <v>803.7</v>
      </c>
      <c r="G93">
        <v>1058.4000000000001</v>
      </c>
      <c r="H93">
        <v>0</v>
      </c>
      <c r="I93">
        <v>152</v>
      </c>
      <c r="J93">
        <v>90</v>
      </c>
      <c r="K93" s="10">
        <v>26.64</v>
      </c>
      <c r="L93" s="2">
        <f t="shared" si="2"/>
        <v>460.22698999999994</v>
      </c>
      <c r="M93" s="2">
        <f t="shared" si="3"/>
        <v>211.88287499999998</v>
      </c>
      <c r="N93">
        <v>0</v>
      </c>
    </row>
    <row r="94" spans="1:14" x14ac:dyDescent="0.25">
      <c r="A94" s="15"/>
      <c r="B94" s="15"/>
      <c r="C94">
        <v>5</v>
      </c>
      <c r="D94">
        <v>458.375</v>
      </c>
      <c r="E94">
        <v>24.125</v>
      </c>
      <c r="F94">
        <v>803.7</v>
      </c>
      <c r="G94">
        <v>1058.4000000000001</v>
      </c>
      <c r="H94">
        <v>0</v>
      </c>
      <c r="I94">
        <v>152</v>
      </c>
      <c r="J94">
        <v>7</v>
      </c>
      <c r="K94" s="10">
        <v>23.27</v>
      </c>
      <c r="L94" s="2">
        <f t="shared" si="2"/>
        <v>442.61573999999996</v>
      </c>
      <c r="M94" s="2">
        <f t="shared" si="3"/>
        <v>202.83599999999998</v>
      </c>
      <c r="N94">
        <v>0</v>
      </c>
    </row>
    <row r="95" spans="1:14" x14ac:dyDescent="0.25">
      <c r="A95" s="15"/>
      <c r="B95" s="15"/>
      <c r="C95">
        <v>5</v>
      </c>
      <c r="D95">
        <v>458.375</v>
      </c>
      <c r="E95">
        <v>24.125</v>
      </c>
      <c r="F95">
        <v>803.7</v>
      </c>
      <c r="G95">
        <v>1058.4000000000001</v>
      </c>
      <c r="H95">
        <v>0</v>
      </c>
      <c r="I95">
        <v>152</v>
      </c>
      <c r="J95">
        <v>14</v>
      </c>
      <c r="K95" s="10">
        <v>24.49</v>
      </c>
      <c r="L95" s="2">
        <f t="shared" si="2"/>
        <v>442.61573999999996</v>
      </c>
      <c r="M95" s="2">
        <f t="shared" si="3"/>
        <v>202.83599999999998</v>
      </c>
      <c r="N95">
        <v>0</v>
      </c>
    </row>
    <row r="96" spans="1:14" x14ac:dyDescent="0.25">
      <c r="A96" s="15"/>
      <c r="B96" s="15"/>
      <c r="C96">
        <v>5</v>
      </c>
      <c r="D96">
        <v>458.375</v>
      </c>
      <c r="E96">
        <v>24.125</v>
      </c>
      <c r="F96">
        <v>803.7</v>
      </c>
      <c r="G96">
        <v>1058.4000000000001</v>
      </c>
      <c r="H96">
        <v>0</v>
      </c>
      <c r="I96">
        <v>152</v>
      </c>
      <c r="J96">
        <v>56</v>
      </c>
      <c r="K96" s="10">
        <v>30.89</v>
      </c>
      <c r="L96" s="2">
        <f t="shared" si="2"/>
        <v>442.61573999999996</v>
      </c>
      <c r="M96" s="2">
        <f t="shared" si="3"/>
        <v>202.83599999999998</v>
      </c>
      <c r="N96">
        <v>0</v>
      </c>
    </row>
    <row r="97" spans="1:14" x14ac:dyDescent="0.25">
      <c r="A97" s="15"/>
      <c r="B97" s="15"/>
      <c r="C97">
        <v>5</v>
      </c>
      <c r="D97">
        <v>458.375</v>
      </c>
      <c r="E97">
        <v>24.125</v>
      </c>
      <c r="F97">
        <v>803.7</v>
      </c>
      <c r="G97">
        <v>1058.4000000000001</v>
      </c>
      <c r="H97">
        <v>0</v>
      </c>
      <c r="I97">
        <v>152</v>
      </c>
      <c r="J97">
        <v>90</v>
      </c>
      <c r="K97" s="10">
        <v>24.15</v>
      </c>
      <c r="L97" s="2">
        <f t="shared" si="2"/>
        <v>442.61573999999996</v>
      </c>
      <c r="M97" s="2">
        <f t="shared" si="3"/>
        <v>202.83599999999998</v>
      </c>
      <c r="N97">
        <v>0</v>
      </c>
    </row>
    <row r="98" spans="1:14" x14ac:dyDescent="0.25">
      <c r="A98" s="15"/>
      <c r="B98" s="15"/>
      <c r="C98">
        <v>10</v>
      </c>
      <c r="D98">
        <v>434.25</v>
      </c>
      <c r="E98">
        <v>48.25</v>
      </c>
      <c r="F98">
        <v>803.7</v>
      </c>
      <c r="G98">
        <v>1058.4000000000001</v>
      </c>
      <c r="H98">
        <v>0</v>
      </c>
      <c r="I98">
        <v>152</v>
      </c>
      <c r="J98">
        <v>7</v>
      </c>
      <c r="K98" s="10">
        <v>19.52</v>
      </c>
      <c r="L98" s="2">
        <f t="shared" si="2"/>
        <v>425.00448999999998</v>
      </c>
      <c r="M98" s="2">
        <f t="shared" si="3"/>
        <v>193.78912499999998</v>
      </c>
      <c r="N98">
        <v>0</v>
      </c>
    </row>
    <row r="99" spans="1:14" x14ac:dyDescent="0.25">
      <c r="A99" s="15"/>
      <c r="B99" s="15"/>
      <c r="C99">
        <v>10</v>
      </c>
      <c r="D99">
        <v>434.25</v>
      </c>
      <c r="E99">
        <v>48.25</v>
      </c>
      <c r="F99">
        <v>803.7</v>
      </c>
      <c r="G99">
        <v>1058.4000000000001</v>
      </c>
      <c r="H99">
        <v>0</v>
      </c>
      <c r="I99">
        <v>152</v>
      </c>
      <c r="J99">
        <v>14</v>
      </c>
      <c r="K99" s="10">
        <v>22.03</v>
      </c>
      <c r="L99" s="2">
        <f t="shared" si="2"/>
        <v>425.00448999999998</v>
      </c>
      <c r="M99" s="2">
        <f t="shared" si="3"/>
        <v>193.78912499999998</v>
      </c>
      <c r="N99">
        <v>0</v>
      </c>
    </row>
    <row r="100" spans="1:14" x14ac:dyDescent="0.25">
      <c r="A100" s="15"/>
      <c r="B100" s="15"/>
      <c r="C100">
        <v>10</v>
      </c>
      <c r="D100">
        <v>434.25</v>
      </c>
      <c r="E100">
        <v>48.25</v>
      </c>
      <c r="F100">
        <v>803.7</v>
      </c>
      <c r="G100">
        <v>1058.4000000000001</v>
      </c>
      <c r="H100">
        <v>0</v>
      </c>
      <c r="I100">
        <v>152</v>
      </c>
      <c r="J100">
        <v>56</v>
      </c>
      <c r="K100" s="10">
        <v>29.02</v>
      </c>
      <c r="L100" s="2">
        <f t="shared" si="2"/>
        <v>425.00448999999998</v>
      </c>
      <c r="M100" s="2">
        <f t="shared" si="3"/>
        <v>193.78912499999998</v>
      </c>
      <c r="N100">
        <v>0</v>
      </c>
    </row>
    <row r="101" spans="1:14" x14ac:dyDescent="0.25">
      <c r="A101" s="15"/>
      <c r="B101" s="15"/>
      <c r="C101">
        <v>10</v>
      </c>
      <c r="D101">
        <v>434.25</v>
      </c>
      <c r="E101">
        <v>48.25</v>
      </c>
      <c r="F101">
        <v>803.7</v>
      </c>
      <c r="G101">
        <v>1058.4000000000001</v>
      </c>
      <c r="H101">
        <v>0</v>
      </c>
      <c r="I101">
        <v>152</v>
      </c>
      <c r="J101">
        <v>90</v>
      </c>
      <c r="K101" s="10">
        <v>30.06</v>
      </c>
      <c r="L101" s="2">
        <f t="shared" si="2"/>
        <v>425.00448999999998</v>
      </c>
      <c r="M101" s="2">
        <f t="shared" si="3"/>
        <v>193.78912499999998</v>
      </c>
      <c r="N101">
        <v>0</v>
      </c>
    </row>
    <row r="102" spans="1:14" x14ac:dyDescent="0.25">
      <c r="A102" s="15"/>
      <c r="B102" s="15"/>
      <c r="C102">
        <v>15</v>
      </c>
      <c r="D102">
        <v>410.125</v>
      </c>
      <c r="E102">
        <v>72.375</v>
      </c>
      <c r="F102">
        <v>803.7</v>
      </c>
      <c r="G102">
        <v>1058.4000000000001</v>
      </c>
      <c r="H102">
        <v>0</v>
      </c>
      <c r="I102">
        <v>152</v>
      </c>
      <c r="J102">
        <v>7</v>
      </c>
      <c r="K102" s="10">
        <v>19.850000000000001</v>
      </c>
      <c r="L102" s="2">
        <f t="shared" si="2"/>
        <v>407.39323999999999</v>
      </c>
      <c r="M102" s="2">
        <f t="shared" si="3"/>
        <v>184.74224999999998</v>
      </c>
      <c r="N102">
        <v>0</v>
      </c>
    </row>
    <row r="103" spans="1:14" x14ac:dyDescent="0.25">
      <c r="A103" s="15"/>
      <c r="B103" s="15"/>
      <c r="C103">
        <v>15</v>
      </c>
      <c r="D103">
        <v>410.125</v>
      </c>
      <c r="E103">
        <v>72.375</v>
      </c>
      <c r="F103">
        <v>803.7</v>
      </c>
      <c r="G103">
        <v>1058.4000000000001</v>
      </c>
      <c r="H103">
        <v>0</v>
      </c>
      <c r="I103">
        <v>152</v>
      </c>
      <c r="J103">
        <v>14</v>
      </c>
      <c r="K103" s="10">
        <v>21.84</v>
      </c>
      <c r="L103" s="2">
        <f t="shared" si="2"/>
        <v>407.39323999999999</v>
      </c>
      <c r="M103" s="2">
        <f t="shared" si="3"/>
        <v>184.74224999999998</v>
      </c>
      <c r="N103">
        <v>0</v>
      </c>
    </row>
    <row r="104" spans="1:14" x14ac:dyDescent="0.25">
      <c r="A104" s="15"/>
      <c r="B104" s="15"/>
      <c r="C104">
        <v>15</v>
      </c>
      <c r="D104">
        <v>410.125</v>
      </c>
      <c r="E104">
        <v>72.375</v>
      </c>
      <c r="F104">
        <v>803.7</v>
      </c>
      <c r="G104">
        <v>1058.4000000000001</v>
      </c>
      <c r="H104">
        <v>0</v>
      </c>
      <c r="I104">
        <v>152</v>
      </c>
      <c r="J104">
        <v>56</v>
      </c>
      <c r="K104" s="10">
        <v>22.75</v>
      </c>
      <c r="L104" s="2">
        <f t="shared" si="2"/>
        <v>407.39323999999999</v>
      </c>
      <c r="M104" s="2">
        <f t="shared" si="3"/>
        <v>184.74224999999998</v>
      </c>
      <c r="N104">
        <v>0</v>
      </c>
    </row>
    <row r="105" spans="1:14" x14ac:dyDescent="0.25">
      <c r="A105" s="15"/>
      <c r="B105" s="15"/>
      <c r="C105">
        <v>15</v>
      </c>
      <c r="D105">
        <v>410.125</v>
      </c>
      <c r="E105">
        <v>72.375</v>
      </c>
      <c r="F105">
        <v>803.7</v>
      </c>
      <c r="G105">
        <v>1058.4000000000001</v>
      </c>
      <c r="H105">
        <v>0</v>
      </c>
      <c r="I105">
        <v>152</v>
      </c>
      <c r="J105">
        <v>90</v>
      </c>
      <c r="K105" s="10">
        <v>26.72</v>
      </c>
      <c r="L105" s="2">
        <f t="shared" si="2"/>
        <v>407.39323999999999</v>
      </c>
      <c r="M105" s="2">
        <f t="shared" si="3"/>
        <v>184.74224999999998</v>
      </c>
      <c r="N105">
        <v>0</v>
      </c>
    </row>
    <row r="106" spans="1:14" x14ac:dyDescent="0.25">
      <c r="A106" s="15"/>
      <c r="B106" s="15"/>
      <c r="C106">
        <v>20</v>
      </c>
      <c r="D106">
        <v>386</v>
      </c>
      <c r="E106">
        <v>96.5</v>
      </c>
      <c r="F106">
        <v>803.7</v>
      </c>
      <c r="G106">
        <v>1058.4000000000001</v>
      </c>
      <c r="H106">
        <v>0</v>
      </c>
      <c r="I106">
        <v>152</v>
      </c>
      <c r="J106">
        <v>7</v>
      </c>
      <c r="K106" s="10">
        <v>21.61</v>
      </c>
      <c r="L106" s="2">
        <f t="shared" si="2"/>
        <v>389.78198999999995</v>
      </c>
      <c r="M106" s="2">
        <f t="shared" si="3"/>
        <v>175.69537499999998</v>
      </c>
      <c r="N106">
        <v>0</v>
      </c>
    </row>
    <row r="107" spans="1:14" x14ac:dyDescent="0.25">
      <c r="A107" s="15"/>
      <c r="B107" s="15"/>
      <c r="C107">
        <v>20</v>
      </c>
      <c r="D107">
        <v>386</v>
      </c>
      <c r="E107">
        <v>96.5</v>
      </c>
      <c r="F107">
        <v>803.7</v>
      </c>
      <c r="G107">
        <v>1058.4000000000001</v>
      </c>
      <c r="H107">
        <v>0</v>
      </c>
      <c r="I107">
        <v>152</v>
      </c>
      <c r="J107">
        <v>14</v>
      </c>
      <c r="K107" s="10">
        <v>18.13</v>
      </c>
      <c r="L107" s="2">
        <f t="shared" si="2"/>
        <v>389.78198999999995</v>
      </c>
      <c r="M107" s="2">
        <f t="shared" si="3"/>
        <v>175.69537499999998</v>
      </c>
      <c r="N107">
        <v>0</v>
      </c>
    </row>
    <row r="108" spans="1:14" x14ac:dyDescent="0.25">
      <c r="A108" s="15"/>
      <c r="B108" s="15"/>
      <c r="C108">
        <v>20</v>
      </c>
      <c r="D108">
        <v>386</v>
      </c>
      <c r="E108">
        <v>96.5</v>
      </c>
      <c r="F108">
        <v>803.7</v>
      </c>
      <c r="G108">
        <v>1058.4000000000001</v>
      </c>
      <c r="H108">
        <v>0</v>
      </c>
      <c r="I108">
        <v>152</v>
      </c>
      <c r="J108">
        <v>56</v>
      </c>
      <c r="K108" s="10">
        <v>26.29</v>
      </c>
      <c r="L108" s="2">
        <f t="shared" si="2"/>
        <v>389.78198999999995</v>
      </c>
      <c r="M108" s="2">
        <f t="shared" si="3"/>
        <v>175.69537499999998</v>
      </c>
      <c r="N108">
        <v>0</v>
      </c>
    </row>
    <row r="109" spans="1:14" x14ac:dyDescent="0.25">
      <c r="A109" s="15"/>
      <c r="B109" s="15"/>
      <c r="C109">
        <v>20</v>
      </c>
      <c r="D109">
        <v>386</v>
      </c>
      <c r="E109">
        <v>96.5</v>
      </c>
      <c r="F109">
        <v>803.7</v>
      </c>
      <c r="G109">
        <v>1058.4000000000001</v>
      </c>
      <c r="H109">
        <v>0</v>
      </c>
      <c r="I109">
        <v>152</v>
      </c>
      <c r="J109">
        <v>90</v>
      </c>
      <c r="K109" s="10">
        <v>26.08</v>
      </c>
      <c r="L109" s="2">
        <f t="shared" si="2"/>
        <v>389.78198999999995</v>
      </c>
      <c r="M109" s="2">
        <f t="shared" si="3"/>
        <v>175.69537499999998</v>
      </c>
      <c r="N109">
        <v>0</v>
      </c>
    </row>
    <row r="110" spans="1:14" x14ac:dyDescent="0.25">
      <c r="A110" s="15"/>
      <c r="B110" s="15"/>
      <c r="C110">
        <v>25</v>
      </c>
      <c r="D110">
        <v>361.875</v>
      </c>
      <c r="E110">
        <v>120.625</v>
      </c>
      <c r="F110">
        <v>803.7</v>
      </c>
      <c r="G110">
        <v>1058.4000000000001</v>
      </c>
      <c r="H110">
        <v>0</v>
      </c>
      <c r="I110">
        <v>152</v>
      </c>
      <c r="J110">
        <v>7</v>
      </c>
      <c r="K110" s="10">
        <v>17.09</v>
      </c>
      <c r="L110" s="2">
        <f t="shared" si="2"/>
        <v>372.17073999999997</v>
      </c>
      <c r="M110" s="2">
        <f t="shared" si="3"/>
        <v>166.64849999999998</v>
      </c>
      <c r="N110">
        <v>0</v>
      </c>
    </row>
    <row r="111" spans="1:14" x14ac:dyDescent="0.25">
      <c r="A111" s="15"/>
      <c r="B111" s="15"/>
      <c r="C111">
        <v>25</v>
      </c>
      <c r="D111">
        <v>361.875</v>
      </c>
      <c r="E111">
        <v>120.625</v>
      </c>
      <c r="F111">
        <v>803.7</v>
      </c>
      <c r="G111">
        <v>1058.4000000000001</v>
      </c>
      <c r="H111">
        <v>0</v>
      </c>
      <c r="I111">
        <v>152</v>
      </c>
      <c r="J111">
        <v>14</v>
      </c>
      <c r="K111" s="10">
        <v>21.88</v>
      </c>
      <c r="L111" s="2">
        <f t="shared" si="2"/>
        <v>372.17073999999997</v>
      </c>
      <c r="M111" s="2">
        <f t="shared" si="3"/>
        <v>166.64849999999998</v>
      </c>
      <c r="N111">
        <v>0</v>
      </c>
    </row>
    <row r="112" spans="1:14" x14ac:dyDescent="0.25">
      <c r="A112" s="15"/>
      <c r="B112" s="15"/>
      <c r="C112">
        <v>25</v>
      </c>
      <c r="D112">
        <v>361.875</v>
      </c>
      <c r="E112">
        <v>120.625</v>
      </c>
      <c r="F112">
        <v>803.7</v>
      </c>
      <c r="G112">
        <v>1058.4000000000001</v>
      </c>
      <c r="H112">
        <v>0</v>
      </c>
      <c r="I112">
        <v>152</v>
      </c>
      <c r="J112">
        <v>56</v>
      </c>
      <c r="K112" s="10">
        <v>21.37</v>
      </c>
      <c r="L112" s="2">
        <f t="shared" si="2"/>
        <v>372.17073999999997</v>
      </c>
      <c r="M112" s="2">
        <f t="shared" si="3"/>
        <v>166.64849999999998</v>
      </c>
      <c r="N112">
        <v>0</v>
      </c>
    </row>
    <row r="113" spans="1:14" x14ac:dyDescent="0.25">
      <c r="A113" s="15"/>
      <c r="B113" s="15"/>
      <c r="C113">
        <v>25</v>
      </c>
      <c r="D113">
        <v>361.875</v>
      </c>
      <c r="E113">
        <v>120.625</v>
      </c>
      <c r="F113">
        <v>803.7</v>
      </c>
      <c r="G113">
        <v>1058.4000000000001</v>
      </c>
      <c r="H113">
        <v>0</v>
      </c>
      <c r="I113">
        <v>152</v>
      </c>
      <c r="J113">
        <v>90</v>
      </c>
      <c r="K113" s="10">
        <v>22.33</v>
      </c>
      <c r="L113" s="2">
        <f t="shared" si="2"/>
        <v>372.17073999999997</v>
      </c>
      <c r="M113" s="2">
        <f t="shared" si="3"/>
        <v>166.64849999999998</v>
      </c>
      <c r="N113">
        <v>0</v>
      </c>
    </row>
    <row r="114" spans="1:14" x14ac:dyDescent="0.25">
      <c r="A114" s="15"/>
      <c r="B114" s="15"/>
      <c r="C114">
        <v>30</v>
      </c>
      <c r="D114">
        <v>337.75</v>
      </c>
      <c r="E114">
        <v>144.75</v>
      </c>
      <c r="F114">
        <v>803.7</v>
      </c>
      <c r="G114">
        <v>1058.4000000000001</v>
      </c>
      <c r="H114">
        <v>0</v>
      </c>
      <c r="I114">
        <v>152</v>
      </c>
      <c r="J114">
        <v>7</v>
      </c>
      <c r="K114" s="10">
        <v>16.149999999999999</v>
      </c>
      <c r="L114" s="2">
        <f t="shared" si="2"/>
        <v>354.55948999999998</v>
      </c>
      <c r="M114" s="2">
        <f t="shared" si="3"/>
        <v>157.60162499999998</v>
      </c>
      <c r="N114">
        <v>0</v>
      </c>
    </row>
    <row r="115" spans="1:14" x14ac:dyDescent="0.25">
      <c r="A115" s="15"/>
      <c r="B115" s="15"/>
      <c r="C115">
        <v>30</v>
      </c>
      <c r="D115">
        <v>337.75</v>
      </c>
      <c r="E115">
        <v>144.75</v>
      </c>
      <c r="F115">
        <v>803.7</v>
      </c>
      <c r="G115">
        <v>1058.4000000000001</v>
      </c>
      <c r="H115">
        <v>0</v>
      </c>
      <c r="I115">
        <v>152</v>
      </c>
      <c r="J115">
        <v>14</v>
      </c>
      <c r="K115" s="10">
        <v>20.56</v>
      </c>
      <c r="L115" s="2">
        <f t="shared" si="2"/>
        <v>354.55948999999998</v>
      </c>
      <c r="M115" s="2">
        <f t="shared" si="3"/>
        <v>157.60162499999998</v>
      </c>
      <c r="N115">
        <v>0</v>
      </c>
    </row>
    <row r="116" spans="1:14" x14ac:dyDescent="0.25">
      <c r="A116" s="15"/>
      <c r="B116" s="15"/>
      <c r="C116">
        <v>30</v>
      </c>
      <c r="D116">
        <v>337.75</v>
      </c>
      <c r="E116">
        <v>144.75</v>
      </c>
      <c r="F116">
        <v>803.7</v>
      </c>
      <c r="G116">
        <v>1058.4000000000001</v>
      </c>
      <c r="H116">
        <v>0</v>
      </c>
      <c r="I116">
        <v>152</v>
      </c>
      <c r="J116">
        <v>56</v>
      </c>
      <c r="K116" s="10">
        <v>25.77</v>
      </c>
      <c r="L116" s="2">
        <f t="shared" si="2"/>
        <v>354.55948999999998</v>
      </c>
      <c r="M116" s="2">
        <f t="shared" si="3"/>
        <v>157.60162499999998</v>
      </c>
      <c r="N116">
        <v>0</v>
      </c>
    </row>
    <row r="117" spans="1:14" x14ac:dyDescent="0.25">
      <c r="A117" s="15"/>
      <c r="B117" s="15"/>
      <c r="C117">
        <v>30</v>
      </c>
      <c r="D117">
        <v>337.75</v>
      </c>
      <c r="E117">
        <v>144.75</v>
      </c>
      <c r="F117">
        <v>803.7</v>
      </c>
      <c r="G117">
        <v>1058.4000000000001</v>
      </c>
      <c r="H117">
        <v>0</v>
      </c>
      <c r="I117">
        <v>152</v>
      </c>
      <c r="J117">
        <v>90</v>
      </c>
      <c r="K117" s="10">
        <v>24.92</v>
      </c>
      <c r="L117" s="2">
        <f t="shared" si="2"/>
        <v>354.55948999999998</v>
      </c>
      <c r="M117" s="2">
        <f t="shared" si="3"/>
        <v>157.60162499999998</v>
      </c>
      <c r="N117">
        <v>0</v>
      </c>
    </row>
    <row r="118" spans="1:14" x14ac:dyDescent="0.25">
      <c r="A118" s="15"/>
      <c r="B118" s="15"/>
      <c r="C118">
        <v>35</v>
      </c>
      <c r="D118">
        <v>313.625</v>
      </c>
      <c r="E118">
        <v>168.875</v>
      </c>
      <c r="F118">
        <v>803.7</v>
      </c>
      <c r="G118">
        <v>1058.4000000000001</v>
      </c>
      <c r="H118">
        <v>0</v>
      </c>
      <c r="I118">
        <v>152</v>
      </c>
      <c r="J118">
        <v>7</v>
      </c>
      <c r="K118" s="10">
        <v>17.489999999999998</v>
      </c>
      <c r="L118" s="2">
        <f t="shared" si="2"/>
        <v>336.94823999999994</v>
      </c>
      <c r="M118" s="2">
        <f t="shared" si="3"/>
        <v>148.55474999999998</v>
      </c>
      <c r="N118">
        <v>0</v>
      </c>
    </row>
    <row r="119" spans="1:14" x14ac:dyDescent="0.25">
      <c r="A119" s="15"/>
      <c r="B119" s="15"/>
      <c r="C119">
        <v>35</v>
      </c>
      <c r="D119">
        <v>313.625</v>
      </c>
      <c r="E119">
        <v>168.875</v>
      </c>
      <c r="F119">
        <v>803.7</v>
      </c>
      <c r="G119">
        <v>1058.4000000000001</v>
      </c>
      <c r="H119">
        <v>0</v>
      </c>
      <c r="I119">
        <v>152</v>
      </c>
      <c r="J119">
        <v>14</v>
      </c>
      <c r="K119" s="10">
        <v>18.63</v>
      </c>
      <c r="L119" s="2">
        <f t="shared" si="2"/>
        <v>336.94823999999994</v>
      </c>
      <c r="M119" s="2">
        <f t="shared" si="3"/>
        <v>148.55474999999998</v>
      </c>
      <c r="N119">
        <v>0</v>
      </c>
    </row>
    <row r="120" spans="1:14" x14ac:dyDescent="0.25">
      <c r="A120" s="15"/>
      <c r="B120" s="15"/>
      <c r="C120">
        <v>35</v>
      </c>
      <c r="D120">
        <v>313.625</v>
      </c>
      <c r="E120">
        <v>168.875</v>
      </c>
      <c r="F120">
        <v>803.7</v>
      </c>
      <c r="G120">
        <v>1058.4000000000001</v>
      </c>
      <c r="H120">
        <v>0</v>
      </c>
      <c r="I120">
        <v>152</v>
      </c>
      <c r="J120">
        <v>56</v>
      </c>
      <c r="K120" s="10">
        <v>22.91</v>
      </c>
      <c r="L120" s="2">
        <f t="shared" si="2"/>
        <v>336.94823999999994</v>
      </c>
      <c r="M120" s="2">
        <f t="shared" si="3"/>
        <v>148.55474999999998</v>
      </c>
      <c r="N120">
        <v>0</v>
      </c>
    </row>
    <row r="121" spans="1:14" x14ac:dyDescent="0.25">
      <c r="A121" s="15"/>
      <c r="B121" s="15"/>
      <c r="C121">
        <v>35</v>
      </c>
      <c r="D121">
        <v>313.625</v>
      </c>
      <c r="E121">
        <v>168.875</v>
      </c>
      <c r="F121">
        <v>803.7</v>
      </c>
      <c r="G121">
        <v>1058.4000000000001</v>
      </c>
      <c r="H121">
        <v>0</v>
      </c>
      <c r="I121">
        <v>152</v>
      </c>
      <c r="J121">
        <v>90</v>
      </c>
      <c r="K121" s="10">
        <v>22.06</v>
      </c>
      <c r="L121" s="2">
        <f t="shared" si="2"/>
        <v>336.94823999999994</v>
      </c>
      <c r="M121" s="2">
        <f t="shared" si="3"/>
        <v>148.55474999999998</v>
      </c>
      <c r="N121">
        <v>0</v>
      </c>
    </row>
    <row r="122" spans="1:14" x14ac:dyDescent="0.25">
      <c r="A122" s="15"/>
      <c r="B122" s="15"/>
      <c r="C122">
        <v>40</v>
      </c>
      <c r="D122">
        <v>289.5</v>
      </c>
      <c r="E122">
        <v>193</v>
      </c>
      <c r="F122">
        <v>803.7</v>
      </c>
      <c r="G122">
        <v>1058.4000000000001</v>
      </c>
      <c r="H122">
        <v>0</v>
      </c>
      <c r="I122">
        <v>152</v>
      </c>
      <c r="J122">
        <v>7</v>
      </c>
      <c r="K122" s="10">
        <v>19.420000000000002</v>
      </c>
      <c r="L122" s="2">
        <f t="shared" si="2"/>
        <v>319.33698999999996</v>
      </c>
      <c r="M122" s="2">
        <f t="shared" si="3"/>
        <v>139.50787499999998</v>
      </c>
      <c r="N122">
        <v>0</v>
      </c>
    </row>
    <row r="123" spans="1:14" x14ac:dyDescent="0.25">
      <c r="A123" s="15"/>
      <c r="B123" s="15"/>
      <c r="C123">
        <v>40</v>
      </c>
      <c r="D123">
        <v>289.5</v>
      </c>
      <c r="E123">
        <v>193</v>
      </c>
      <c r="F123">
        <v>803.7</v>
      </c>
      <c r="G123">
        <v>1058.4000000000001</v>
      </c>
      <c r="H123">
        <v>0</v>
      </c>
      <c r="I123">
        <v>152</v>
      </c>
      <c r="J123">
        <v>14</v>
      </c>
      <c r="K123" s="10">
        <v>17.66</v>
      </c>
      <c r="L123" s="2">
        <f t="shared" si="2"/>
        <v>319.33698999999996</v>
      </c>
      <c r="M123" s="2">
        <f t="shared" si="3"/>
        <v>139.50787499999998</v>
      </c>
      <c r="N123">
        <v>0</v>
      </c>
    </row>
    <row r="124" spans="1:14" x14ac:dyDescent="0.25">
      <c r="A124" s="15"/>
      <c r="B124" s="15"/>
      <c r="C124">
        <v>40</v>
      </c>
      <c r="D124">
        <v>289.5</v>
      </c>
      <c r="E124">
        <v>193</v>
      </c>
      <c r="F124">
        <v>803.7</v>
      </c>
      <c r="G124">
        <v>1058.4000000000001</v>
      </c>
      <c r="H124">
        <v>0</v>
      </c>
      <c r="I124">
        <v>152</v>
      </c>
      <c r="J124">
        <v>56</v>
      </c>
      <c r="K124" s="10">
        <v>19.760000000000002</v>
      </c>
      <c r="L124" s="2">
        <f t="shared" si="2"/>
        <v>319.33698999999996</v>
      </c>
      <c r="M124" s="2">
        <f t="shared" si="3"/>
        <v>139.50787499999998</v>
      </c>
      <c r="N124">
        <v>0</v>
      </c>
    </row>
    <row r="125" spans="1:14" x14ac:dyDescent="0.25">
      <c r="A125" s="15"/>
      <c r="B125" s="15"/>
      <c r="C125">
        <v>40</v>
      </c>
      <c r="D125">
        <v>289.5</v>
      </c>
      <c r="E125">
        <v>193</v>
      </c>
      <c r="F125">
        <v>803.7</v>
      </c>
      <c r="G125">
        <v>1058.4000000000001</v>
      </c>
      <c r="H125">
        <v>0</v>
      </c>
      <c r="I125">
        <v>152</v>
      </c>
      <c r="J125">
        <v>90</v>
      </c>
      <c r="K125" s="10">
        <v>22.8</v>
      </c>
      <c r="L125" s="2">
        <f t="shared" si="2"/>
        <v>319.33698999999996</v>
      </c>
      <c r="M125" s="2">
        <f t="shared" si="3"/>
        <v>139.50787499999998</v>
      </c>
      <c r="N125">
        <v>0</v>
      </c>
    </row>
    <row r="126" spans="1:14" x14ac:dyDescent="0.25">
      <c r="A126" s="15"/>
      <c r="B126" s="15"/>
      <c r="C126">
        <v>45</v>
      </c>
      <c r="D126">
        <v>265.375</v>
      </c>
      <c r="E126">
        <v>217.125</v>
      </c>
      <c r="F126">
        <v>803.7</v>
      </c>
      <c r="G126">
        <v>1058.4000000000001</v>
      </c>
      <c r="H126">
        <v>0</v>
      </c>
      <c r="I126">
        <v>152</v>
      </c>
      <c r="J126">
        <v>7</v>
      </c>
      <c r="K126" s="10">
        <v>16.84</v>
      </c>
      <c r="L126" s="2">
        <f t="shared" si="2"/>
        <v>301.72573999999997</v>
      </c>
      <c r="M126" s="2">
        <f t="shared" si="3"/>
        <v>130.46099999999998</v>
      </c>
      <c r="N126">
        <v>0</v>
      </c>
    </row>
    <row r="127" spans="1:14" x14ac:dyDescent="0.25">
      <c r="A127" s="15"/>
      <c r="B127" s="15"/>
      <c r="C127">
        <v>45</v>
      </c>
      <c r="D127">
        <v>265.375</v>
      </c>
      <c r="E127">
        <v>217.125</v>
      </c>
      <c r="F127">
        <v>803.7</v>
      </c>
      <c r="G127">
        <v>1058.4000000000001</v>
      </c>
      <c r="H127">
        <v>0</v>
      </c>
      <c r="I127">
        <v>152</v>
      </c>
      <c r="J127">
        <v>14</v>
      </c>
      <c r="K127" s="10">
        <v>20.399999999999999</v>
      </c>
      <c r="L127" s="2">
        <f t="shared" si="2"/>
        <v>301.72573999999997</v>
      </c>
      <c r="M127" s="2">
        <f t="shared" si="3"/>
        <v>130.46099999999998</v>
      </c>
      <c r="N127">
        <v>0</v>
      </c>
    </row>
    <row r="128" spans="1:14" x14ac:dyDescent="0.25">
      <c r="A128" s="15"/>
      <c r="B128" s="15"/>
      <c r="C128">
        <v>45</v>
      </c>
      <c r="D128">
        <v>265.375</v>
      </c>
      <c r="E128">
        <v>217.125</v>
      </c>
      <c r="F128">
        <v>803.7</v>
      </c>
      <c r="G128">
        <v>1058.4000000000001</v>
      </c>
      <c r="H128">
        <v>0</v>
      </c>
      <c r="I128">
        <v>152</v>
      </c>
      <c r="J128">
        <v>56</v>
      </c>
      <c r="K128" s="10">
        <v>19.63</v>
      </c>
      <c r="L128" s="2">
        <f t="shared" si="2"/>
        <v>301.72573999999997</v>
      </c>
      <c r="M128" s="2">
        <f t="shared" si="3"/>
        <v>130.46099999999998</v>
      </c>
      <c r="N128">
        <v>0</v>
      </c>
    </row>
    <row r="129" spans="1:14" x14ac:dyDescent="0.25">
      <c r="A129" s="15"/>
      <c r="B129" s="15"/>
      <c r="C129">
        <v>45</v>
      </c>
      <c r="D129">
        <v>265.375</v>
      </c>
      <c r="E129">
        <v>217.125</v>
      </c>
      <c r="F129">
        <v>803.7</v>
      </c>
      <c r="G129">
        <v>1058.4000000000001</v>
      </c>
      <c r="H129">
        <v>0</v>
      </c>
      <c r="I129">
        <v>152</v>
      </c>
      <c r="J129">
        <v>90</v>
      </c>
      <c r="K129" s="10">
        <v>16.399999999999999</v>
      </c>
      <c r="L129" s="2">
        <f t="shared" si="2"/>
        <v>301.72573999999997</v>
      </c>
      <c r="M129" s="2">
        <f t="shared" si="3"/>
        <v>130.46099999999998</v>
      </c>
      <c r="N129">
        <v>0</v>
      </c>
    </row>
    <row r="130" spans="1:14" x14ac:dyDescent="0.25">
      <c r="A130" s="15"/>
      <c r="B130" s="15"/>
      <c r="C130">
        <v>50</v>
      </c>
      <c r="D130">
        <v>241.25</v>
      </c>
      <c r="E130">
        <v>241.25</v>
      </c>
      <c r="F130">
        <v>803.7</v>
      </c>
      <c r="G130">
        <v>1058.4000000000001</v>
      </c>
      <c r="H130">
        <v>0</v>
      </c>
      <c r="I130">
        <v>152</v>
      </c>
      <c r="J130">
        <v>7</v>
      </c>
      <c r="K130" s="10">
        <v>12.49</v>
      </c>
      <c r="L130" s="2">
        <f t="shared" ref="L130:L193" si="4">SUM((D130*0.83)+(E130*0.1)+(F130*0.0139)+(G130*0.0459)+(H130*2))</f>
        <v>284.11448999999999</v>
      </c>
      <c r="M130" s="2">
        <f t="shared" si="3"/>
        <v>121.414125</v>
      </c>
      <c r="N130">
        <v>0</v>
      </c>
    </row>
    <row r="131" spans="1:14" x14ac:dyDescent="0.25">
      <c r="A131" s="15"/>
      <c r="B131" s="15"/>
      <c r="C131">
        <v>50</v>
      </c>
      <c r="D131">
        <v>241.25</v>
      </c>
      <c r="E131">
        <v>241.25</v>
      </c>
      <c r="F131">
        <v>803.7</v>
      </c>
      <c r="G131">
        <v>1058.4000000000001</v>
      </c>
      <c r="H131">
        <v>0</v>
      </c>
      <c r="I131">
        <v>152</v>
      </c>
      <c r="J131">
        <v>14</v>
      </c>
      <c r="K131" s="10">
        <v>16.03</v>
      </c>
      <c r="L131" s="2">
        <f t="shared" si="4"/>
        <v>284.11448999999999</v>
      </c>
      <c r="M131" s="2">
        <f t="shared" ref="M131:M194" si="5">SUM((D131*5)+((F131*0.25)+(G131*0.2)+(H131*20)))*0.075</f>
        <v>121.414125</v>
      </c>
      <c r="N131">
        <v>0</v>
      </c>
    </row>
    <row r="132" spans="1:14" x14ac:dyDescent="0.25">
      <c r="A132" s="15"/>
      <c r="B132" s="15"/>
      <c r="C132">
        <v>50</v>
      </c>
      <c r="D132">
        <v>241.25</v>
      </c>
      <c r="E132">
        <v>241.25</v>
      </c>
      <c r="F132">
        <v>803.7</v>
      </c>
      <c r="G132">
        <v>1058.4000000000001</v>
      </c>
      <c r="H132">
        <v>0</v>
      </c>
      <c r="I132">
        <v>152</v>
      </c>
      <c r="J132">
        <v>56</v>
      </c>
      <c r="K132" s="10">
        <v>19.149999999999999</v>
      </c>
      <c r="L132" s="2">
        <f t="shared" si="4"/>
        <v>284.11448999999999</v>
      </c>
      <c r="M132" s="2">
        <f t="shared" si="5"/>
        <v>121.414125</v>
      </c>
      <c r="N132">
        <v>0</v>
      </c>
    </row>
    <row r="133" spans="1:14" x14ac:dyDescent="0.25">
      <c r="A133" s="15"/>
      <c r="B133" s="15"/>
      <c r="C133">
        <v>50</v>
      </c>
      <c r="D133">
        <v>241.25</v>
      </c>
      <c r="E133">
        <v>241.25</v>
      </c>
      <c r="F133">
        <v>803.7</v>
      </c>
      <c r="G133">
        <v>1058.4000000000001</v>
      </c>
      <c r="H133">
        <v>0</v>
      </c>
      <c r="I133">
        <v>152</v>
      </c>
      <c r="J133">
        <v>90</v>
      </c>
      <c r="K133" s="10">
        <v>21.81</v>
      </c>
      <c r="L133" s="2">
        <f t="shared" si="4"/>
        <v>284.11448999999999</v>
      </c>
      <c r="M133" s="2">
        <f t="shared" si="5"/>
        <v>121.414125</v>
      </c>
      <c r="N133">
        <v>0</v>
      </c>
    </row>
    <row r="134" spans="1:14" x14ac:dyDescent="0.25">
      <c r="A134" s="15" t="s">
        <v>82</v>
      </c>
      <c r="B134" s="15" t="s">
        <v>83</v>
      </c>
      <c r="C134">
        <v>0</v>
      </c>
      <c r="D134">
        <v>505.7</v>
      </c>
      <c r="E134">
        <v>0</v>
      </c>
      <c r="F134">
        <v>727.3</v>
      </c>
      <c r="G134">
        <v>1089</v>
      </c>
      <c r="H134">
        <v>0</v>
      </c>
      <c r="I134">
        <v>194.7</v>
      </c>
      <c r="J134">
        <v>14</v>
      </c>
      <c r="K134" s="10">
        <v>23.58</v>
      </c>
      <c r="L134" s="2">
        <f t="shared" si="4"/>
        <v>479.82556999999997</v>
      </c>
      <c r="M134" s="2">
        <f t="shared" si="5"/>
        <v>219.609375</v>
      </c>
      <c r="N134">
        <v>0</v>
      </c>
    </row>
    <row r="135" spans="1:14" x14ac:dyDescent="0.25">
      <c r="A135" s="15"/>
      <c r="B135" s="15"/>
      <c r="C135">
        <v>0</v>
      </c>
      <c r="D135">
        <v>505.7</v>
      </c>
      <c r="E135">
        <v>0</v>
      </c>
      <c r="F135">
        <v>727.3</v>
      </c>
      <c r="G135">
        <v>1089</v>
      </c>
      <c r="H135">
        <v>0</v>
      </c>
      <c r="I135">
        <v>194.7</v>
      </c>
      <c r="J135">
        <v>56</v>
      </c>
      <c r="K135" s="10">
        <v>29.97</v>
      </c>
      <c r="L135" s="2">
        <f t="shared" si="4"/>
        <v>479.82556999999997</v>
      </c>
      <c r="M135" s="2">
        <f t="shared" si="5"/>
        <v>219.609375</v>
      </c>
      <c r="N135">
        <v>0</v>
      </c>
    </row>
    <row r="136" spans="1:14" x14ac:dyDescent="0.25">
      <c r="A136" s="15"/>
      <c r="B136" s="15"/>
      <c r="C136">
        <v>0</v>
      </c>
      <c r="D136">
        <v>505.7</v>
      </c>
      <c r="E136">
        <v>0</v>
      </c>
      <c r="F136">
        <v>727.3</v>
      </c>
      <c r="G136">
        <v>1089</v>
      </c>
      <c r="H136">
        <v>0</v>
      </c>
      <c r="I136">
        <v>194.7</v>
      </c>
      <c r="J136">
        <v>90</v>
      </c>
      <c r="K136" s="10">
        <v>27.85</v>
      </c>
      <c r="L136" s="2">
        <f t="shared" si="4"/>
        <v>479.82556999999997</v>
      </c>
      <c r="M136" s="2">
        <f t="shared" si="5"/>
        <v>219.609375</v>
      </c>
      <c r="N136">
        <v>0</v>
      </c>
    </row>
    <row r="137" spans="1:14" x14ac:dyDescent="0.25">
      <c r="A137" s="15"/>
      <c r="B137" s="15"/>
      <c r="C137">
        <v>5</v>
      </c>
      <c r="D137">
        <v>480.41500000000002</v>
      </c>
      <c r="E137">
        <v>25.285</v>
      </c>
      <c r="F137">
        <v>727.3</v>
      </c>
      <c r="G137">
        <v>1089</v>
      </c>
      <c r="H137">
        <v>0</v>
      </c>
      <c r="I137">
        <v>194.7</v>
      </c>
      <c r="J137">
        <v>14</v>
      </c>
      <c r="K137" s="10">
        <v>22.2</v>
      </c>
      <c r="L137" s="2">
        <f t="shared" si="4"/>
        <v>461.36751999999996</v>
      </c>
      <c r="M137" s="2">
        <f t="shared" si="5"/>
        <v>210.12750000000003</v>
      </c>
      <c r="N137">
        <v>0</v>
      </c>
    </row>
    <row r="138" spans="1:14" x14ac:dyDescent="0.25">
      <c r="A138" s="15"/>
      <c r="B138" s="15"/>
      <c r="C138">
        <v>5</v>
      </c>
      <c r="D138">
        <v>480.41500000000002</v>
      </c>
      <c r="E138">
        <v>25.285</v>
      </c>
      <c r="F138">
        <v>727.3</v>
      </c>
      <c r="G138">
        <v>1089</v>
      </c>
      <c r="H138">
        <v>0</v>
      </c>
      <c r="I138">
        <v>194.7</v>
      </c>
      <c r="J138">
        <v>56</v>
      </c>
      <c r="K138" s="10">
        <v>27.99</v>
      </c>
      <c r="L138" s="2">
        <f t="shared" si="4"/>
        <v>461.36751999999996</v>
      </c>
      <c r="M138" s="2">
        <f t="shared" si="5"/>
        <v>210.12750000000003</v>
      </c>
      <c r="N138">
        <v>0</v>
      </c>
    </row>
    <row r="139" spans="1:14" x14ac:dyDescent="0.25">
      <c r="A139" s="15"/>
      <c r="B139" s="15"/>
      <c r="C139">
        <v>5</v>
      </c>
      <c r="D139">
        <v>480.41500000000002</v>
      </c>
      <c r="E139">
        <v>25.285</v>
      </c>
      <c r="F139">
        <v>727.3</v>
      </c>
      <c r="G139">
        <v>1089</v>
      </c>
      <c r="H139">
        <v>0</v>
      </c>
      <c r="I139">
        <v>194.7</v>
      </c>
      <c r="J139">
        <v>90</v>
      </c>
      <c r="K139" s="10">
        <v>30.69</v>
      </c>
      <c r="L139" s="2">
        <f t="shared" si="4"/>
        <v>461.36751999999996</v>
      </c>
      <c r="M139" s="2">
        <f t="shared" si="5"/>
        <v>210.12750000000003</v>
      </c>
      <c r="N139">
        <v>0</v>
      </c>
    </row>
    <row r="140" spans="1:14" x14ac:dyDescent="0.25">
      <c r="A140" s="15"/>
      <c r="B140" s="15"/>
      <c r="C140">
        <v>10</v>
      </c>
      <c r="D140">
        <v>455.13</v>
      </c>
      <c r="E140">
        <v>50.57</v>
      </c>
      <c r="F140">
        <v>727.3</v>
      </c>
      <c r="G140">
        <v>1089</v>
      </c>
      <c r="H140">
        <v>0</v>
      </c>
      <c r="I140">
        <v>194.7</v>
      </c>
      <c r="J140">
        <v>14</v>
      </c>
      <c r="K140" s="10">
        <v>21.17</v>
      </c>
      <c r="L140" s="2">
        <f t="shared" si="4"/>
        <v>442.90946999999994</v>
      </c>
      <c r="M140" s="2">
        <f t="shared" si="5"/>
        <v>200.645625</v>
      </c>
      <c r="N140">
        <v>0</v>
      </c>
    </row>
    <row r="141" spans="1:14" x14ac:dyDescent="0.25">
      <c r="A141" s="15"/>
      <c r="B141" s="15"/>
      <c r="C141">
        <v>10</v>
      </c>
      <c r="D141">
        <v>455.13</v>
      </c>
      <c r="E141">
        <v>50.57</v>
      </c>
      <c r="F141">
        <v>727.3</v>
      </c>
      <c r="G141">
        <v>1089</v>
      </c>
      <c r="H141">
        <v>0</v>
      </c>
      <c r="I141">
        <v>194.7</v>
      </c>
      <c r="J141">
        <v>56</v>
      </c>
      <c r="K141" s="10">
        <v>24.46</v>
      </c>
      <c r="L141" s="2">
        <f t="shared" si="4"/>
        <v>442.90946999999994</v>
      </c>
      <c r="M141" s="2">
        <f t="shared" si="5"/>
        <v>200.645625</v>
      </c>
      <c r="N141">
        <v>0</v>
      </c>
    </row>
    <row r="142" spans="1:14" x14ac:dyDescent="0.25">
      <c r="A142" s="15"/>
      <c r="B142" s="15"/>
      <c r="C142">
        <v>10</v>
      </c>
      <c r="D142">
        <v>455.13</v>
      </c>
      <c r="E142">
        <v>50.57</v>
      </c>
      <c r="F142">
        <v>727.3</v>
      </c>
      <c r="G142">
        <v>1089</v>
      </c>
      <c r="H142">
        <v>0</v>
      </c>
      <c r="I142">
        <v>194.7</v>
      </c>
      <c r="J142">
        <v>90</v>
      </c>
      <c r="K142" s="10">
        <v>29.86</v>
      </c>
      <c r="L142" s="2">
        <f t="shared" si="4"/>
        <v>442.90946999999994</v>
      </c>
      <c r="M142" s="2">
        <f t="shared" si="5"/>
        <v>200.645625</v>
      </c>
      <c r="N142">
        <v>0</v>
      </c>
    </row>
    <row r="143" spans="1:14" x14ac:dyDescent="0.25">
      <c r="A143" s="15"/>
      <c r="B143" s="15"/>
      <c r="C143">
        <v>15</v>
      </c>
      <c r="D143">
        <v>429.84500000000003</v>
      </c>
      <c r="E143">
        <v>75.855000000000004</v>
      </c>
      <c r="F143">
        <v>727.3</v>
      </c>
      <c r="G143">
        <v>1089</v>
      </c>
      <c r="H143">
        <v>0</v>
      </c>
      <c r="I143">
        <v>194.7</v>
      </c>
      <c r="J143">
        <v>14</v>
      </c>
      <c r="K143" s="10">
        <v>21.94</v>
      </c>
      <c r="L143" s="2">
        <f t="shared" si="4"/>
        <v>424.45141999999998</v>
      </c>
      <c r="M143" s="2">
        <f t="shared" si="5"/>
        <v>191.16375000000002</v>
      </c>
      <c r="N143">
        <v>0</v>
      </c>
    </row>
    <row r="144" spans="1:14" x14ac:dyDescent="0.25">
      <c r="A144" s="15"/>
      <c r="B144" s="15"/>
      <c r="C144">
        <v>15</v>
      </c>
      <c r="D144">
        <v>429.84500000000003</v>
      </c>
      <c r="E144">
        <v>75.855000000000004</v>
      </c>
      <c r="F144">
        <v>727.3</v>
      </c>
      <c r="G144">
        <v>1089</v>
      </c>
      <c r="H144">
        <v>0</v>
      </c>
      <c r="I144">
        <v>194.7</v>
      </c>
      <c r="J144">
        <v>56</v>
      </c>
      <c r="K144" s="10">
        <v>23.09</v>
      </c>
      <c r="L144" s="2">
        <f t="shared" si="4"/>
        <v>424.45141999999998</v>
      </c>
      <c r="M144" s="2">
        <f t="shared" si="5"/>
        <v>191.16375000000002</v>
      </c>
      <c r="N144">
        <v>0</v>
      </c>
    </row>
    <row r="145" spans="1:14" x14ac:dyDescent="0.25">
      <c r="A145" s="15"/>
      <c r="B145" s="15"/>
      <c r="C145">
        <v>15</v>
      </c>
      <c r="D145">
        <v>429.84500000000003</v>
      </c>
      <c r="E145">
        <v>75.855000000000004</v>
      </c>
      <c r="F145">
        <v>727.3</v>
      </c>
      <c r="G145">
        <v>1089</v>
      </c>
      <c r="H145">
        <v>0</v>
      </c>
      <c r="I145">
        <v>194.7</v>
      </c>
      <c r="J145">
        <v>90</v>
      </c>
      <c r="K145" s="10">
        <v>28.17</v>
      </c>
      <c r="L145" s="2">
        <f t="shared" si="4"/>
        <v>424.45141999999998</v>
      </c>
      <c r="M145" s="2">
        <f t="shared" si="5"/>
        <v>191.16375000000002</v>
      </c>
      <c r="N145">
        <v>0</v>
      </c>
    </row>
    <row r="146" spans="1:14" x14ac:dyDescent="0.25">
      <c r="A146" s="15"/>
      <c r="B146" s="15"/>
      <c r="C146">
        <v>20</v>
      </c>
      <c r="D146">
        <v>404.56</v>
      </c>
      <c r="E146">
        <v>101.14</v>
      </c>
      <c r="F146">
        <v>727.3</v>
      </c>
      <c r="G146">
        <v>1089</v>
      </c>
      <c r="H146">
        <v>0</v>
      </c>
      <c r="I146">
        <v>194.7</v>
      </c>
      <c r="J146">
        <v>14</v>
      </c>
      <c r="K146" s="10">
        <v>22.6</v>
      </c>
      <c r="L146" s="2">
        <f t="shared" si="4"/>
        <v>405.99336999999991</v>
      </c>
      <c r="M146" s="2">
        <f t="shared" si="5"/>
        <v>181.68187500000002</v>
      </c>
      <c r="N146">
        <v>0</v>
      </c>
    </row>
    <row r="147" spans="1:14" x14ac:dyDescent="0.25">
      <c r="A147" s="15"/>
      <c r="B147" s="15"/>
      <c r="C147">
        <v>20</v>
      </c>
      <c r="D147">
        <v>404.56</v>
      </c>
      <c r="E147">
        <v>101.14</v>
      </c>
      <c r="F147">
        <v>727.3</v>
      </c>
      <c r="G147">
        <v>1089</v>
      </c>
      <c r="H147">
        <v>0</v>
      </c>
      <c r="I147">
        <v>194.7</v>
      </c>
      <c r="J147">
        <v>56</v>
      </c>
      <c r="K147" s="10">
        <v>23.82</v>
      </c>
      <c r="L147" s="2">
        <f t="shared" si="4"/>
        <v>405.99336999999991</v>
      </c>
      <c r="M147" s="2">
        <f t="shared" si="5"/>
        <v>181.68187500000002</v>
      </c>
      <c r="N147">
        <v>0</v>
      </c>
    </row>
    <row r="148" spans="1:14" x14ac:dyDescent="0.25">
      <c r="A148" s="15"/>
      <c r="B148" s="15"/>
      <c r="C148">
        <v>20</v>
      </c>
      <c r="D148">
        <v>404.56</v>
      </c>
      <c r="E148">
        <v>101.14</v>
      </c>
      <c r="F148">
        <v>727.3</v>
      </c>
      <c r="G148">
        <v>1089</v>
      </c>
      <c r="H148">
        <v>0</v>
      </c>
      <c r="I148">
        <v>194.7</v>
      </c>
      <c r="J148">
        <v>90</v>
      </c>
      <c r="K148" s="10">
        <v>24.76</v>
      </c>
      <c r="L148" s="2">
        <f t="shared" si="4"/>
        <v>405.99336999999991</v>
      </c>
      <c r="M148" s="2">
        <f t="shared" si="5"/>
        <v>181.68187500000002</v>
      </c>
      <c r="N148">
        <v>0</v>
      </c>
    </row>
    <row r="149" spans="1:14" x14ac:dyDescent="0.25">
      <c r="A149" s="15"/>
      <c r="B149" s="15"/>
      <c r="C149">
        <v>25</v>
      </c>
      <c r="D149">
        <v>379.27499999999998</v>
      </c>
      <c r="E149">
        <v>126.425</v>
      </c>
      <c r="F149">
        <v>727.3</v>
      </c>
      <c r="G149">
        <v>1089</v>
      </c>
      <c r="H149">
        <v>0</v>
      </c>
      <c r="I149">
        <v>194.7</v>
      </c>
      <c r="J149">
        <v>14</v>
      </c>
      <c r="K149" s="10">
        <v>19.63</v>
      </c>
      <c r="L149" s="2">
        <f t="shared" si="4"/>
        <v>387.5353199999999</v>
      </c>
      <c r="M149" s="2">
        <f t="shared" si="5"/>
        <v>172.2</v>
      </c>
      <c r="N149">
        <v>0</v>
      </c>
    </row>
    <row r="150" spans="1:14" x14ac:dyDescent="0.25">
      <c r="A150" s="15"/>
      <c r="B150" s="15"/>
      <c r="C150">
        <v>25</v>
      </c>
      <c r="D150">
        <v>379.27499999999998</v>
      </c>
      <c r="E150">
        <v>126.425</v>
      </c>
      <c r="F150">
        <v>727.3</v>
      </c>
      <c r="G150">
        <v>1089</v>
      </c>
      <c r="H150">
        <v>0</v>
      </c>
      <c r="I150">
        <v>194.7</v>
      </c>
      <c r="J150">
        <v>56</v>
      </c>
      <c r="K150" s="10">
        <v>19.18</v>
      </c>
      <c r="L150" s="2">
        <f t="shared" si="4"/>
        <v>387.5353199999999</v>
      </c>
      <c r="M150" s="2">
        <f t="shared" si="5"/>
        <v>172.2</v>
      </c>
      <c r="N150">
        <v>0</v>
      </c>
    </row>
    <row r="151" spans="1:14" x14ac:dyDescent="0.25">
      <c r="A151" s="15"/>
      <c r="B151" s="15"/>
      <c r="C151">
        <v>25</v>
      </c>
      <c r="D151">
        <v>379.27499999999998</v>
      </c>
      <c r="E151">
        <v>126.425</v>
      </c>
      <c r="F151">
        <v>727.3</v>
      </c>
      <c r="G151">
        <v>1089</v>
      </c>
      <c r="H151">
        <v>0</v>
      </c>
      <c r="I151">
        <v>194.7</v>
      </c>
      <c r="J151">
        <v>90</v>
      </c>
      <c r="K151" s="10">
        <v>26.43</v>
      </c>
      <c r="L151" s="2">
        <f t="shared" si="4"/>
        <v>387.5353199999999</v>
      </c>
      <c r="M151" s="2">
        <f t="shared" si="5"/>
        <v>172.2</v>
      </c>
      <c r="N151">
        <v>0</v>
      </c>
    </row>
    <row r="152" spans="1:14" x14ac:dyDescent="0.25">
      <c r="A152" s="15"/>
      <c r="B152" s="15"/>
      <c r="C152">
        <v>30</v>
      </c>
      <c r="D152">
        <v>353.99</v>
      </c>
      <c r="E152">
        <v>151.71</v>
      </c>
      <c r="F152">
        <v>727.3</v>
      </c>
      <c r="G152">
        <v>1089</v>
      </c>
      <c r="H152">
        <v>0</v>
      </c>
      <c r="I152">
        <v>194.7</v>
      </c>
      <c r="J152">
        <v>14</v>
      </c>
      <c r="K152" s="10">
        <v>17.73</v>
      </c>
      <c r="L152" s="2">
        <f t="shared" si="4"/>
        <v>369.07726999999994</v>
      </c>
      <c r="M152" s="2">
        <f t="shared" si="5"/>
        <v>162.71812499999999</v>
      </c>
      <c r="N152">
        <v>0</v>
      </c>
    </row>
    <row r="153" spans="1:14" x14ac:dyDescent="0.25">
      <c r="A153" s="15"/>
      <c r="B153" s="15"/>
      <c r="C153">
        <v>30</v>
      </c>
      <c r="D153">
        <v>353.99</v>
      </c>
      <c r="E153">
        <v>151.71</v>
      </c>
      <c r="F153">
        <v>727.3</v>
      </c>
      <c r="G153">
        <v>1089</v>
      </c>
      <c r="H153">
        <v>0</v>
      </c>
      <c r="I153">
        <v>194.7</v>
      </c>
      <c r="J153">
        <v>56</v>
      </c>
      <c r="K153" s="10">
        <v>23.68</v>
      </c>
      <c r="L153" s="2">
        <f t="shared" si="4"/>
        <v>369.07726999999994</v>
      </c>
      <c r="M153" s="2">
        <f t="shared" si="5"/>
        <v>162.71812499999999</v>
      </c>
      <c r="N153">
        <v>0</v>
      </c>
    </row>
    <row r="154" spans="1:14" x14ac:dyDescent="0.25">
      <c r="A154" s="15"/>
      <c r="B154" s="15"/>
      <c r="C154">
        <v>30</v>
      </c>
      <c r="D154">
        <v>353.99</v>
      </c>
      <c r="E154">
        <v>151.71</v>
      </c>
      <c r="F154">
        <v>727.3</v>
      </c>
      <c r="G154">
        <v>1089</v>
      </c>
      <c r="H154">
        <v>0</v>
      </c>
      <c r="I154">
        <v>194.7</v>
      </c>
      <c r="J154">
        <v>90</v>
      </c>
      <c r="K154" s="10">
        <v>20.25</v>
      </c>
      <c r="L154" s="2">
        <f t="shared" si="4"/>
        <v>369.07726999999994</v>
      </c>
      <c r="M154" s="2">
        <f t="shared" si="5"/>
        <v>162.71812499999999</v>
      </c>
      <c r="N154">
        <v>0</v>
      </c>
    </row>
    <row r="155" spans="1:14" x14ac:dyDescent="0.25">
      <c r="A155" s="15"/>
      <c r="B155" s="15"/>
      <c r="C155">
        <v>35</v>
      </c>
      <c r="D155">
        <v>328.70499999999998</v>
      </c>
      <c r="E155">
        <v>176.995</v>
      </c>
      <c r="F155">
        <v>727.3</v>
      </c>
      <c r="G155">
        <v>1089</v>
      </c>
      <c r="H155">
        <v>0</v>
      </c>
      <c r="I155">
        <v>194.7</v>
      </c>
      <c r="J155">
        <v>14</v>
      </c>
      <c r="K155" s="10">
        <v>18.170000000000002</v>
      </c>
      <c r="L155" s="2">
        <f t="shared" si="4"/>
        <v>350.61921999999993</v>
      </c>
      <c r="M155" s="2">
        <f t="shared" si="5"/>
        <v>153.23624999999998</v>
      </c>
      <c r="N155">
        <v>0</v>
      </c>
    </row>
    <row r="156" spans="1:14" x14ac:dyDescent="0.25">
      <c r="A156" s="15"/>
      <c r="B156" s="15"/>
      <c r="C156">
        <v>35</v>
      </c>
      <c r="D156">
        <v>328.70499999999998</v>
      </c>
      <c r="E156">
        <v>176.995</v>
      </c>
      <c r="F156">
        <v>727.3</v>
      </c>
      <c r="G156">
        <v>1089</v>
      </c>
      <c r="H156">
        <v>0</v>
      </c>
      <c r="I156">
        <v>194.7</v>
      </c>
      <c r="J156">
        <v>56</v>
      </c>
      <c r="K156" s="10">
        <v>27.25</v>
      </c>
      <c r="L156" s="2">
        <f t="shared" si="4"/>
        <v>350.61921999999993</v>
      </c>
      <c r="M156" s="2">
        <f t="shared" si="5"/>
        <v>153.23624999999998</v>
      </c>
      <c r="N156">
        <v>0</v>
      </c>
    </row>
    <row r="157" spans="1:14" x14ac:dyDescent="0.25">
      <c r="A157" s="15"/>
      <c r="B157" s="15"/>
      <c r="C157">
        <v>35</v>
      </c>
      <c r="D157">
        <v>328.70499999999998</v>
      </c>
      <c r="E157">
        <v>176.995</v>
      </c>
      <c r="F157">
        <v>727.3</v>
      </c>
      <c r="G157">
        <v>1089</v>
      </c>
      <c r="H157">
        <v>0</v>
      </c>
      <c r="I157">
        <v>194.7</v>
      </c>
      <c r="J157">
        <v>90</v>
      </c>
      <c r="K157" s="10">
        <v>20.6</v>
      </c>
      <c r="L157" s="2">
        <f t="shared" si="4"/>
        <v>350.61921999999993</v>
      </c>
      <c r="M157" s="2">
        <f t="shared" si="5"/>
        <v>153.23624999999998</v>
      </c>
      <c r="N157">
        <v>0</v>
      </c>
    </row>
    <row r="158" spans="1:14" x14ac:dyDescent="0.25">
      <c r="A158" s="15"/>
      <c r="B158" s="15"/>
      <c r="C158">
        <v>40</v>
      </c>
      <c r="D158">
        <v>303.42</v>
      </c>
      <c r="E158">
        <v>202.28</v>
      </c>
      <c r="F158">
        <v>727.3</v>
      </c>
      <c r="G158">
        <v>1089</v>
      </c>
      <c r="H158">
        <v>0</v>
      </c>
      <c r="I158">
        <v>194.7</v>
      </c>
      <c r="J158">
        <v>14</v>
      </c>
      <c r="K158" s="10">
        <v>20.76</v>
      </c>
      <c r="L158" s="2">
        <f t="shared" si="4"/>
        <v>332.16116999999997</v>
      </c>
      <c r="M158" s="2">
        <f t="shared" si="5"/>
        <v>143.75437500000001</v>
      </c>
      <c r="N158">
        <v>0</v>
      </c>
    </row>
    <row r="159" spans="1:14" x14ac:dyDescent="0.25">
      <c r="A159" s="15"/>
      <c r="B159" s="15"/>
      <c r="C159">
        <v>40</v>
      </c>
      <c r="D159">
        <v>303.42</v>
      </c>
      <c r="E159">
        <v>202.28</v>
      </c>
      <c r="F159">
        <v>727.3</v>
      </c>
      <c r="G159">
        <v>1089</v>
      </c>
      <c r="H159">
        <v>0</v>
      </c>
      <c r="I159">
        <v>194.7</v>
      </c>
      <c r="J159">
        <v>56</v>
      </c>
      <c r="K159" s="10">
        <v>19.59</v>
      </c>
      <c r="L159" s="2">
        <f t="shared" si="4"/>
        <v>332.16116999999997</v>
      </c>
      <c r="M159" s="2">
        <f t="shared" si="5"/>
        <v>143.75437500000001</v>
      </c>
      <c r="N159">
        <v>0</v>
      </c>
    </row>
    <row r="160" spans="1:14" x14ac:dyDescent="0.25">
      <c r="A160" s="15"/>
      <c r="B160" s="15"/>
      <c r="C160">
        <v>40</v>
      </c>
      <c r="D160">
        <v>303.42</v>
      </c>
      <c r="E160">
        <v>202.28</v>
      </c>
      <c r="F160">
        <v>727.3</v>
      </c>
      <c r="G160">
        <v>1089</v>
      </c>
      <c r="H160">
        <v>0</v>
      </c>
      <c r="I160">
        <v>194.7</v>
      </c>
      <c r="J160">
        <v>90</v>
      </c>
      <c r="K160" s="10">
        <v>23.86</v>
      </c>
      <c r="L160" s="2">
        <f t="shared" si="4"/>
        <v>332.16116999999997</v>
      </c>
      <c r="M160" s="2">
        <f t="shared" si="5"/>
        <v>143.75437500000001</v>
      </c>
      <c r="N160">
        <v>0</v>
      </c>
    </row>
    <row r="161" spans="1:14" x14ac:dyDescent="0.25">
      <c r="A161" s="15"/>
      <c r="B161" s="15"/>
      <c r="C161">
        <v>45</v>
      </c>
      <c r="D161">
        <v>278.13499999999999</v>
      </c>
      <c r="E161">
        <v>227.565</v>
      </c>
      <c r="F161">
        <v>727.3</v>
      </c>
      <c r="G161">
        <v>1089</v>
      </c>
      <c r="H161">
        <v>0</v>
      </c>
      <c r="I161">
        <v>194.7</v>
      </c>
      <c r="J161">
        <v>14</v>
      </c>
      <c r="K161" s="10">
        <v>18.16</v>
      </c>
      <c r="L161" s="2">
        <f t="shared" si="4"/>
        <v>313.70311999999996</v>
      </c>
      <c r="M161" s="2">
        <f t="shared" si="5"/>
        <v>134.27249999999998</v>
      </c>
      <c r="N161">
        <v>0</v>
      </c>
    </row>
    <row r="162" spans="1:14" x14ac:dyDescent="0.25">
      <c r="A162" s="15"/>
      <c r="B162" s="15"/>
      <c r="C162">
        <v>45</v>
      </c>
      <c r="D162">
        <v>278.13499999999999</v>
      </c>
      <c r="E162">
        <v>227.565</v>
      </c>
      <c r="F162">
        <v>727.3</v>
      </c>
      <c r="G162">
        <v>1089</v>
      </c>
      <c r="H162">
        <v>0</v>
      </c>
      <c r="I162">
        <v>194.7</v>
      </c>
      <c r="J162">
        <v>56</v>
      </c>
      <c r="K162" s="10">
        <v>22.92</v>
      </c>
      <c r="L162" s="2">
        <f t="shared" si="4"/>
        <v>313.70311999999996</v>
      </c>
      <c r="M162" s="2">
        <f t="shared" si="5"/>
        <v>134.27249999999998</v>
      </c>
      <c r="N162">
        <v>0</v>
      </c>
    </row>
    <row r="163" spans="1:14" x14ac:dyDescent="0.25">
      <c r="A163" s="15"/>
      <c r="B163" s="15"/>
      <c r="C163">
        <v>45</v>
      </c>
      <c r="D163">
        <v>278.13499999999999</v>
      </c>
      <c r="E163">
        <v>227.565</v>
      </c>
      <c r="F163">
        <v>727.3</v>
      </c>
      <c r="G163">
        <v>1089</v>
      </c>
      <c r="H163">
        <v>0</v>
      </c>
      <c r="I163">
        <v>194.7</v>
      </c>
      <c r="J163">
        <v>90</v>
      </c>
      <c r="K163" s="10">
        <v>20.92</v>
      </c>
      <c r="L163" s="2">
        <f t="shared" si="4"/>
        <v>313.70311999999996</v>
      </c>
      <c r="M163" s="2">
        <f t="shared" si="5"/>
        <v>134.27249999999998</v>
      </c>
      <c r="N163">
        <v>0</v>
      </c>
    </row>
    <row r="164" spans="1:14" x14ac:dyDescent="0.25">
      <c r="A164" s="15"/>
      <c r="B164" s="15"/>
      <c r="C164">
        <v>50</v>
      </c>
      <c r="D164">
        <v>252.85</v>
      </c>
      <c r="E164">
        <v>252.85</v>
      </c>
      <c r="F164">
        <v>727.3</v>
      </c>
      <c r="G164">
        <v>1089</v>
      </c>
      <c r="H164">
        <v>0</v>
      </c>
      <c r="I164">
        <v>194.7</v>
      </c>
      <c r="J164">
        <v>14</v>
      </c>
      <c r="K164" s="10">
        <v>14.27</v>
      </c>
      <c r="L164" s="2">
        <f t="shared" si="4"/>
        <v>295.24507</v>
      </c>
      <c r="M164" s="2">
        <f t="shared" si="5"/>
        <v>124.79062499999999</v>
      </c>
      <c r="N164">
        <v>0</v>
      </c>
    </row>
    <row r="165" spans="1:14" x14ac:dyDescent="0.25">
      <c r="A165" s="15"/>
      <c r="B165" s="15"/>
      <c r="C165">
        <v>50</v>
      </c>
      <c r="D165">
        <v>252.85</v>
      </c>
      <c r="E165">
        <v>252.85</v>
      </c>
      <c r="F165">
        <v>727.3</v>
      </c>
      <c r="G165">
        <v>1089</v>
      </c>
      <c r="H165">
        <v>0</v>
      </c>
      <c r="I165">
        <v>194.7</v>
      </c>
      <c r="J165">
        <v>56</v>
      </c>
      <c r="K165" s="10">
        <v>16.97</v>
      </c>
      <c r="L165" s="2">
        <f t="shared" si="4"/>
        <v>295.24507</v>
      </c>
      <c r="M165" s="2">
        <f t="shared" si="5"/>
        <v>124.79062499999999</v>
      </c>
      <c r="N165">
        <v>0</v>
      </c>
    </row>
    <row r="166" spans="1:14" x14ac:dyDescent="0.25">
      <c r="A166" s="15"/>
      <c r="B166" s="15"/>
      <c r="C166">
        <v>50</v>
      </c>
      <c r="D166">
        <v>252.85</v>
      </c>
      <c r="E166">
        <v>252.85</v>
      </c>
      <c r="F166">
        <v>727.3</v>
      </c>
      <c r="G166">
        <v>1089</v>
      </c>
      <c r="H166">
        <v>0</v>
      </c>
      <c r="I166">
        <v>194.7</v>
      </c>
      <c r="J166">
        <v>90</v>
      </c>
      <c r="K166" s="10">
        <v>20.23</v>
      </c>
      <c r="L166" s="2">
        <f t="shared" si="4"/>
        <v>295.24507</v>
      </c>
      <c r="M166" s="2">
        <f t="shared" si="5"/>
        <v>124.79062499999999</v>
      </c>
      <c r="N166">
        <v>0</v>
      </c>
    </row>
    <row r="167" spans="1:14" x14ac:dyDescent="0.25">
      <c r="A167" s="15" t="s">
        <v>84</v>
      </c>
      <c r="B167" s="15" t="s">
        <v>85</v>
      </c>
      <c r="C167">
        <v>0</v>
      </c>
      <c r="D167">
        <v>332.5</v>
      </c>
      <c r="E167">
        <v>0</v>
      </c>
      <c r="F167">
        <v>734.6</v>
      </c>
      <c r="G167">
        <v>1106.5999999999999</v>
      </c>
      <c r="H167">
        <v>0</v>
      </c>
      <c r="I167">
        <v>175.8</v>
      </c>
      <c r="J167">
        <v>14</v>
      </c>
      <c r="K167" s="10">
        <v>24.82</v>
      </c>
      <c r="L167" s="2">
        <f t="shared" si="4"/>
        <v>336.97887999999995</v>
      </c>
      <c r="M167" s="2">
        <f t="shared" si="5"/>
        <v>155.06025000000002</v>
      </c>
      <c r="N167">
        <v>0</v>
      </c>
    </row>
    <row r="168" spans="1:14" x14ac:dyDescent="0.25">
      <c r="A168" s="15"/>
      <c r="B168" s="15"/>
      <c r="C168">
        <v>0</v>
      </c>
      <c r="D168">
        <v>332.5</v>
      </c>
      <c r="E168">
        <v>0</v>
      </c>
      <c r="F168">
        <v>734.6</v>
      </c>
      <c r="G168">
        <v>1106.5999999999999</v>
      </c>
      <c r="H168">
        <v>0</v>
      </c>
      <c r="I168">
        <v>175.8</v>
      </c>
      <c r="J168">
        <v>21</v>
      </c>
      <c r="K168" s="10">
        <v>27.95</v>
      </c>
      <c r="L168" s="2">
        <f t="shared" si="4"/>
        <v>336.97887999999995</v>
      </c>
      <c r="M168" s="2">
        <f t="shared" si="5"/>
        <v>155.06025000000002</v>
      </c>
      <c r="N168">
        <v>0</v>
      </c>
    </row>
    <row r="169" spans="1:14" x14ac:dyDescent="0.25">
      <c r="A169" s="15"/>
      <c r="B169" s="15"/>
      <c r="C169">
        <v>0</v>
      </c>
      <c r="D169">
        <v>332.5</v>
      </c>
      <c r="E169">
        <v>0</v>
      </c>
      <c r="F169">
        <v>734.6</v>
      </c>
      <c r="G169">
        <v>1106.5999999999999</v>
      </c>
      <c r="H169">
        <v>0</v>
      </c>
      <c r="I169">
        <v>175.8</v>
      </c>
      <c r="J169">
        <v>56</v>
      </c>
      <c r="K169" s="10">
        <v>29.93</v>
      </c>
      <c r="L169" s="2">
        <f t="shared" si="4"/>
        <v>336.97887999999995</v>
      </c>
      <c r="M169" s="2">
        <f t="shared" si="5"/>
        <v>155.06025000000002</v>
      </c>
      <c r="N169">
        <v>0</v>
      </c>
    </row>
    <row r="170" spans="1:14" x14ac:dyDescent="0.25">
      <c r="A170" s="15"/>
      <c r="B170" s="15"/>
      <c r="C170">
        <v>0</v>
      </c>
      <c r="D170">
        <v>332.5</v>
      </c>
      <c r="E170">
        <v>0</v>
      </c>
      <c r="F170">
        <v>734.6</v>
      </c>
      <c r="G170">
        <v>1106.5999999999999</v>
      </c>
      <c r="H170">
        <v>0</v>
      </c>
      <c r="I170">
        <v>175.8</v>
      </c>
      <c r="J170">
        <v>90</v>
      </c>
      <c r="K170" s="10">
        <v>29.03</v>
      </c>
      <c r="L170" s="2">
        <f t="shared" si="4"/>
        <v>336.97887999999995</v>
      </c>
      <c r="M170" s="2">
        <f t="shared" si="5"/>
        <v>155.06025000000002</v>
      </c>
      <c r="N170">
        <v>0</v>
      </c>
    </row>
    <row r="171" spans="1:14" x14ac:dyDescent="0.25">
      <c r="A171" s="15"/>
      <c r="B171" s="15"/>
      <c r="C171">
        <v>5</v>
      </c>
      <c r="D171">
        <v>315.875</v>
      </c>
      <c r="E171">
        <v>16.625</v>
      </c>
      <c r="F171">
        <v>734.6</v>
      </c>
      <c r="G171">
        <v>1106.5999999999999</v>
      </c>
      <c r="H171">
        <v>0</v>
      </c>
      <c r="I171">
        <v>175.8</v>
      </c>
      <c r="J171">
        <v>14</v>
      </c>
      <c r="K171" s="10">
        <v>21.71</v>
      </c>
      <c r="L171" s="2">
        <f t="shared" si="4"/>
        <v>324.84262999999999</v>
      </c>
      <c r="M171" s="2">
        <f t="shared" si="5"/>
        <v>148.825875</v>
      </c>
      <c r="N171">
        <v>0</v>
      </c>
    </row>
    <row r="172" spans="1:14" x14ac:dyDescent="0.25">
      <c r="A172" s="15"/>
      <c r="B172" s="15"/>
      <c r="C172">
        <v>5</v>
      </c>
      <c r="D172">
        <v>315.875</v>
      </c>
      <c r="E172">
        <v>16.625</v>
      </c>
      <c r="F172">
        <v>734.6</v>
      </c>
      <c r="G172">
        <v>1106.5999999999999</v>
      </c>
      <c r="H172">
        <v>0</v>
      </c>
      <c r="I172">
        <v>175.8</v>
      </c>
      <c r="J172">
        <v>21</v>
      </c>
      <c r="K172" s="10">
        <v>24.64</v>
      </c>
      <c r="L172" s="2">
        <f t="shared" si="4"/>
        <v>324.84262999999999</v>
      </c>
      <c r="M172" s="2">
        <f t="shared" si="5"/>
        <v>148.825875</v>
      </c>
      <c r="N172">
        <v>0</v>
      </c>
    </row>
    <row r="173" spans="1:14" x14ac:dyDescent="0.25">
      <c r="A173" s="15"/>
      <c r="B173" s="15"/>
      <c r="C173">
        <v>5</v>
      </c>
      <c r="D173">
        <v>315.875</v>
      </c>
      <c r="E173">
        <v>16.625</v>
      </c>
      <c r="F173">
        <v>734.6</v>
      </c>
      <c r="G173">
        <v>1106.5999999999999</v>
      </c>
      <c r="H173">
        <v>0</v>
      </c>
      <c r="I173">
        <v>175.8</v>
      </c>
      <c r="J173">
        <v>56</v>
      </c>
      <c r="K173" s="10">
        <v>28</v>
      </c>
      <c r="L173" s="2">
        <f t="shared" si="4"/>
        <v>324.84262999999999</v>
      </c>
      <c r="M173" s="2">
        <f t="shared" si="5"/>
        <v>148.825875</v>
      </c>
      <c r="N173">
        <v>0</v>
      </c>
    </row>
    <row r="174" spans="1:14" x14ac:dyDescent="0.25">
      <c r="A174" s="15"/>
      <c r="B174" s="15"/>
      <c r="C174">
        <v>5</v>
      </c>
      <c r="D174">
        <v>315.875</v>
      </c>
      <c r="E174">
        <v>16.625</v>
      </c>
      <c r="F174">
        <v>734.6</v>
      </c>
      <c r="G174">
        <v>1106.5999999999999</v>
      </c>
      <c r="H174">
        <v>0</v>
      </c>
      <c r="I174">
        <v>175.8</v>
      </c>
      <c r="J174">
        <v>90</v>
      </c>
      <c r="K174" s="10">
        <v>28.6</v>
      </c>
      <c r="L174" s="2">
        <f t="shared" si="4"/>
        <v>324.84262999999999</v>
      </c>
      <c r="M174" s="2">
        <f t="shared" si="5"/>
        <v>148.825875</v>
      </c>
      <c r="N174">
        <v>0</v>
      </c>
    </row>
    <row r="175" spans="1:14" x14ac:dyDescent="0.25">
      <c r="A175" s="15"/>
      <c r="B175" s="15"/>
      <c r="C175">
        <v>10</v>
      </c>
      <c r="D175">
        <v>299.25</v>
      </c>
      <c r="E175">
        <v>33.25</v>
      </c>
      <c r="F175">
        <v>734.6</v>
      </c>
      <c r="G175">
        <v>1106.5999999999999</v>
      </c>
      <c r="H175">
        <v>0</v>
      </c>
      <c r="I175">
        <v>175.8</v>
      </c>
      <c r="J175">
        <v>14</v>
      </c>
      <c r="K175" s="10">
        <v>24.02</v>
      </c>
      <c r="L175" s="2">
        <f t="shared" si="4"/>
        <v>312.70637999999997</v>
      </c>
      <c r="M175" s="2">
        <f t="shared" si="5"/>
        <v>142.5915</v>
      </c>
      <c r="N175">
        <v>0</v>
      </c>
    </row>
    <row r="176" spans="1:14" x14ac:dyDescent="0.25">
      <c r="A176" s="15"/>
      <c r="B176" s="15"/>
      <c r="C176">
        <v>10</v>
      </c>
      <c r="D176">
        <v>299.25</v>
      </c>
      <c r="E176">
        <v>33.25</v>
      </c>
      <c r="F176">
        <v>734.6</v>
      </c>
      <c r="G176">
        <v>1106.5999999999999</v>
      </c>
      <c r="H176">
        <v>0</v>
      </c>
      <c r="I176">
        <v>175.8</v>
      </c>
      <c r="J176">
        <v>21</v>
      </c>
      <c r="K176" s="10">
        <v>24.16</v>
      </c>
      <c r="L176" s="2">
        <f t="shared" si="4"/>
        <v>312.70637999999997</v>
      </c>
      <c r="M176" s="2">
        <f t="shared" si="5"/>
        <v>142.5915</v>
      </c>
      <c r="N176">
        <v>0</v>
      </c>
    </row>
    <row r="177" spans="1:14" x14ac:dyDescent="0.25">
      <c r="A177" s="15"/>
      <c r="B177" s="15"/>
      <c r="C177">
        <v>10</v>
      </c>
      <c r="D177">
        <v>299.25</v>
      </c>
      <c r="E177">
        <v>33.25</v>
      </c>
      <c r="F177">
        <v>734.6</v>
      </c>
      <c r="G177">
        <v>1106.5999999999999</v>
      </c>
      <c r="H177">
        <v>0</v>
      </c>
      <c r="I177">
        <v>175.8</v>
      </c>
      <c r="J177">
        <v>56</v>
      </c>
      <c r="K177" s="10">
        <v>26.39</v>
      </c>
      <c r="L177" s="2">
        <f t="shared" si="4"/>
        <v>312.70637999999997</v>
      </c>
      <c r="M177" s="2">
        <f t="shared" si="5"/>
        <v>142.5915</v>
      </c>
      <c r="N177">
        <v>0</v>
      </c>
    </row>
    <row r="178" spans="1:14" x14ac:dyDescent="0.25">
      <c r="A178" s="15"/>
      <c r="B178" s="15"/>
      <c r="C178">
        <v>10</v>
      </c>
      <c r="D178">
        <v>299.25</v>
      </c>
      <c r="E178">
        <v>33.25</v>
      </c>
      <c r="F178">
        <v>734.6</v>
      </c>
      <c r="G178">
        <v>1106.5999999999999</v>
      </c>
      <c r="H178">
        <v>0</v>
      </c>
      <c r="I178">
        <v>175.8</v>
      </c>
      <c r="J178">
        <v>90</v>
      </c>
      <c r="K178" s="10">
        <v>26.26</v>
      </c>
      <c r="L178" s="2">
        <f t="shared" si="4"/>
        <v>312.70637999999997</v>
      </c>
      <c r="M178" s="2">
        <f t="shared" si="5"/>
        <v>142.5915</v>
      </c>
      <c r="N178">
        <v>0</v>
      </c>
    </row>
    <row r="179" spans="1:14" x14ac:dyDescent="0.25">
      <c r="A179" s="15"/>
      <c r="B179" s="15"/>
      <c r="C179">
        <v>15</v>
      </c>
      <c r="D179">
        <v>282.625</v>
      </c>
      <c r="E179">
        <v>49.875</v>
      </c>
      <c r="F179">
        <v>734.6</v>
      </c>
      <c r="G179">
        <v>1106.5999999999999</v>
      </c>
      <c r="H179">
        <v>0</v>
      </c>
      <c r="I179">
        <v>175.8</v>
      </c>
      <c r="J179">
        <v>14</v>
      </c>
      <c r="K179" s="10">
        <v>22.61</v>
      </c>
      <c r="L179" s="2">
        <f t="shared" si="4"/>
        <v>300.57013000000001</v>
      </c>
      <c r="M179" s="2">
        <f t="shared" si="5"/>
        <v>136.357125</v>
      </c>
      <c r="N179">
        <v>0</v>
      </c>
    </row>
    <row r="180" spans="1:14" x14ac:dyDescent="0.25">
      <c r="A180" s="15"/>
      <c r="B180" s="15"/>
      <c r="C180">
        <v>15</v>
      </c>
      <c r="D180">
        <v>282.625</v>
      </c>
      <c r="E180">
        <v>49.875</v>
      </c>
      <c r="F180">
        <v>734.6</v>
      </c>
      <c r="G180">
        <v>1106.5999999999999</v>
      </c>
      <c r="H180">
        <v>0</v>
      </c>
      <c r="I180">
        <v>175.8</v>
      </c>
      <c r="J180">
        <v>21</v>
      </c>
      <c r="K180" s="10">
        <v>25.35</v>
      </c>
      <c r="L180" s="2">
        <f t="shared" si="4"/>
        <v>300.57013000000001</v>
      </c>
      <c r="M180" s="2">
        <f t="shared" si="5"/>
        <v>136.357125</v>
      </c>
      <c r="N180">
        <v>0</v>
      </c>
    </row>
    <row r="181" spans="1:14" x14ac:dyDescent="0.25">
      <c r="A181" s="15"/>
      <c r="B181" s="15"/>
      <c r="C181">
        <v>15</v>
      </c>
      <c r="D181">
        <v>282.625</v>
      </c>
      <c r="E181">
        <v>49.875</v>
      </c>
      <c r="F181">
        <v>734.6</v>
      </c>
      <c r="G181">
        <v>1106.5999999999999</v>
      </c>
      <c r="H181">
        <v>0</v>
      </c>
      <c r="I181">
        <v>175.8</v>
      </c>
      <c r="J181">
        <v>56</v>
      </c>
      <c r="K181" s="10">
        <v>27.27</v>
      </c>
      <c r="L181" s="2">
        <f t="shared" si="4"/>
        <v>300.57013000000001</v>
      </c>
      <c r="M181" s="2">
        <f t="shared" si="5"/>
        <v>136.357125</v>
      </c>
      <c r="N181">
        <v>0</v>
      </c>
    </row>
    <row r="182" spans="1:14" x14ac:dyDescent="0.25">
      <c r="A182" s="15"/>
      <c r="B182" s="15"/>
      <c r="C182">
        <v>15</v>
      </c>
      <c r="D182">
        <v>282.625</v>
      </c>
      <c r="E182">
        <v>49.875</v>
      </c>
      <c r="F182">
        <v>734.6</v>
      </c>
      <c r="G182">
        <v>1106.5999999999999</v>
      </c>
      <c r="H182">
        <v>0</v>
      </c>
      <c r="I182">
        <v>175.8</v>
      </c>
      <c r="J182">
        <v>90</v>
      </c>
      <c r="K182" s="10">
        <v>28.37</v>
      </c>
      <c r="L182" s="2">
        <f t="shared" si="4"/>
        <v>300.57013000000001</v>
      </c>
      <c r="M182" s="2">
        <f t="shared" si="5"/>
        <v>136.357125</v>
      </c>
      <c r="N182">
        <v>0</v>
      </c>
    </row>
    <row r="183" spans="1:14" x14ac:dyDescent="0.25">
      <c r="A183" s="15"/>
      <c r="B183" s="15"/>
      <c r="C183">
        <v>20</v>
      </c>
      <c r="D183">
        <v>266</v>
      </c>
      <c r="E183">
        <v>66.5</v>
      </c>
      <c r="F183">
        <v>734.6</v>
      </c>
      <c r="G183">
        <v>1106.5999999999999</v>
      </c>
      <c r="H183">
        <v>0</v>
      </c>
      <c r="I183">
        <v>175.8</v>
      </c>
      <c r="J183">
        <v>14</v>
      </c>
      <c r="K183" s="10">
        <v>18.93</v>
      </c>
      <c r="L183" s="2">
        <f t="shared" si="4"/>
        <v>288.43387999999999</v>
      </c>
      <c r="M183" s="2">
        <f t="shared" si="5"/>
        <v>130.12275</v>
      </c>
      <c r="N183">
        <v>0</v>
      </c>
    </row>
    <row r="184" spans="1:14" x14ac:dyDescent="0.25">
      <c r="A184" s="15"/>
      <c r="B184" s="15"/>
      <c r="C184">
        <v>20</v>
      </c>
      <c r="D184">
        <v>266</v>
      </c>
      <c r="E184">
        <v>66.5</v>
      </c>
      <c r="F184">
        <v>734.6</v>
      </c>
      <c r="G184">
        <v>1106.5999999999999</v>
      </c>
      <c r="H184">
        <v>0</v>
      </c>
      <c r="I184">
        <v>175.8</v>
      </c>
      <c r="J184">
        <v>21</v>
      </c>
      <c r="K184" s="10">
        <v>16.739999999999998</v>
      </c>
      <c r="L184" s="2">
        <f t="shared" si="4"/>
        <v>288.43387999999999</v>
      </c>
      <c r="M184" s="2">
        <f t="shared" si="5"/>
        <v>130.12275</v>
      </c>
      <c r="N184">
        <v>0</v>
      </c>
    </row>
    <row r="185" spans="1:14" x14ac:dyDescent="0.25">
      <c r="A185" s="15"/>
      <c r="B185" s="15"/>
      <c r="C185">
        <v>20</v>
      </c>
      <c r="D185">
        <v>266</v>
      </c>
      <c r="E185">
        <v>66.5</v>
      </c>
      <c r="F185">
        <v>734.6</v>
      </c>
      <c r="G185">
        <v>1106.5999999999999</v>
      </c>
      <c r="H185">
        <v>0</v>
      </c>
      <c r="I185">
        <v>175.8</v>
      </c>
      <c r="J185">
        <v>56</v>
      </c>
      <c r="K185" s="10">
        <v>24.43</v>
      </c>
      <c r="L185" s="2">
        <f t="shared" si="4"/>
        <v>288.43387999999999</v>
      </c>
      <c r="M185" s="2">
        <f t="shared" si="5"/>
        <v>130.12275</v>
      </c>
      <c r="N185">
        <v>0</v>
      </c>
    </row>
    <row r="186" spans="1:14" x14ac:dyDescent="0.25">
      <c r="A186" s="15"/>
      <c r="B186" s="15"/>
      <c r="C186">
        <v>20</v>
      </c>
      <c r="D186">
        <v>266</v>
      </c>
      <c r="E186">
        <v>66.5</v>
      </c>
      <c r="F186">
        <v>734.6</v>
      </c>
      <c r="G186">
        <v>1106.5999999999999</v>
      </c>
      <c r="H186">
        <v>0</v>
      </c>
      <c r="I186">
        <v>175.8</v>
      </c>
      <c r="J186">
        <v>90</v>
      </c>
      <c r="K186" s="10">
        <v>25.35</v>
      </c>
      <c r="L186" s="2">
        <f t="shared" si="4"/>
        <v>288.43387999999999</v>
      </c>
      <c r="M186" s="2">
        <f t="shared" si="5"/>
        <v>130.12275</v>
      </c>
      <c r="N186">
        <v>0</v>
      </c>
    </row>
    <row r="187" spans="1:14" x14ac:dyDescent="0.25">
      <c r="A187" s="15"/>
      <c r="B187" s="15"/>
      <c r="C187">
        <v>25</v>
      </c>
      <c r="D187">
        <v>249.375</v>
      </c>
      <c r="E187">
        <v>83.125</v>
      </c>
      <c r="F187">
        <v>734.6</v>
      </c>
      <c r="G187">
        <v>1106.5999999999999</v>
      </c>
      <c r="H187">
        <v>0</v>
      </c>
      <c r="I187">
        <v>175.8</v>
      </c>
      <c r="J187">
        <v>14</v>
      </c>
      <c r="K187" s="10">
        <v>18.63</v>
      </c>
      <c r="L187" s="2">
        <f t="shared" si="4"/>
        <v>276.29762999999997</v>
      </c>
      <c r="M187" s="2">
        <f t="shared" si="5"/>
        <v>123.888375</v>
      </c>
      <c r="N187">
        <v>0</v>
      </c>
    </row>
    <row r="188" spans="1:14" x14ac:dyDescent="0.25">
      <c r="A188" s="15"/>
      <c r="B188" s="15"/>
      <c r="C188">
        <v>25</v>
      </c>
      <c r="D188">
        <v>249.375</v>
      </c>
      <c r="E188">
        <v>83.125</v>
      </c>
      <c r="F188">
        <v>734.6</v>
      </c>
      <c r="G188">
        <v>1106.5999999999999</v>
      </c>
      <c r="H188">
        <v>0</v>
      </c>
      <c r="I188">
        <v>175.8</v>
      </c>
      <c r="J188">
        <v>21</v>
      </c>
      <c r="K188" s="10">
        <v>22.5</v>
      </c>
      <c r="L188" s="2">
        <f t="shared" si="4"/>
        <v>276.29762999999997</v>
      </c>
      <c r="M188" s="2">
        <f t="shared" si="5"/>
        <v>123.888375</v>
      </c>
      <c r="N188">
        <v>0</v>
      </c>
    </row>
    <row r="189" spans="1:14" x14ac:dyDescent="0.25">
      <c r="A189" s="15"/>
      <c r="B189" s="15"/>
      <c r="C189">
        <v>25</v>
      </c>
      <c r="D189">
        <v>249.375</v>
      </c>
      <c r="E189">
        <v>83.125</v>
      </c>
      <c r="F189">
        <v>734.6</v>
      </c>
      <c r="G189">
        <v>1106.5999999999999</v>
      </c>
      <c r="H189">
        <v>0</v>
      </c>
      <c r="I189">
        <v>175.8</v>
      </c>
      <c r="J189">
        <v>56</v>
      </c>
      <c r="K189" s="10">
        <v>26.25</v>
      </c>
      <c r="L189" s="2">
        <f t="shared" si="4"/>
        <v>276.29762999999997</v>
      </c>
      <c r="M189" s="2">
        <f t="shared" si="5"/>
        <v>123.888375</v>
      </c>
      <c r="N189">
        <v>0</v>
      </c>
    </row>
    <row r="190" spans="1:14" x14ac:dyDescent="0.25">
      <c r="A190" s="15"/>
      <c r="B190" s="15"/>
      <c r="C190">
        <v>25</v>
      </c>
      <c r="D190">
        <v>249.375</v>
      </c>
      <c r="E190">
        <v>83.125</v>
      </c>
      <c r="F190">
        <v>734.6</v>
      </c>
      <c r="G190">
        <v>1106.5999999999999</v>
      </c>
      <c r="H190">
        <v>0</v>
      </c>
      <c r="I190">
        <v>175.8</v>
      </c>
      <c r="J190">
        <v>90</v>
      </c>
      <c r="K190" s="10">
        <v>23.7</v>
      </c>
      <c r="L190" s="2">
        <f t="shared" si="4"/>
        <v>276.29762999999997</v>
      </c>
      <c r="M190" s="2">
        <f t="shared" si="5"/>
        <v>123.888375</v>
      </c>
      <c r="N190">
        <v>0</v>
      </c>
    </row>
    <row r="191" spans="1:14" x14ac:dyDescent="0.25">
      <c r="A191" s="15"/>
      <c r="B191" s="15"/>
      <c r="C191">
        <v>30</v>
      </c>
      <c r="D191">
        <v>232.75</v>
      </c>
      <c r="E191">
        <v>99.75</v>
      </c>
      <c r="F191">
        <v>734.6</v>
      </c>
      <c r="G191">
        <v>1106.5999999999999</v>
      </c>
      <c r="H191">
        <v>0</v>
      </c>
      <c r="I191">
        <v>175.8</v>
      </c>
      <c r="J191">
        <v>14</v>
      </c>
      <c r="K191" s="10">
        <v>16.739999999999998</v>
      </c>
      <c r="L191" s="2">
        <f t="shared" si="4"/>
        <v>264.16138000000001</v>
      </c>
      <c r="M191" s="2">
        <f t="shared" si="5"/>
        <v>117.654</v>
      </c>
      <c r="N191">
        <v>0</v>
      </c>
    </row>
    <row r="192" spans="1:14" x14ac:dyDescent="0.25">
      <c r="A192" s="15"/>
      <c r="B192" s="15"/>
      <c r="C192">
        <v>30</v>
      </c>
      <c r="D192">
        <v>232.75</v>
      </c>
      <c r="E192">
        <v>99.75</v>
      </c>
      <c r="F192">
        <v>734.6</v>
      </c>
      <c r="G192">
        <v>1106.5999999999999</v>
      </c>
      <c r="H192">
        <v>0</v>
      </c>
      <c r="I192">
        <v>175.8</v>
      </c>
      <c r="J192">
        <v>21</v>
      </c>
      <c r="K192" s="10">
        <v>22.81</v>
      </c>
      <c r="L192" s="2">
        <f t="shared" si="4"/>
        <v>264.16138000000001</v>
      </c>
      <c r="M192" s="2">
        <f t="shared" si="5"/>
        <v>117.654</v>
      </c>
      <c r="N192">
        <v>0</v>
      </c>
    </row>
    <row r="193" spans="1:14" x14ac:dyDescent="0.25">
      <c r="A193" s="15"/>
      <c r="B193" s="15"/>
      <c r="C193">
        <v>30</v>
      </c>
      <c r="D193">
        <v>232.75</v>
      </c>
      <c r="E193">
        <v>99.75</v>
      </c>
      <c r="F193">
        <v>734.6</v>
      </c>
      <c r="G193">
        <v>1106.5999999999999</v>
      </c>
      <c r="H193">
        <v>0</v>
      </c>
      <c r="I193">
        <v>175.8</v>
      </c>
      <c r="J193">
        <v>56</v>
      </c>
      <c r="K193" s="10">
        <v>25.9</v>
      </c>
      <c r="L193" s="2">
        <f t="shared" si="4"/>
        <v>264.16138000000001</v>
      </c>
      <c r="M193" s="2">
        <f t="shared" si="5"/>
        <v>117.654</v>
      </c>
      <c r="N193">
        <v>0</v>
      </c>
    </row>
    <row r="194" spans="1:14" x14ac:dyDescent="0.25">
      <c r="A194" s="15"/>
      <c r="B194" s="15"/>
      <c r="C194">
        <v>30</v>
      </c>
      <c r="D194">
        <v>232.75</v>
      </c>
      <c r="E194">
        <v>99.75</v>
      </c>
      <c r="F194">
        <v>734.6</v>
      </c>
      <c r="G194">
        <v>1106.5999999999999</v>
      </c>
      <c r="H194">
        <v>0</v>
      </c>
      <c r="I194">
        <v>175.8</v>
      </c>
      <c r="J194">
        <v>90</v>
      </c>
      <c r="K194" s="10">
        <v>27</v>
      </c>
      <c r="L194" s="2">
        <f t="shared" ref="L194:L257" si="6">SUM((D194*0.83)+(E194*0.1)+(F194*0.0139)+(G194*0.0459)+(H194*2))</f>
        <v>264.16138000000001</v>
      </c>
      <c r="M194" s="2">
        <f t="shared" si="5"/>
        <v>117.654</v>
      </c>
      <c r="N194">
        <v>0</v>
      </c>
    </row>
    <row r="195" spans="1:14" x14ac:dyDescent="0.25">
      <c r="A195" s="15"/>
      <c r="B195" s="15"/>
      <c r="C195">
        <v>35</v>
      </c>
      <c r="D195">
        <v>216.125</v>
      </c>
      <c r="E195">
        <v>116.375</v>
      </c>
      <c r="F195">
        <v>734.6</v>
      </c>
      <c r="G195">
        <v>1106.5999999999999</v>
      </c>
      <c r="H195">
        <v>0</v>
      </c>
      <c r="I195">
        <v>175.8</v>
      </c>
      <c r="J195">
        <v>14</v>
      </c>
      <c r="K195" s="10">
        <v>21.77</v>
      </c>
      <c r="L195" s="2">
        <f t="shared" si="6"/>
        <v>252.02512999999999</v>
      </c>
      <c r="M195" s="2">
        <f t="shared" ref="M195:M258" si="7">SUM((D195*5)+((F195*0.25)+(G195*0.2)+(H195*20)))*0.075</f>
        <v>111.419625</v>
      </c>
      <c r="N195">
        <v>0</v>
      </c>
    </row>
    <row r="196" spans="1:14" x14ac:dyDescent="0.25">
      <c r="A196" s="15"/>
      <c r="B196" s="15"/>
      <c r="C196">
        <v>35</v>
      </c>
      <c r="D196">
        <v>216.125</v>
      </c>
      <c r="E196">
        <v>116.375</v>
      </c>
      <c r="F196">
        <v>734.6</v>
      </c>
      <c r="G196">
        <v>1106.5999999999999</v>
      </c>
      <c r="H196">
        <v>0</v>
      </c>
      <c r="I196">
        <v>175.8</v>
      </c>
      <c r="J196">
        <v>21</v>
      </c>
      <c r="K196" s="10">
        <v>21.25</v>
      </c>
      <c r="L196" s="2">
        <f t="shared" si="6"/>
        <v>252.02512999999999</v>
      </c>
      <c r="M196" s="2">
        <f t="shared" si="7"/>
        <v>111.419625</v>
      </c>
      <c r="N196">
        <v>0</v>
      </c>
    </row>
    <row r="197" spans="1:14" x14ac:dyDescent="0.25">
      <c r="A197" s="15"/>
      <c r="B197" s="15"/>
      <c r="C197">
        <v>35</v>
      </c>
      <c r="D197">
        <v>216.125</v>
      </c>
      <c r="E197">
        <v>116.375</v>
      </c>
      <c r="F197">
        <v>734.6</v>
      </c>
      <c r="G197">
        <v>1106.5999999999999</v>
      </c>
      <c r="H197">
        <v>0</v>
      </c>
      <c r="I197">
        <v>175.8</v>
      </c>
      <c r="J197">
        <v>56</v>
      </c>
      <c r="K197" s="10">
        <v>21.86</v>
      </c>
      <c r="L197" s="2">
        <f t="shared" si="6"/>
        <v>252.02512999999999</v>
      </c>
      <c r="M197" s="2">
        <f t="shared" si="7"/>
        <v>111.419625</v>
      </c>
      <c r="N197">
        <v>0</v>
      </c>
    </row>
    <row r="198" spans="1:14" x14ac:dyDescent="0.25">
      <c r="A198" s="15"/>
      <c r="B198" s="15"/>
      <c r="C198">
        <v>35</v>
      </c>
      <c r="D198">
        <v>216.125</v>
      </c>
      <c r="E198">
        <v>116.375</v>
      </c>
      <c r="F198">
        <v>734.6</v>
      </c>
      <c r="G198">
        <v>1106.5999999999999</v>
      </c>
      <c r="H198">
        <v>0</v>
      </c>
      <c r="I198">
        <v>175.8</v>
      </c>
      <c r="J198">
        <v>90</v>
      </c>
      <c r="K198" s="10">
        <v>26</v>
      </c>
      <c r="L198" s="2">
        <f t="shared" si="6"/>
        <v>252.02512999999999</v>
      </c>
      <c r="M198" s="2">
        <f t="shared" si="7"/>
        <v>111.419625</v>
      </c>
      <c r="N198">
        <v>0</v>
      </c>
    </row>
    <row r="199" spans="1:14" x14ac:dyDescent="0.25">
      <c r="A199" s="15"/>
      <c r="B199" s="15"/>
      <c r="C199">
        <v>40</v>
      </c>
      <c r="D199">
        <v>199.5</v>
      </c>
      <c r="E199">
        <v>133</v>
      </c>
      <c r="F199">
        <v>734.6</v>
      </c>
      <c r="G199">
        <v>1106.5999999999999</v>
      </c>
      <c r="H199">
        <v>0</v>
      </c>
      <c r="I199">
        <v>175.8</v>
      </c>
      <c r="J199">
        <v>14</v>
      </c>
      <c r="K199" s="10">
        <v>15.47</v>
      </c>
      <c r="L199" s="2">
        <f t="shared" si="6"/>
        <v>239.88887999999997</v>
      </c>
      <c r="M199" s="2">
        <f t="shared" si="7"/>
        <v>105.18525</v>
      </c>
      <c r="N199">
        <v>0</v>
      </c>
    </row>
    <row r="200" spans="1:14" x14ac:dyDescent="0.25">
      <c r="A200" s="15"/>
      <c r="B200" s="15"/>
      <c r="C200">
        <v>40</v>
      </c>
      <c r="D200">
        <v>199.5</v>
      </c>
      <c r="E200">
        <v>133</v>
      </c>
      <c r="F200">
        <v>734.6</v>
      </c>
      <c r="G200">
        <v>1106.5999999999999</v>
      </c>
      <c r="H200">
        <v>0</v>
      </c>
      <c r="I200">
        <v>175.8</v>
      </c>
      <c r="J200">
        <v>21</v>
      </c>
      <c r="K200" s="10">
        <v>18.14</v>
      </c>
      <c r="L200" s="2">
        <f t="shared" si="6"/>
        <v>239.88887999999997</v>
      </c>
      <c r="M200" s="2">
        <f t="shared" si="7"/>
        <v>105.18525</v>
      </c>
      <c r="N200">
        <v>0</v>
      </c>
    </row>
    <row r="201" spans="1:14" x14ac:dyDescent="0.25">
      <c r="A201" s="15"/>
      <c r="B201" s="15"/>
      <c r="C201">
        <v>40</v>
      </c>
      <c r="D201">
        <v>199.5</v>
      </c>
      <c r="E201">
        <v>133</v>
      </c>
      <c r="F201">
        <v>734.6</v>
      </c>
      <c r="G201">
        <v>1106.5999999999999</v>
      </c>
      <c r="H201">
        <v>0</v>
      </c>
      <c r="I201">
        <v>175.8</v>
      </c>
      <c r="J201">
        <v>56</v>
      </c>
      <c r="K201" s="10">
        <v>23.72</v>
      </c>
      <c r="L201" s="2">
        <f t="shared" si="6"/>
        <v>239.88887999999997</v>
      </c>
      <c r="M201" s="2">
        <f t="shared" si="7"/>
        <v>105.18525</v>
      </c>
      <c r="N201">
        <v>0</v>
      </c>
    </row>
    <row r="202" spans="1:14" x14ac:dyDescent="0.25">
      <c r="A202" s="15"/>
      <c r="B202" s="15"/>
      <c r="C202">
        <v>40</v>
      </c>
      <c r="D202">
        <v>199.5</v>
      </c>
      <c r="E202">
        <v>133</v>
      </c>
      <c r="F202">
        <v>734.6</v>
      </c>
      <c r="G202">
        <v>1106.5999999999999</v>
      </c>
      <c r="H202">
        <v>0</v>
      </c>
      <c r="I202">
        <v>175.8</v>
      </c>
      <c r="J202">
        <v>90</v>
      </c>
      <c r="K202" s="10">
        <v>20.51</v>
      </c>
      <c r="L202" s="2">
        <f t="shared" si="6"/>
        <v>239.88887999999997</v>
      </c>
      <c r="M202" s="2">
        <f t="shared" si="7"/>
        <v>105.18525</v>
      </c>
      <c r="N202">
        <v>0</v>
      </c>
    </row>
    <row r="203" spans="1:14" x14ac:dyDescent="0.25">
      <c r="A203" s="15"/>
      <c r="B203" s="15"/>
      <c r="C203">
        <v>45</v>
      </c>
      <c r="D203">
        <v>182.875</v>
      </c>
      <c r="E203">
        <v>149.625</v>
      </c>
      <c r="F203">
        <v>734.6</v>
      </c>
      <c r="G203">
        <v>1106.5999999999999</v>
      </c>
      <c r="H203">
        <v>0</v>
      </c>
      <c r="I203">
        <v>175.8</v>
      </c>
      <c r="J203">
        <v>14</v>
      </c>
      <c r="K203" s="10">
        <v>13.82</v>
      </c>
      <c r="L203" s="2">
        <f t="shared" si="6"/>
        <v>227.75263000000001</v>
      </c>
      <c r="M203" s="2">
        <f t="shared" si="7"/>
        <v>98.950874999999996</v>
      </c>
      <c r="N203">
        <v>0</v>
      </c>
    </row>
    <row r="204" spans="1:14" x14ac:dyDescent="0.25">
      <c r="A204" s="15"/>
      <c r="B204" s="15"/>
      <c r="C204">
        <v>45</v>
      </c>
      <c r="D204">
        <v>182.875</v>
      </c>
      <c r="E204">
        <v>149.625</v>
      </c>
      <c r="F204">
        <v>734.6</v>
      </c>
      <c r="G204">
        <v>1106.5999999999999</v>
      </c>
      <c r="H204">
        <v>0</v>
      </c>
      <c r="I204">
        <v>175.8</v>
      </c>
      <c r="J204">
        <v>21</v>
      </c>
      <c r="K204" s="10">
        <v>18.809999999999999</v>
      </c>
      <c r="L204" s="2">
        <f t="shared" si="6"/>
        <v>227.75263000000001</v>
      </c>
      <c r="M204" s="2">
        <f t="shared" si="7"/>
        <v>98.950874999999996</v>
      </c>
      <c r="N204">
        <v>0</v>
      </c>
    </row>
    <row r="205" spans="1:14" x14ac:dyDescent="0.25">
      <c r="A205" s="15"/>
      <c r="B205" s="15"/>
      <c r="C205">
        <v>45</v>
      </c>
      <c r="D205">
        <v>182.875</v>
      </c>
      <c r="E205">
        <v>149.625</v>
      </c>
      <c r="F205">
        <v>734.6</v>
      </c>
      <c r="G205">
        <v>1106.5999999999999</v>
      </c>
      <c r="H205">
        <v>0</v>
      </c>
      <c r="I205">
        <v>175.8</v>
      </c>
      <c r="J205">
        <v>56</v>
      </c>
      <c r="K205" s="10">
        <v>17.47</v>
      </c>
      <c r="L205" s="2">
        <f t="shared" si="6"/>
        <v>227.75263000000001</v>
      </c>
      <c r="M205" s="2">
        <f t="shared" si="7"/>
        <v>98.950874999999996</v>
      </c>
      <c r="N205">
        <v>0</v>
      </c>
    </row>
    <row r="206" spans="1:14" x14ac:dyDescent="0.25">
      <c r="A206" s="15"/>
      <c r="B206" s="15"/>
      <c r="C206">
        <v>45</v>
      </c>
      <c r="D206">
        <v>182.875</v>
      </c>
      <c r="E206">
        <v>149.625</v>
      </c>
      <c r="F206">
        <v>734.6</v>
      </c>
      <c r="G206">
        <v>1106.5999999999999</v>
      </c>
      <c r="H206">
        <v>0</v>
      </c>
      <c r="I206">
        <v>175.8</v>
      </c>
      <c r="J206">
        <v>90</v>
      </c>
      <c r="K206" s="10">
        <v>21.85</v>
      </c>
      <c r="L206" s="2">
        <f t="shared" si="6"/>
        <v>227.75263000000001</v>
      </c>
      <c r="M206" s="2">
        <f t="shared" si="7"/>
        <v>98.950874999999996</v>
      </c>
      <c r="N206">
        <v>0</v>
      </c>
    </row>
    <row r="207" spans="1:14" x14ac:dyDescent="0.25">
      <c r="A207" s="15"/>
      <c r="B207" s="15"/>
      <c r="C207">
        <v>50</v>
      </c>
      <c r="D207">
        <v>166.25</v>
      </c>
      <c r="E207">
        <v>166.25</v>
      </c>
      <c r="F207">
        <v>734.6</v>
      </c>
      <c r="G207">
        <v>1106.5999999999999</v>
      </c>
      <c r="H207">
        <v>0</v>
      </c>
      <c r="I207">
        <v>175.8</v>
      </c>
      <c r="J207">
        <v>14</v>
      </c>
      <c r="K207" s="10">
        <v>16.170000000000002</v>
      </c>
      <c r="L207" s="2">
        <f t="shared" si="6"/>
        <v>215.61637999999999</v>
      </c>
      <c r="M207" s="2">
        <f t="shared" si="7"/>
        <v>92.716499999999996</v>
      </c>
      <c r="N207">
        <v>0</v>
      </c>
    </row>
    <row r="208" spans="1:14" x14ac:dyDescent="0.25">
      <c r="A208" s="15"/>
      <c r="B208" s="15"/>
      <c r="C208">
        <v>50</v>
      </c>
      <c r="D208">
        <v>166.25</v>
      </c>
      <c r="E208">
        <v>166.25</v>
      </c>
      <c r="F208">
        <v>734.6</v>
      </c>
      <c r="G208">
        <v>1106.5999999999999</v>
      </c>
      <c r="H208">
        <v>0</v>
      </c>
      <c r="I208">
        <v>175.8</v>
      </c>
      <c r="J208">
        <v>21</v>
      </c>
      <c r="K208" s="10">
        <v>18.11</v>
      </c>
      <c r="L208" s="2">
        <f t="shared" si="6"/>
        <v>215.61637999999999</v>
      </c>
      <c r="M208" s="2">
        <f t="shared" si="7"/>
        <v>92.716499999999996</v>
      </c>
      <c r="N208">
        <v>0</v>
      </c>
    </row>
    <row r="209" spans="1:14" x14ac:dyDescent="0.25">
      <c r="A209" s="15"/>
      <c r="B209" s="15"/>
      <c r="C209">
        <v>50</v>
      </c>
      <c r="D209">
        <v>166.25</v>
      </c>
      <c r="E209">
        <v>166.25</v>
      </c>
      <c r="F209">
        <v>734.6</v>
      </c>
      <c r="G209">
        <v>1106.5999999999999</v>
      </c>
      <c r="H209">
        <v>0</v>
      </c>
      <c r="I209">
        <v>175.8</v>
      </c>
      <c r="J209">
        <v>56</v>
      </c>
      <c r="K209" s="10">
        <v>17.36</v>
      </c>
      <c r="L209" s="2">
        <f t="shared" si="6"/>
        <v>215.61637999999999</v>
      </c>
      <c r="M209" s="2">
        <f t="shared" si="7"/>
        <v>92.716499999999996</v>
      </c>
      <c r="N209">
        <v>0</v>
      </c>
    </row>
    <row r="210" spans="1:14" x14ac:dyDescent="0.25">
      <c r="A210" s="15"/>
      <c r="B210" s="15"/>
      <c r="C210">
        <v>50</v>
      </c>
      <c r="D210">
        <v>166.25</v>
      </c>
      <c r="E210">
        <v>166.25</v>
      </c>
      <c r="F210">
        <v>734.6</v>
      </c>
      <c r="G210">
        <v>1106.5999999999999</v>
      </c>
      <c r="H210">
        <v>0</v>
      </c>
      <c r="I210">
        <v>175.8</v>
      </c>
      <c r="J210">
        <v>90</v>
      </c>
      <c r="K210" s="10">
        <v>19.510000000000002</v>
      </c>
      <c r="L210" s="2">
        <f t="shared" si="6"/>
        <v>215.61637999999999</v>
      </c>
      <c r="M210" s="2">
        <f t="shared" si="7"/>
        <v>92.716499999999996</v>
      </c>
      <c r="N210">
        <v>0</v>
      </c>
    </row>
    <row r="211" spans="1:14" x14ac:dyDescent="0.25">
      <c r="A211" s="15" t="s">
        <v>86</v>
      </c>
      <c r="B211" s="15" t="s">
        <v>87</v>
      </c>
      <c r="C211">
        <v>0</v>
      </c>
      <c r="D211">
        <v>560</v>
      </c>
      <c r="E211">
        <v>0</v>
      </c>
      <c r="F211">
        <v>726.1</v>
      </c>
      <c r="G211">
        <v>1015.6</v>
      </c>
      <c r="H211">
        <v>0</v>
      </c>
      <c r="I211">
        <v>210.3</v>
      </c>
      <c r="J211">
        <v>14</v>
      </c>
      <c r="K211" s="10">
        <v>26.49</v>
      </c>
      <c r="L211" s="2">
        <f t="shared" si="6"/>
        <v>521.50882999999999</v>
      </c>
      <c r="M211" s="2">
        <f t="shared" si="7"/>
        <v>238.84837499999998</v>
      </c>
      <c r="N211">
        <v>0</v>
      </c>
    </row>
    <row r="212" spans="1:14" x14ac:dyDescent="0.25">
      <c r="A212" s="15"/>
      <c r="B212" s="15"/>
      <c r="C212">
        <v>0</v>
      </c>
      <c r="D212">
        <v>560</v>
      </c>
      <c r="E212">
        <v>0</v>
      </c>
      <c r="F212">
        <v>726.1</v>
      </c>
      <c r="G212">
        <v>1015.6</v>
      </c>
      <c r="H212">
        <v>0</v>
      </c>
      <c r="I212">
        <v>210.3</v>
      </c>
      <c r="J212">
        <v>28</v>
      </c>
      <c r="K212" s="10">
        <v>24.78</v>
      </c>
      <c r="L212" s="2">
        <f t="shared" si="6"/>
        <v>521.50882999999999</v>
      </c>
      <c r="M212" s="2">
        <f t="shared" si="7"/>
        <v>238.84837499999998</v>
      </c>
      <c r="N212">
        <v>0</v>
      </c>
    </row>
    <row r="213" spans="1:14" x14ac:dyDescent="0.25">
      <c r="A213" s="15"/>
      <c r="B213" s="15"/>
      <c r="C213">
        <v>0</v>
      </c>
      <c r="D213">
        <v>560</v>
      </c>
      <c r="E213">
        <v>0</v>
      </c>
      <c r="F213">
        <v>726.1</v>
      </c>
      <c r="G213">
        <v>1015.6</v>
      </c>
      <c r="H213">
        <v>0</v>
      </c>
      <c r="I213">
        <v>210.3</v>
      </c>
      <c r="J213">
        <v>56</v>
      </c>
      <c r="K213" s="10">
        <v>31.64</v>
      </c>
      <c r="L213" s="2">
        <f t="shared" si="6"/>
        <v>521.50882999999999</v>
      </c>
      <c r="M213" s="2">
        <f t="shared" si="7"/>
        <v>238.84837499999998</v>
      </c>
      <c r="N213">
        <v>0</v>
      </c>
    </row>
    <row r="214" spans="1:14" x14ac:dyDescent="0.25">
      <c r="A214" s="15"/>
      <c r="B214" s="15"/>
      <c r="C214">
        <v>0</v>
      </c>
      <c r="D214">
        <v>560</v>
      </c>
      <c r="E214">
        <v>0</v>
      </c>
      <c r="F214">
        <v>726.1</v>
      </c>
      <c r="G214">
        <v>1015.6</v>
      </c>
      <c r="H214">
        <v>0</v>
      </c>
      <c r="I214">
        <v>210.3</v>
      </c>
      <c r="J214">
        <v>90</v>
      </c>
      <c r="K214" s="10">
        <v>29.76</v>
      </c>
      <c r="L214" s="2">
        <f t="shared" si="6"/>
        <v>521.50882999999999</v>
      </c>
      <c r="M214" s="2">
        <f t="shared" si="7"/>
        <v>238.84837499999998</v>
      </c>
      <c r="N214">
        <v>0</v>
      </c>
    </row>
    <row r="215" spans="1:14" x14ac:dyDescent="0.25">
      <c r="A215" s="15"/>
      <c r="B215" s="15"/>
      <c r="C215">
        <v>5</v>
      </c>
      <c r="D215">
        <v>532</v>
      </c>
      <c r="E215">
        <v>28</v>
      </c>
      <c r="F215">
        <v>726.1</v>
      </c>
      <c r="G215">
        <v>1015.6</v>
      </c>
      <c r="H215">
        <v>0</v>
      </c>
      <c r="I215">
        <v>210.3</v>
      </c>
      <c r="J215">
        <v>14</v>
      </c>
      <c r="K215" s="10">
        <v>23.97</v>
      </c>
      <c r="L215" s="2">
        <f t="shared" si="6"/>
        <v>501.06882999999999</v>
      </c>
      <c r="M215" s="2">
        <f t="shared" si="7"/>
        <v>228.348375</v>
      </c>
      <c r="N215">
        <v>0</v>
      </c>
    </row>
    <row r="216" spans="1:14" x14ac:dyDescent="0.25">
      <c r="A216" s="15"/>
      <c r="B216" s="15"/>
      <c r="C216">
        <v>5</v>
      </c>
      <c r="D216">
        <v>532</v>
      </c>
      <c r="E216">
        <v>28</v>
      </c>
      <c r="F216">
        <v>726.1</v>
      </c>
      <c r="G216">
        <v>1015.6</v>
      </c>
      <c r="H216">
        <v>0</v>
      </c>
      <c r="I216">
        <v>210.3</v>
      </c>
      <c r="J216">
        <v>28</v>
      </c>
      <c r="K216" s="10">
        <v>21.82</v>
      </c>
      <c r="L216" s="2">
        <f t="shared" si="6"/>
        <v>501.06882999999999</v>
      </c>
      <c r="M216" s="2">
        <f t="shared" si="7"/>
        <v>228.348375</v>
      </c>
      <c r="N216">
        <v>0</v>
      </c>
    </row>
    <row r="217" spans="1:14" x14ac:dyDescent="0.25">
      <c r="A217" s="15"/>
      <c r="B217" s="15"/>
      <c r="C217">
        <v>5</v>
      </c>
      <c r="D217">
        <v>532</v>
      </c>
      <c r="E217">
        <v>28</v>
      </c>
      <c r="F217">
        <v>726.1</v>
      </c>
      <c r="G217">
        <v>1015.6</v>
      </c>
      <c r="H217">
        <v>0</v>
      </c>
      <c r="I217">
        <v>210.3</v>
      </c>
      <c r="J217">
        <v>56</v>
      </c>
      <c r="K217" s="10">
        <v>27.69</v>
      </c>
      <c r="L217" s="2">
        <f t="shared" si="6"/>
        <v>501.06882999999999</v>
      </c>
      <c r="M217" s="2">
        <f t="shared" si="7"/>
        <v>228.348375</v>
      </c>
      <c r="N217">
        <v>0</v>
      </c>
    </row>
    <row r="218" spans="1:14" x14ac:dyDescent="0.25">
      <c r="A218" s="15"/>
      <c r="B218" s="15"/>
      <c r="C218">
        <v>5</v>
      </c>
      <c r="D218">
        <v>532</v>
      </c>
      <c r="E218">
        <v>28</v>
      </c>
      <c r="F218">
        <v>726.1</v>
      </c>
      <c r="G218">
        <v>1015.6</v>
      </c>
      <c r="H218">
        <v>0</v>
      </c>
      <c r="I218">
        <v>210.3</v>
      </c>
      <c r="J218">
        <v>90</v>
      </c>
      <c r="K218" s="10">
        <v>29.16</v>
      </c>
      <c r="L218" s="2">
        <f t="shared" si="6"/>
        <v>501.06882999999999</v>
      </c>
      <c r="M218" s="2">
        <f t="shared" si="7"/>
        <v>228.348375</v>
      </c>
      <c r="N218">
        <v>0</v>
      </c>
    </row>
    <row r="219" spans="1:14" x14ac:dyDescent="0.25">
      <c r="A219" s="15"/>
      <c r="B219" s="15"/>
      <c r="C219">
        <v>10</v>
      </c>
      <c r="D219">
        <v>504</v>
      </c>
      <c r="E219">
        <v>56</v>
      </c>
      <c r="F219">
        <v>726.1</v>
      </c>
      <c r="G219">
        <v>1015.6</v>
      </c>
      <c r="H219">
        <v>0</v>
      </c>
      <c r="I219">
        <v>210.3</v>
      </c>
      <c r="J219">
        <v>14</v>
      </c>
      <c r="K219" s="10">
        <v>24.33</v>
      </c>
      <c r="L219" s="2">
        <f t="shared" si="6"/>
        <v>480.62882999999999</v>
      </c>
      <c r="M219" s="2">
        <f t="shared" si="7"/>
        <v>217.848375</v>
      </c>
      <c r="N219">
        <v>0</v>
      </c>
    </row>
    <row r="220" spans="1:14" x14ac:dyDescent="0.25">
      <c r="A220" s="15"/>
      <c r="B220" s="15"/>
      <c r="C220">
        <v>10</v>
      </c>
      <c r="D220">
        <v>504</v>
      </c>
      <c r="E220">
        <v>56</v>
      </c>
      <c r="F220">
        <v>726.1</v>
      </c>
      <c r="G220">
        <v>1015.6</v>
      </c>
      <c r="H220">
        <v>0</v>
      </c>
      <c r="I220">
        <v>210.3</v>
      </c>
      <c r="J220">
        <v>28</v>
      </c>
      <c r="K220" s="10">
        <v>28.83</v>
      </c>
      <c r="L220" s="2">
        <f t="shared" si="6"/>
        <v>480.62882999999999</v>
      </c>
      <c r="M220" s="2">
        <f t="shared" si="7"/>
        <v>217.848375</v>
      </c>
      <c r="N220">
        <v>0</v>
      </c>
    </row>
    <row r="221" spans="1:14" x14ac:dyDescent="0.25">
      <c r="A221" s="15"/>
      <c r="B221" s="15"/>
      <c r="C221">
        <v>10</v>
      </c>
      <c r="D221">
        <v>504</v>
      </c>
      <c r="E221">
        <v>56</v>
      </c>
      <c r="F221">
        <v>726.1</v>
      </c>
      <c r="G221">
        <v>1015.6</v>
      </c>
      <c r="H221">
        <v>0</v>
      </c>
      <c r="I221">
        <v>210.3</v>
      </c>
      <c r="J221">
        <v>56</v>
      </c>
      <c r="K221" s="10">
        <v>26.47</v>
      </c>
      <c r="L221" s="2">
        <f t="shared" si="6"/>
        <v>480.62882999999999</v>
      </c>
      <c r="M221" s="2">
        <f t="shared" si="7"/>
        <v>217.848375</v>
      </c>
      <c r="N221">
        <v>0</v>
      </c>
    </row>
    <row r="222" spans="1:14" x14ac:dyDescent="0.25">
      <c r="A222" s="15"/>
      <c r="B222" s="15"/>
      <c r="C222">
        <v>10</v>
      </c>
      <c r="D222">
        <v>504</v>
      </c>
      <c r="E222">
        <v>56</v>
      </c>
      <c r="F222">
        <v>726.1</v>
      </c>
      <c r="G222">
        <v>1015.6</v>
      </c>
      <c r="H222">
        <v>0</v>
      </c>
      <c r="I222">
        <v>210.3</v>
      </c>
      <c r="J222">
        <v>90</v>
      </c>
      <c r="K222" s="10">
        <v>32.6</v>
      </c>
      <c r="L222" s="2">
        <f t="shared" si="6"/>
        <v>480.62882999999999</v>
      </c>
      <c r="M222" s="2">
        <f t="shared" si="7"/>
        <v>217.848375</v>
      </c>
      <c r="N222">
        <v>0</v>
      </c>
    </row>
    <row r="223" spans="1:14" x14ac:dyDescent="0.25">
      <c r="A223" s="15"/>
      <c r="B223" s="15"/>
      <c r="C223">
        <v>15</v>
      </c>
      <c r="D223">
        <v>476</v>
      </c>
      <c r="E223">
        <v>84</v>
      </c>
      <c r="F223">
        <v>726.1</v>
      </c>
      <c r="G223">
        <v>1015.6</v>
      </c>
      <c r="H223">
        <v>0</v>
      </c>
      <c r="I223">
        <v>210.3</v>
      </c>
      <c r="J223">
        <v>14</v>
      </c>
      <c r="K223" s="10">
        <v>21.24</v>
      </c>
      <c r="L223" s="2">
        <f t="shared" si="6"/>
        <v>460.18882999999994</v>
      </c>
      <c r="M223" s="2">
        <f t="shared" si="7"/>
        <v>207.348375</v>
      </c>
      <c r="N223">
        <v>0</v>
      </c>
    </row>
    <row r="224" spans="1:14" x14ac:dyDescent="0.25">
      <c r="A224" s="15"/>
      <c r="B224" s="15"/>
      <c r="C224">
        <v>15</v>
      </c>
      <c r="D224">
        <v>476</v>
      </c>
      <c r="E224">
        <v>84</v>
      </c>
      <c r="F224">
        <v>726.1</v>
      </c>
      <c r="G224">
        <v>1015.6</v>
      </c>
      <c r="H224">
        <v>0</v>
      </c>
      <c r="I224">
        <v>210.3</v>
      </c>
      <c r="J224">
        <v>28</v>
      </c>
      <c r="K224" s="10">
        <v>24.05</v>
      </c>
      <c r="L224" s="2">
        <f t="shared" si="6"/>
        <v>460.18882999999994</v>
      </c>
      <c r="M224" s="2">
        <f t="shared" si="7"/>
        <v>207.348375</v>
      </c>
      <c r="N224">
        <v>0</v>
      </c>
    </row>
    <row r="225" spans="1:14" x14ac:dyDescent="0.25">
      <c r="A225" s="15"/>
      <c r="B225" s="15"/>
      <c r="C225">
        <v>15</v>
      </c>
      <c r="D225">
        <v>476</v>
      </c>
      <c r="E225">
        <v>84</v>
      </c>
      <c r="F225">
        <v>726.1</v>
      </c>
      <c r="G225">
        <v>1015.6</v>
      </c>
      <c r="H225">
        <v>0</v>
      </c>
      <c r="I225">
        <v>210.3</v>
      </c>
      <c r="J225">
        <v>56</v>
      </c>
      <c r="K225" s="10">
        <v>25.55</v>
      </c>
      <c r="L225" s="2">
        <f t="shared" si="6"/>
        <v>460.18882999999994</v>
      </c>
      <c r="M225" s="2">
        <f t="shared" si="7"/>
        <v>207.348375</v>
      </c>
      <c r="N225">
        <v>0</v>
      </c>
    </row>
    <row r="226" spans="1:14" x14ac:dyDescent="0.25">
      <c r="A226" s="15"/>
      <c r="B226" s="15"/>
      <c r="C226">
        <v>15</v>
      </c>
      <c r="D226">
        <v>476</v>
      </c>
      <c r="E226">
        <v>84</v>
      </c>
      <c r="F226">
        <v>726.1</v>
      </c>
      <c r="G226">
        <v>1015.6</v>
      </c>
      <c r="H226">
        <v>0</v>
      </c>
      <c r="I226">
        <v>210.3</v>
      </c>
      <c r="J226">
        <v>90</v>
      </c>
      <c r="K226" s="10">
        <v>22.88</v>
      </c>
      <c r="L226" s="2">
        <f t="shared" si="6"/>
        <v>460.18882999999994</v>
      </c>
      <c r="M226" s="2">
        <f t="shared" si="7"/>
        <v>207.348375</v>
      </c>
      <c r="N226">
        <v>0</v>
      </c>
    </row>
    <row r="227" spans="1:14" x14ac:dyDescent="0.25">
      <c r="A227" s="15"/>
      <c r="B227" s="15"/>
      <c r="C227">
        <v>20</v>
      </c>
      <c r="D227">
        <v>448</v>
      </c>
      <c r="E227">
        <v>112</v>
      </c>
      <c r="F227">
        <v>726.1</v>
      </c>
      <c r="G227">
        <v>1015.6</v>
      </c>
      <c r="H227">
        <v>0</v>
      </c>
      <c r="I227">
        <v>210.3</v>
      </c>
      <c r="J227">
        <v>14</v>
      </c>
      <c r="K227" s="10">
        <v>23.89</v>
      </c>
      <c r="L227" s="2">
        <f t="shared" si="6"/>
        <v>439.74882999999994</v>
      </c>
      <c r="M227" s="2">
        <f t="shared" si="7"/>
        <v>196.848375</v>
      </c>
      <c r="N227">
        <v>0</v>
      </c>
    </row>
    <row r="228" spans="1:14" x14ac:dyDescent="0.25">
      <c r="A228" s="15"/>
      <c r="B228" s="15"/>
      <c r="C228">
        <v>20</v>
      </c>
      <c r="D228">
        <v>448</v>
      </c>
      <c r="E228">
        <v>112</v>
      </c>
      <c r="F228">
        <v>726.1</v>
      </c>
      <c r="G228">
        <v>1015.6</v>
      </c>
      <c r="H228">
        <v>0</v>
      </c>
      <c r="I228">
        <v>210.3</v>
      </c>
      <c r="J228">
        <v>28</v>
      </c>
      <c r="K228" s="10">
        <v>23.76</v>
      </c>
      <c r="L228" s="2">
        <f t="shared" si="6"/>
        <v>439.74882999999994</v>
      </c>
      <c r="M228" s="2">
        <f t="shared" si="7"/>
        <v>196.848375</v>
      </c>
      <c r="N228">
        <v>0</v>
      </c>
    </row>
    <row r="229" spans="1:14" x14ac:dyDescent="0.25">
      <c r="A229" s="15"/>
      <c r="B229" s="15"/>
      <c r="C229">
        <v>20</v>
      </c>
      <c r="D229">
        <v>448</v>
      </c>
      <c r="E229">
        <v>112</v>
      </c>
      <c r="F229">
        <v>726.1</v>
      </c>
      <c r="G229">
        <v>1015.6</v>
      </c>
      <c r="H229">
        <v>0</v>
      </c>
      <c r="I229">
        <v>210.3</v>
      </c>
      <c r="J229">
        <v>56</v>
      </c>
      <c r="K229" s="10">
        <v>25.7</v>
      </c>
      <c r="L229" s="2">
        <f t="shared" si="6"/>
        <v>439.74882999999994</v>
      </c>
      <c r="M229" s="2">
        <f t="shared" si="7"/>
        <v>196.848375</v>
      </c>
      <c r="N229">
        <v>0</v>
      </c>
    </row>
    <row r="230" spans="1:14" x14ac:dyDescent="0.25">
      <c r="A230" s="15"/>
      <c r="B230" s="15"/>
      <c r="C230">
        <v>20</v>
      </c>
      <c r="D230">
        <v>448</v>
      </c>
      <c r="E230">
        <v>112</v>
      </c>
      <c r="F230">
        <v>726.1</v>
      </c>
      <c r="G230">
        <v>1015.6</v>
      </c>
      <c r="H230">
        <v>0</v>
      </c>
      <c r="I230">
        <v>210.3</v>
      </c>
      <c r="J230">
        <v>90</v>
      </c>
      <c r="K230" s="10">
        <v>24.56</v>
      </c>
      <c r="L230" s="2">
        <f t="shared" si="6"/>
        <v>439.74882999999994</v>
      </c>
      <c r="M230" s="2">
        <f t="shared" si="7"/>
        <v>196.848375</v>
      </c>
      <c r="N230">
        <v>0</v>
      </c>
    </row>
    <row r="231" spans="1:14" x14ac:dyDescent="0.25">
      <c r="A231" s="15"/>
      <c r="B231" s="15"/>
      <c r="C231">
        <v>25</v>
      </c>
      <c r="D231">
        <v>420</v>
      </c>
      <c r="E231">
        <v>140</v>
      </c>
      <c r="F231">
        <v>726.1</v>
      </c>
      <c r="G231">
        <v>1015.6</v>
      </c>
      <c r="H231">
        <v>0</v>
      </c>
      <c r="I231">
        <v>210.3</v>
      </c>
      <c r="J231">
        <v>14</v>
      </c>
      <c r="K231" s="10">
        <v>19.47</v>
      </c>
      <c r="L231" s="2">
        <f t="shared" si="6"/>
        <v>419.30882999999994</v>
      </c>
      <c r="M231" s="2">
        <f t="shared" si="7"/>
        <v>186.348375</v>
      </c>
      <c r="N231">
        <v>0</v>
      </c>
    </row>
    <row r="232" spans="1:14" x14ac:dyDescent="0.25">
      <c r="A232" s="15"/>
      <c r="B232" s="15"/>
      <c r="C232">
        <v>25</v>
      </c>
      <c r="D232">
        <v>420</v>
      </c>
      <c r="E232">
        <v>140</v>
      </c>
      <c r="F232">
        <v>726.1</v>
      </c>
      <c r="G232">
        <v>1015.6</v>
      </c>
      <c r="H232">
        <v>0</v>
      </c>
      <c r="I232">
        <v>210.3</v>
      </c>
      <c r="J232">
        <v>28</v>
      </c>
      <c r="K232" s="10">
        <v>19.48</v>
      </c>
      <c r="L232" s="2">
        <f t="shared" si="6"/>
        <v>419.30882999999994</v>
      </c>
      <c r="M232" s="2">
        <f t="shared" si="7"/>
        <v>186.348375</v>
      </c>
      <c r="N232">
        <v>0</v>
      </c>
    </row>
    <row r="233" spans="1:14" x14ac:dyDescent="0.25">
      <c r="A233" s="15"/>
      <c r="B233" s="15"/>
      <c r="C233">
        <v>25</v>
      </c>
      <c r="D233">
        <v>420</v>
      </c>
      <c r="E233">
        <v>140</v>
      </c>
      <c r="F233">
        <v>726.1</v>
      </c>
      <c r="G233">
        <v>1015.6</v>
      </c>
      <c r="H233">
        <v>0</v>
      </c>
      <c r="I233">
        <v>210.3</v>
      </c>
      <c r="J233">
        <v>56</v>
      </c>
      <c r="K233" s="10">
        <v>23.86</v>
      </c>
      <c r="L233" s="2">
        <f t="shared" si="6"/>
        <v>419.30882999999994</v>
      </c>
      <c r="M233" s="2">
        <f t="shared" si="7"/>
        <v>186.348375</v>
      </c>
      <c r="N233">
        <v>0</v>
      </c>
    </row>
    <row r="234" spans="1:14" x14ac:dyDescent="0.25">
      <c r="A234" s="15"/>
      <c r="B234" s="15"/>
      <c r="C234">
        <v>25</v>
      </c>
      <c r="D234">
        <v>420</v>
      </c>
      <c r="E234">
        <v>140</v>
      </c>
      <c r="F234">
        <v>726.1</v>
      </c>
      <c r="G234">
        <v>1015.6</v>
      </c>
      <c r="H234">
        <v>0</v>
      </c>
      <c r="I234">
        <v>210.3</v>
      </c>
      <c r="J234">
        <v>90</v>
      </c>
      <c r="K234" s="10">
        <v>28.79</v>
      </c>
      <c r="L234" s="2">
        <f t="shared" si="6"/>
        <v>419.30882999999994</v>
      </c>
      <c r="M234" s="2">
        <f t="shared" si="7"/>
        <v>186.348375</v>
      </c>
      <c r="N234">
        <v>0</v>
      </c>
    </row>
    <row r="235" spans="1:14" x14ac:dyDescent="0.25">
      <c r="A235" s="15"/>
      <c r="B235" s="15"/>
      <c r="C235">
        <v>30</v>
      </c>
      <c r="D235">
        <v>392</v>
      </c>
      <c r="E235">
        <v>168</v>
      </c>
      <c r="F235">
        <v>726.1</v>
      </c>
      <c r="G235">
        <v>1015.6</v>
      </c>
      <c r="H235">
        <v>0</v>
      </c>
      <c r="I235">
        <v>210.3</v>
      </c>
      <c r="J235">
        <v>14</v>
      </c>
      <c r="K235" s="10">
        <v>18.21</v>
      </c>
      <c r="L235" s="2">
        <f t="shared" si="6"/>
        <v>398.86882999999995</v>
      </c>
      <c r="M235" s="2">
        <f t="shared" si="7"/>
        <v>175.848375</v>
      </c>
      <c r="N235">
        <v>0</v>
      </c>
    </row>
    <row r="236" spans="1:14" x14ac:dyDescent="0.25">
      <c r="A236" s="15"/>
      <c r="B236" s="15"/>
      <c r="C236">
        <v>30</v>
      </c>
      <c r="D236">
        <v>392</v>
      </c>
      <c r="E236">
        <v>168</v>
      </c>
      <c r="F236">
        <v>726.1</v>
      </c>
      <c r="G236">
        <v>1015.6</v>
      </c>
      <c r="H236">
        <v>0</v>
      </c>
      <c r="I236">
        <v>210.3</v>
      </c>
      <c r="J236">
        <v>28</v>
      </c>
      <c r="K236" s="10">
        <v>24.92</v>
      </c>
      <c r="L236" s="2">
        <f t="shared" si="6"/>
        <v>398.86882999999995</v>
      </c>
      <c r="M236" s="2">
        <f t="shared" si="7"/>
        <v>175.848375</v>
      </c>
      <c r="N236">
        <v>0</v>
      </c>
    </row>
    <row r="237" spans="1:14" x14ac:dyDescent="0.25">
      <c r="A237" s="15"/>
      <c r="B237" s="15"/>
      <c r="C237">
        <v>30</v>
      </c>
      <c r="D237">
        <v>392</v>
      </c>
      <c r="E237">
        <v>168</v>
      </c>
      <c r="F237">
        <v>726.1</v>
      </c>
      <c r="G237">
        <v>1015.6</v>
      </c>
      <c r="H237">
        <v>0</v>
      </c>
      <c r="I237">
        <v>210.3</v>
      </c>
      <c r="J237">
        <v>56</v>
      </c>
      <c r="K237" s="10">
        <v>21.22</v>
      </c>
      <c r="L237" s="2">
        <f t="shared" si="6"/>
        <v>398.86882999999995</v>
      </c>
      <c r="M237" s="2">
        <f t="shared" si="7"/>
        <v>175.848375</v>
      </c>
      <c r="N237">
        <v>0</v>
      </c>
    </row>
    <row r="238" spans="1:14" x14ac:dyDescent="0.25">
      <c r="A238" s="15"/>
      <c r="B238" s="15"/>
      <c r="C238">
        <v>30</v>
      </c>
      <c r="D238">
        <v>392</v>
      </c>
      <c r="E238">
        <v>168</v>
      </c>
      <c r="F238">
        <v>726.1</v>
      </c>
      <c r="G238">
        <v>1015.6</v>
      </c>
      <c r="H238">
        <v>0</v>
      </c>
      <c r="I238">
        <v>210.3</v>
      </c>
      <c r="J238">
        <v>90</v>
      </c>
      <c r="K238" s="10">
        <v>24.71</v>
      </c>
      <c r="L238" s="2">
        <f t="shared" si="6"/>
        <v>398.86882999999995</v>
      </c>
      <c r="M238" s="2">
        <f t="shared" si="7"/>
        <v>175.848375</v>
      </c>
      <c r="N238">
        <v>0</v>
      </c>
    </row>
    <row r="239" spans="1:14" x14ac:dyDescent="0.25">
      <c r="A239" s="15"/>
      <c r="B239" s="15"/>
      <c r="C239">
        <v>35</v>
      </c>
      <c r="D239">
        <v>364</v>
      </c>
      <c r="E239">
        <v>196</v>
      </c>
      <c r="F239">
        <v>726.1</v>
      </c>
      <c r="G239">
        <v>1015.6</v>
      </c>
      <c r="H239">
        <v>0</v>
      </c>
      <c r="I239">
        <v>210.3</v>
      </c>
      <c r="J239">
        <v>14</v>
      </c>
      <c r="K239" s="10">
        <v>18.14</v>
      </c>
      <c r="L239" s="2">
        <f t="shared" si="6"/>
        <v>378.42883</v>
      </c>
      <c r="M239" s="2">
        <f t="shared" si="7"/>
        <v>165.348375</v>
      </c>
      <c r="N239">
        <v>0</v>
      </c>
    </row>
    <row r="240" spans="1:14" x14ac:dyDescent="0.25">
      <c r="A240" s="15"/>
      <c r="B240" s="15"/>
      <c r="C240">
        <v>35</v>
      </c>
      <c r="D240">
        <v>364</v>
      </c>
      <c r="E240">
        <v>196</v>
      </c>
      <c r="F240">
        <v>726.1</v>
      </c>
      <c r="G240">
        <v>1015.6</v>
      </c>
      <c r="H240">
        <v>0</v>
      </c>
      <c r="I240">
        <v>210.3</v>
      </c>
      <c r="J240">
        <v>28</v>
      </c>
      <c r="K240" s="10">
        <v>21.22</v>
      </c>
      <c r="L240" s="2">
        <f t="shared" si="6"/>
        <v>378.42883</v>
      </c>
      <c r="M240" s="2">
        <f t="shared" si="7"/>
        <v>165.348375</v>
      </c>
      <c r="N240">
        <v>0</v>
      </c>
    </row>
    <row r="241" spans="1:14" x14ac:dyDescent="0.25">
      <c r="A241" s="15"/>
      <c r="B241" s="15"/>
      <c r="C241">
        <v>35</v>
      </c>
      <c r="D241">
        <v>364</v>
      </c>
      <c r="E241">
        <v>196</v>
      </c>
      <c r="F241">
        <v>726.1</v>
      </c>
      <c r="G241">
        <v>1015.6</v>
      </c>
      <c r="H241">
        <v>0</v>
      </c>
      <c r="I241">
        <v>210.3</v>
      </c>
      <c r="J241">
        <v>56</v>
      </c>
      <c r="K241" s="10">
        <v>25.88</v>
      </c>
      <c r="L241" s="2">
        <f t="shared" si="6"/>
        <v>378.42883</v>
      </c>
      <c r="M241" s="2">
        <f t="shared" si="7"/>
        <v>165.348375</v>
      </c>
      <c r="N241">
        <v>0</v>
      </c>
    </row>
    <row r="242" spans="1:14" x14ac:dyDescent="0.25">
      <c r="A242" s="15"/>
      <c r="B242" s="15"/>
      <c r="C242">
        <v>35</v>
      </c>
      <c r="D242">
        <v>364</v>
      </c>
      <c r="E242">
        <v>196</v>
      </c>
      <c r="F242">
        <v>726.1</v>
      </c>
      <c r="G242">
        <v>1015.6</v>
      </c>
      <c r="H242">
        <v>0</v>
      </c>
      <c r="I242">
        <v>210.3</v>
      </c>
      <c r="J242">
        <v>90</v>
      </c>
      <c r="K242" s="10">
        <v>26.49</v>
      </c>
      <c r="L242" s="2">
        <f t="shared" si="6"/>
        <v>378.42883</v>
      </c>
      <c r="M242" s="2">
        <f t="shared" si="7"/>
        <v>165.348375</v>
      </c>
      <c r="N242">
        <v>0</v>
      </c>
    </row>
    <row r="243" spans="1:14" x14ac:dyDescent="0.25">
      <c r="A243" s="15"/>
      <c r="B243" s="15"/>
      <c r="C243">
        <v>40</v>
      </c>
      <c r="D243">
        <v>336</v>
      </c>
      <c r="E243">
        <v>224</v>
      </c>
      <c r="F243">
        <v>726.1</v>
      </c>
      <c r="G243">
        <v>1015.6</v>
      </c>
      <c r="H243">
        <v>0</v>
      </c>
      <c r="I243">
        <v>210.3</v>
      </c>
      <c r="J243">
        <v>14</v>
      </c>
      <c r="K243" s="10">
        <v>18.71</v>
      </c>
      <c r="L243" s="2">
        <f t="shared" si="6"/>
        <v>357.98882999999995</v>
      </c>
      <c r="M243" s="2">
        <f t="shared" si="7"/>
        <v>154.848375</v>
      </c>
      <c r="N243">
        <v>0</v>
      </c>
    </row>
    <row r="244" spans="1:14" x14ac:dyDescent="0.25">
      <c r="A244" s="15"/>
      <c r="B244" s="15"/>
      <c r="C244">
        <v>40</v>
      </c>
      <c r="D244">
        <v>336</v>
      </c>
      <c r="E244">
        <v>224</v>
      </c>
      <c r="F244">
        <v>726.1</v>
      </c>
      <c r="G244">
        <v>1015.6</v>
      </c>
      <c r="H244">
        <v>0</v>
      </c>
      <c r="I244">
        <v>210.3</v>
      </c>
      <c r="J244">
        <v>28</v>
      </c>
      <c r="K244" s="10">
        <v>18.5</v>
      </c>
      <c r="L244" s="2">
        <f t="shared" si="6"/>
        <v>357.98882999999995</v>
      </c>
      <c r="M244" s="2">
        <f t="shared" si="7"/>
        <v>154.848375</v>
      </c>
      <c r="N244">
        <v>0</v>
      </c>
    </row>
    <row r="245" spans="1:14" x14ac:dyDescent="0.25">
      <c r="A245" s="15"/>
      <c r="B245" s="15"/>
      <c r="C245">
        <v>40</v>
      </c>
      <c r="D245">
        <v>336</v>
      </c>
      <c r="E245">
        <v>224</v>
      </c>
      <c r="F245">
        <v>726.1</v>
      </c>
      <c r="G245">
        <v>1015.6</v>
      </c>
      <c r="H245">
        <v>0</v>
      </c>
      <c r="I245">
        <v>210.3</v>
      </c>
      <c r="J245">
        <v>56</v>
      </c>
      <c r="K245" s="10">
        <v>15.99</v>
      </c>
      <c r="L245" s="2">
        <f t="shared" si="6"/>
        <v>357.98882999999995</v>
      </c>
      <c r="M245" s="2">
        <f t="shared" si="7"/>
        <v>154.848375</v>
      </c>
      <c r="N245">
        <v>0</v>
      </c>
    </row>
    <row r="246" spans="1:14" x14ac:dyDescent="0.25">
      <c r="A246" s="15"/>
      <c r="B246" s="15"/>
      <c r="C246">
        <v>40</v>
      </c>
      <c r="D246">
        <v>336</v>
      </c>
      <c r="E246">
        <v>224</v>
      </c>
      <c r="F246">
        <v>726.1</v>
      </c>
      <c r="G246">
        <v>1015.6</v>
      </c>
      <c r="H246">
        <v>0</v>
      </c>
      <c r="I246">
        <v>210.3</v>
      </c>
      <c r="J246">
        <v>90</v>
      </c>
      <c r="K246" s="10">
        <v>20.68</v>
      </c>
      <c r="L246" s="2">
        <f t="shared" si="6"/>
        <v>357.98882999999995</v>
      </c>
      <c r="M246" s="2">
        <f t="shared" si="7"/>
        <v>154.848375</v>
      </c>
      <c r="N246">
        <v>0</v>
      </c>
    </row>
    <row r="247" spans="1:14" x14ac:dyDescent="0.25">
      <c r="A247" s="15"/>
      <c r="B247" s="15"/>
      <c r="C247">
        <v>45</v>
      </c>
      <c r="D247">
        <v>308</v>
      </c>
      <c r="E247">
        <v>252</v>
      </c>
      <c r="F247">
        <v>726.1</v>
      </c>
      <c r="G247">
        <v>1015.6</v>
      </c>
      <c r="H247">
        <v>0</v>
      </c>
      <c r="I247">
        <v>210.3</v>
      </c>
      <c r="J247">
        <v>14</v>
      </c>
      <c r="K247" s="10">
        <v>16.97</v>
      </c>
      <c r="L247" s="2">
        <f t="shared" si="6"/>
        <v>337.54882999999995</v>
      </c>
      <c r="M247" s="2">
        <f t="shared" si="7"/>
        <v>144.348375</v>
      </c>
      <c r="N247">
        <v>0</v>
      </c>
    </row>
    <row r="248" spans="1:14" x14ac:dyDescent="0.25">
      <c r="A248" s="15"/>
      <c r="B248" s="15"/>
      <c r="C248">
        <v>45</v>
      </c>
      <c r="D248">
        <v>308</v>
      </c>
      <c r="E248">
        <v>252</v>
      </c>
      <c r="F248">
        <v>726.1</v>
      </c>
      <c r="G248">
        <v>1015.6</v>
      </c>
      <c r="H248">
        <v>0</v>
      </c>
      <c r="I248">
        <v>210.3</v>
      </c>
      <c r="J248">
        <v>28</v>
      </c>
      <c r="K248" s="10">
        <v>20.39</v>
      </c>
      <c r="L248" s="2">
        <f t="shared" si="6"/>
        <v>337.54882999999995</v>
      </c>
      <c r="M248" s="2">
        <f t="shared" si="7"/>
        <v>144.348375</v>
      </c>
      <c r="N248">
        <v>0</v>
      </c>
    </row>
    <row r="249" spans="1:14" x14ac:dyDescent="0.25">
      <c r="A249" s="15"/>
      <c r="B249" s="15"/>
      <c r="C249">
        <v>45</v>
      </c>
      <c r="D249">
        <v>308</v>
      </c>
      <c r="E249">
        <v>252</v>
      </c>
      <c r="F249">
        <v>726.1</v>
      </c>
      <c r="G249">
        <v>1015.6</v>
      </c>
      <c r="H249">
        <v>0</v>
      </c>
      <c r="I249">
        <v>210.3</v>
      </c>
      <c r="J249">
        <v>56</v>
      </c>
      <c r="K249" s="10">
        <v>19.23</v>
      </c>
      <c r="L249" s="2">
        <f t="shared" si="6"/>
        <v>337.54882999999995</v>
      </c>
      <c r="M249" s="2">
        <f t="shared" si="7"/>
        <v>144.348375</v>
      </c>
      <c r="N249">
        <v>0</v>
      </c>
    </row>
    <row r="250" spans="1:14" x14ac:dyDescent="0.25">
      <c r="A250" s="15"/>
      <c r="B250" s="15"/>
      <c r="C250">
        <v>45</v>
      </c>
      <c r="D250">
        <v>308</v>
      </c>
      <c r="E250">
        <v>252</v>
      </c>
      <c r="F250">
        <v>726.1</v>
      </c>
      <c r="G250">
        <v>1015.6</v>
      </c>
      <c r="H250">
        <v>0</v>
      </c>
      <c r="I250">
        <v>210.3</v>
      </c>
      <c r="J250">
        <v>90</v>
      </c>
      <c r="K250" s="10">
        <v>21.89</v>
      </c>
      <c r="L250" s="2">
        <f t="shared" si="6"/>
        <v>337.54882999999995</v>
      </c>
      <c r="M250" s="2">
        <f t="shared" si="7"/>
        <v>144.348375</v>
      </c>
      <c r="N250">
        <v>0</v>
      </c>
    </row>
    <row r="251" spans="1:14" x14ac:dyDescent="0.25">
      <c r="A251" s="15"/>
      <c r="B251" s="15"/>
      <c r="C251">
        <v>50</v>
      </c>
      <c r="D251">
        <v>280</v>
      </c>
      <c r="E251">
        <v>280</v>
      </c>
      <c r="F251">
        <v>726.1</v>
      </c>
      <c r="G251">
        <v>1015.6</v>
      </c>
      <c r="H251">
        <v>0</v>
      </c>
      <c r="I251">
        <v>210.3</v>
      </c>
      <c r="J251">
        <v>14</v>
      </c>
      <c r="K251" s="10">
        <v>18.239999999999998</v>
      </c>
      <c r="L251" s="2">
        <f t="shared" si="6"/>
        <v>317.10882999999995</v>
      </c>
      <c r="M251" s="2">
        <f t="shared" si="7"/>
        <v>133.848375</v>
      </c>
      <c r="N251">
        <v>0</v>
      </c>
    </row>
    <row r="252" spans="1:14" x14ac:dyDescent="0.25">
      <c r="A252" s="15"/>
      <c r="B252" s="15"/>
      <c r="C252">
        <v>50</v>
      </c>
      <c r="D252">
        <v>280</v>
      </c>
      <c r="E252">
        <v>280</v>
      </c>
      <c r="F252">
        <v>726.1</v>
      </c>
      <c r="G252">
        <v>1015.6</v>
      </c>
      <c r="H252">
        <v>0</v>
      </c>
      <c r="I252">
        <v>210.3</v>
      </c>
      <c r="J252">
        <v>28</v>
      </c>
      <c r="K252" s="10">
        <v>16.41</v>
      </c>
      <c r="L252" s="2">
        <f t="shared" si="6"/>
        <v>317.10882999999995</v>
      </c>
      <c r="M252" s="2">
        <f t="shared" si="7"/>
        <v>133.848375</v>
      </c>
      <c r="N252">
        <v>0</v>
      </c>
    </row>
    <row r="253" spans="1:14" x14ac:dyDescent="0.25">
      <c r="A253" s="15"/>
      <c r="B253" s="15"/>
      <c r="C253">
        <v>50</v>
      </c>
      <c r="D253">
        <v>280</v>
      </c>
      <c r="E253">
        <v>280</v>
      </c>
      <c r="F253">
        <v>726.1</v>
      </c>
      <c r="G253">
        <v>1015.6</v>
      </c>
      <c r="H253">
        <v>0</v>
      </c>
      <c r="I253">
        <v>210.3</v>
      </c>
      <c r="J253">
        <v>56</v>
      </c>
      <c r="K253" s="10">
        <v>18.61</v>
      </c>
      <c r="L253" s="2">
        <f t="shared" si="6"/>
        <v>317.10882999999995</v>
      </c>
      <c r="M253" s="2">
        <f t="shared" si="7"/>
        <v>133.848375</v>
      </c>
      <c r="N253">
        <v>0</v>
      </c>
    </row>
    <row r="254" spans="1:14" x14ac:dyDescent="0.25">
      <c r="A254" s="15"/>
      <c r="B254" s="15"/>
      <c r="C254">
        <v>50</v>
      </c>
      <c r="D254">
        <v>280</v>
      </c>
      <c r="E254">
        <v>280</v>
      </c>
      <c r="F254">
        <v>726.1</v>
      </c>
      <c r="G254">
        <v>1015.6</v>
      </c>
      <c r="H254">
        <v>0</v>
      </c>
      <c r="I254">
        <v>210.3</v>
      </c>
      <c r="J254">
        <v>90</v>
      </c>
      <c r="K254" s="10">
        <v>21.29</v>
      </c>
      <c r="L254" s="2">
        <f t="shared" si="6"/>
        <v>317.10882999999995</v>
      </c>
      <c r="M254" s="2">
        <f t="shared" si="7"/>
        <v>133.848375</v>
      </c>
      <c r="N254">
        <v>0</v>
      </c>
    </row>
    <row r="255" spans="1:14" x14ac:dyDescent="0.25">
      <c r="A255" s="15" t="s">
        <v>88</v>
      </c>
      <c r="B255" s="15" t="s">
        <v>89</v>
      </c>
      <c r="C255">
        <v>0</v>
      </c>
      <c r="D255">
        <v>376.2</v>
      </c>
      <c r="E255">
        <v>0</v>
      </c>
      <c r="F255">
        <v>707.6</v>
      </c>
      <c r="G255">
        <v>1132.4000000000001</v>
      </c>
      <c r="H255">
        <v>0</v>
      </c>
      <c r="I255">
        <v>164</v>
      </c>
      <c r="J255">
        <v>14</v>
      </c>
      <c r="K255" s="10">
        <v>23.74</v>
      </c>
      <c r="L255" s="2">
        <f t="shared" si="6"/>
        <v>374.05880000000002</v>
      </c>
      <c r="M255" s="2">
        <f t="shared" si="7"/>
        <v>171.32849999999999</v>
      </c>
      <c r="N255">
        <v>0</v>
      </c>
    </row>
    <row r="256" spans="1:14" x14ac:dyDescent="0.25">
      <c r="A256" s="15"/>
      <c r="B256" s="15"/>
      <c r="C256">
        <v>0</v>
      </c>
      <c r="D256">
        <v>376.2</v>
      </c>
      <c r="E256">
        <v>0</v>
      </c>
      <c r="F256">
        <v>707.6</v>
      </c>
      <c r="G256">
        <v>1132.4000000000001</v>
      </c>
      <c r="H256">
        <v>0</v>
      </c>
      <c r="I256">
        <v>164</v>
      </c>
      <c r="J256">
        <v>28</v>
      </c>
      <c r="K256" s="10">
        <v>26.29</v>
      </c>
      <c r="L256" s="2">
        <f t="shared" si="6"/>
        <v>374.05880000000002</v>
      </c>
      <c r="M256" s="2">
        <f t="shared" si="7"/>
        <v>171.32849999999999</v>
      </c>
      <c r="N256">
        <v>0</v>
      </c>
    </row>
    <row r="257" spans="1:14" x14ac:dyDescent="0.25">
      <c r="A257" s="15"/>
      <c r="B257" s="15"/>
      <c r="C257">
        <v>0</v>
      </c>
      <c r="D257">
        <v>376.2</v>
      </c>
      <c r="E257">
        <v>0</v>
      </c>
      <c r="F257">
        <v>707.6</v>
      </c>
      <c r="G257">
        <v>1132.4000000000001</v>
      </c>
      <c r="H257">
        <v>0</v>
      </c>
      <c r="I257">
        <v>164</v>
      </c>
      <c r="J257">
        <v>56</v>
      </c>
      <c r="K257" s="10">
        <v>26.31</v>
      </c>
      <c r="L257" s="2">
        <f t="shared" si="6"/>
        <v>374.05880000000002</v>
      </c>
      <c r="M257" s="2">
        <f t="shared" si="7"/>
        <v>171.32849999999999</v>
      </c>
      <c r="N257">
        <v>0</v>
      </c>
    </row>
    <row r="258" spans="1:14" x14ac:dyDescent="0.25">
      <c r="A258" s="15"/>
      <c r="B258" s="15"/>
      <c r="C258">
        <v>0</v>
      </c>
      <c r="D258">
        <v>376.2</v>
      </c>
      <c r="E258">
        <v>0</v>
      </c>
      <c r="F258">
        <v>707.6</v>
      </c>
      <c r="G258">
        <v>1132.4000000000001</v>
      </c>
      <c r="H258">
        <v>0</v>
      </c>
      <c r="I258">
        <v>164</v>
      </c>
      <c r="J258">
        <v>90</v>
      </c>
      <c r="K258" s="10">
        <v>28.25</v>
      </c>
      <c r="L258" s="2">
        <f t="shared" ref="L258:L321" si="8">SUM((D258*0.83)+(E258*0.1)+(F258*0.0139)+(G258*0.0459)+(H258*2))</f>
        <v>374.05880000000002</v>
      </c>
      <c r="M258" s="2">
        <f t="shared" si="7"/>
        <v>171.32849999999999</v>
      </c>
      <c r="N258">
        <v>0</v>
      </c>
    </row>
    <row r="259" spans="1:14" x14ac:dyDescent="0.25">
      <c r="A259" s="15"/>
      <c r="B259" s="15"/>
      <c r="C259">
        <v>5</v>
      </c>
      <c r="D259">
        <v>357.39</v>
      </c>
      <c r="E259">
        <v>18.809999999999999</v>
      </c>
      <c r="F259">
        <v>707.6</v>
      </c>
      <c r="G259">
        <v>1132.4000000000001</v>
      </c>
      <c r="H259">
        <v>0</v>
      </c>
      <c r="I259">
        <v>164</v>
      </c>
      <c r="J259">
        <v>14</v>
      </c>
      <c r="K259" s="10">
        <v>21.72</v>
      </c>
      <c r="L259" s="2">
        <f t="shared" si="8"/>
        <v>360.32749999999999</v>
      </c>
      <c r="M259" s="2">
        <f t="shared" ref="M259:M322" si="9">SUM((D259*5)+((F259*0.25)+(G259*0.2)+(H259*20)))*0.075</f>
        <v>164.27474999999998</v>
      </c>
      <c r="N259">
        <v>0</v>
      </c>
    </row>
    <row r="260" spans="1:14" x14ac:dyDescent="0.25">
      <c r="A260" s="15"/>
      <c r="B260" s="15"/>
      <c r="C260">
        <v>5</v>
      </c>
      <c r="D260">
        <v>357.39</v>
      </c>
      <c r="E260">
        <v>18.809999999999999</v>
      </c>
      <c r="F260">
        <v>707.6</v>
      </c>
      <c r="G260">
        <v>1132.4000000000001</v>
      </c>
      <c r="H260">
        <v>0</v>
      </c>
      <c r="I260">
        <v>164</v>
      </c>
      <c r="J260">
        <v>28</v>
      </c>
      <c r="K260" s="10">
        <v>26.15</v>
      </c>
      <c r="L260" s="2">
        <f t="shared" si="8"/>
        <v>360.32749999999999</v>
      </c>
      <c r="M260" s="2">
        <f t="shared" si="9"/>
        <v>164.27474999999998</v>
      </c>
      <c r="N260">
        <v>0</v>
      </c>
    </row>
    <row r="261" spans="1:14" x14ac:dyDescent="0.25">
      <c r="A261" s="15"/>
      <c r="B261" s="15"/>
      <c r="C261">
        <v>5</v>
      </c>
      <c r="D261">
        <v>357.39</v>
      </c>
      <c r="E261">
        <v>18.809999999999999</v>
      </c>
      <c r="F261">
        <v>707.6</v>
      </c>
      <c r="G261">
        <v>1132.4000000000001</v>
      </c>
      <c r="H261">
        <v>0</v>
      </c>
      <c r="I261">
        <v>164</v>
      </c>
      <c r="J261">
        <v>56</v>
      </c>
      <c r="K261" s="10">
        <v>25.16</v>
      </c>
      <c r="L261" s="2">
        <f t="shared" si="8"/>
        <v>360.32749999999999</v>
      </c>
      <c r="M261" s="2">
        <f t="shared" si="9"/>
        <v>164.27474999999998</v>
      </c>
      <c r="N261">
        <v>0</v>
      </c>
    </row>
    <row r="262" spans="1:14" x14ac:dyDescent="0.25">
      <c r="A262" s="15"/>
      <c r="B262" s="15"/>
      <c r="C262">
        <v>5</v>
      </c>
      <c r="D262">
        <v>357.39</v>
      </c>
      <c r="E262">
        <v>18.809999999999999</v>
      </c>
      <c r="F262">
        <v>707.6</v>
      </c>
      <c r="G262">
        <v>1132.4000000000001</v>
      </c>
      <c r="H262">
        <v>0</v>
      </c>
      <c r="I262">
        <v>164</v>
      </c>
      <c r="J262">
        <v>90</v>
      </c>
      <c r="K262" s="10">
        <v>31.01</v>
      </c>
      <c r="L262" s="2">
        <f t="shared" si="8"/>
        <v>360.32749999999999</v>
      </c>
      <c r="M262" s="2">
        <f t="shared" si="9"/>
        <v>164.27474999999998</v>
      </c>
      <c r="N262">
        <v>0</v>
      </c>
    </row>
    <row r="263" spans="1:14" x14ac:dyDescent="0.25">
      <c r="A263" s="15"/>
      <c r="B263" s="15"/>
      <c r="C263">
        <v>10</v>
      </c>
      <c r="D263">
        <v>338.58</v>
      </c>
      <c r="E263">
        <v>37.619999999999997</v>
      </c>
      <c r="F263">
        <v>707.6</v>
      </c>
      <c r="G263">
        <v>1132.4000000000001</v>
      </c>
      <c r="H263">
        <v>0</v>
      </c>
      <c r="I263">
        <v>164</v>
      </c>
      <c r="J263">
        <v>14</v>
      </c>
      <c r="K263" s="10">
        <v>20.76</v>
      </c>
      <c r="L263" s="2">
        <f t="shared" si="8"/>
        <v>346.59620000000001</v>
      </c>
      <c r="M263" s="2">
        <f t="shared" si="9"/>
        <v>157.22099999999998</v>
      </c>
      <c r="N263">
        <v>0</v>
      </c>
    </row>
    <row r="264" spans="1:14" x14ac:dyDescent="0.25">
      <c r="A264" s="15"/>
      <c r="B264" s="15"/>
      <c r="C264">
        <v>10</v>
      </c>
      <c r="D264">
        <v>338.58</v>
      </c>
      <c r="E264">
        <v>37.619999999999997</v>
      </c>
      <c r="F264">
        <v>707.6</v>
      </c>
      <c r="G264">
        <v>1132.4000000000001</v>
      </c>
      <c r="H264">
        <v>0</v>
      </c>
      <c r="I264">
        <v>164</v>
      </c>
      <c r="J264">
        <v>28</v>
      </c>
      <c r="K264" s="10">
        <v>24.15</v>
      </c>
      <c r="L264" s="2">
        <f t="shared" si="8"/>
        <v>346.59620000000001</v>
      </c>
      <c r="M264" s="2">
        <f t="shared" si="9"/>
        <v>157.22099999999998</v>
      </c>
      <c r="N264">
        <v>0</v>
      </c>
    </row>
    <row r="265" spans="1:14" x14ac:dyDescent="0.25">
      <c r="A265" s="15"/>
      <c r="B265" s="15"/>
      <c r="C265">
        <v>10</v>
      </c>
      <c r="D265">
        <v>338.58</v>
      </c>
      <c r="E265">
        <v>37.619999999999997</v>
      </c>
      <c r="F265">
        <v>707.6</v>
      </c>
      <c r="G265">
        <v>1132.4000000000001</v>
      </c>
      <c r="H265">
        <v>0</v>
      </c>
      <c r="I265">
        <v>164</v>
      </c>
      <c r="J265">
        <v>56</v>
      </c>
      <c r="K265" s="10">
        <v>23.67</v>
      </c>
      <c r="L265" s="2">
        <f t="shared" si="8"/>
        <v>346.59620000000001</v>
      </c>
      <c r="M265" s="2">
        <f t="shared" si="9"/>
        <v>157.22099999999998</v>
      </c>
      <c r="N265">
        <v>0</v>
      </c>
    </row>
    <row r="266" spans="1:14" x14ac:dyDescent="0.25">
      <c r="A266" s="15"/>
      <c r="B266" s="15"/>
      <c r="C266">
        <v>10</v>
      </c>
      <c r="D266">
        <v>338.58</v>
      </c>
      <c r="E266">
        <v>37.619999999999997</v>
      </c>
      <c r="F266">
        <v>707.6</v>
      </c>
      <c r="G266">
        <v>1132.4000000000001</v>
      </c>
      <c r="H266">
        <v>0</v>
      </c>
      <c r="I266">
        <v>164</v>
      </c>
      <c r="J266">
        <v>90</v>
      </c>
      <c r="K266" s="10">
        <v>25.54</v>
      </c>
      <c r="L266" s="2">
        <f t="shared" si="8"/>
        <v>346.59620000000001</v>
      </c>
      <c r="M266" s="2">
        <f t="shared" si="9"/>
        <v>157.22099999999998</v>
      </c>
      <c r="N266">
        <v>0</v>
      </c>
    </row>
    <row r="267" spans="1:14" x14ac:dyDescent="0.25">
      <c r="A267" s="15"/>
      <c r="B267" s="15"/>
      <c r="C267">
        <v>15</v>
      </c>
      <c r="D267">
        <v>319.77</v>
      </c>
      <c r="E267">
        <v>56.43</v>
      </c>
      <c r="F267">
        <v>707.6</v>
      </c>
      <c r="G267">
        <v>1132.4000000000001</v>
      </c>
      <c r="H267">
        <v>0</v>
      </c>
      <c r="I267">
        <v>164</v>
      </c>
      <c r="J267">
        <v>14</v>
      </c>
      <c r="K267" s="10">
        <v>21.76</v>
      </c>
      <c r="L267" s="2">
        <f t="shared" si="8"/>
        <v>332.86490000000003</v>
      </c>
      <c r="M267" s="2">
        <f t="shared" si="9"/>
        <v>150.16725</v>
      </c>
      <c r="N267">
        <v>0</v>
      </c>
    </row>
    <row r="268" spans="1:14" x14ac:dyDescent="0.25">
      <c r="A268" s="15"/>
      <c r="B268" s="15"/>
      <c r="C268">
        <v>15</v>
      </c>
      <c r="D268">
        <v>319.77</v>
      </c>
      <c r="E268">
        <v>56.43</v>
      </c>
      <c r="F268">
        <v>707.6</v>
      </c>
      <c r="G268">
        <v>1132.4000000000001</v>
      </c>
      <c r="H268">
        <v>0</v>
      </c>
      <c r="I268">
        <v>164</v>
      </c>
      <c r="J268">
        <v>28</v>
      </c>
      <c r="K268" s="10">
        <v>23.08</v>
      </c>
      <c r="L268" s="2">
        <f t="shared" si="8"/>
        <v>332.86490000000003</v>
      </c>
      <c r="M268" s="2">
        <f t="shared" si="9"/>
        <v>150.16725</v>
      </c>
      <c r="N268">
        <v>0</v>
      </c>
    </row>
    <row r="269" spans="1:14" x14ac:dyDescent="0.25">
      <c r="A269" s="15"/>
      <c r="B269" s="15"/>
      <c r="C269">
        <v>15</v>
      </c>
      <c r="D269">
        <v>319.77</v>
      </c>
      <c r="E269">
        <v>56.43</v>
      </c>
      <c r="F269">
        <v>707.6</v>
      </c>
      <c r="G269">
        <v>1132.4000000000001</v>
      </c>
      <c r="H269">
        <v>0</v>
      </c>
      <c r="I269">
        <v>164</v>
      </c>
      <c r="J269">
        <v>56</v>
      </c>
      <c r="K269" s="10">
        <v>28.49</v>
      </c>
      <c r="L269" s="2">
        <f t="shared" si="8"/>
        <v>332.86490000000003</v>
      </c>
      <c r="M269" s="2">
        <f t="shared" si="9"/>
        <v>150.16725</v>
      </c>
      <c r="N269">
        <v>0</v>
      </c>
    </row>
    <row r="270" spans="1:14" x14ac:dyDescent="0.25">
      <c r="A270" s="15"/>
      <c r="B270" s="15"/>
      <c r="C270">
        <v>15</v>
      </c>
      <c r="D270">
        <v>319.77</v>
      </c>
      <c r="E270">
        <v>56.43</v>
      </c>
      <c r="F270">
        <v>707.6</v>
      </c>
      <c r="G270">
        <v>1132.4000000000001</v>
      </c>
      <c r="H270">
        <v>0</v>
      </c>
      <c r="I270">
        <v>164</v>
      </c>
      <c r="J270">
        <v>90</v>
      </c>
      <c r="K270" s="10">
        <v>27.54</v>
      </c>
      <c r="L270" s="2">
        <f t="shared" si="8"/>
        <v>332.86490000000003</v>
      </c>
      <c r="M270" s="2">
        <f t="shared" si="9"/>
        <v>150.16725</v>
      </c>
      <c r="N270">
        <v>0</v>
      </c>
    </row>
    <row r="271" spans="1:14" x14ac:dyDescent="0.25">
      <c r="A271" s="15"/>
      <c r="B271" s="15"/>
      <c r="C271">
        <v>20</v>
      </c>
      <c r="D271">
        <v>300.95999999999998</v>
      </c>
      <c r="E271">
        <v>75.239999999999995</v>
      </c>
      <c r="F271">
        <v>707.6</v>
      </c>
      <c r="G271">
        <v>1132.4000000000001</v>
      </c>
      <c r="H271">
        <v>0</v>
      </c>
      <c r="I271">
        <v>164</v>
      </c>
      <c r="J271">
        <v>14</v>
      </c>
      <c r="K271" s="10">
        <v>21.9</v>
      </c>
      <c r="L271" s="2">
        <f t="shared" si="8"/>
        <v>319.1336</v>
      </c>
      <c r="M271" s="2">
        <f t="shared" si="9"/>
        <v>143.11349999999999</v>
      </c>
      <c r="N271">
        <v>0</v>
      </c>
    </row>
    <row r="272" spans="1:14" x14ac:dyDescent="0.25">
      <c r="A272" s="15"/>
      <c r="B272" s="15"/>
      <c r="C272">
        <v>20</v>
      </c>
      <c r="D272">
        <v>300.95999999999998</v>
      </c>
      <c r="E272">
        <v>75.239999999999995</v>
      </c>
      <c r="F272">
        <v>707.6</v>
      </c>
      <c r="G272">
        <v>1132.4000000000001</v>
      </c>
      <c r="H272">
        <v>0</v>
      </c>
      <c r="I272">
        <v>164</v>
      </c>
      <c r="J272">
        <v>28</v>
      </c>
      <c r="K272" s="10">
        <v>22.72</v>
      </c>
      <c r="L272" s="2">
        <f t="shared" si="8"/>
        <v>319.1336</v>
      </c>
      <c r="M272" s="2">
        <f t="shared" si="9"/>
        <v>143.11349999999999</v>
      </c>
      <c r="N272">
        <v>0</v>
      </c>
    </row>
    <row r="273" spans="1:14" x14ac:dyDescent="0.25">
      <c r="A273" s="15"/>
      <c r="B273" s="15"/>
      <c r="C273">
        <v>20</v>
      </c>
      <c r="D273">
        <v>300.95999999999998</v>
      </c>
      <c r="E273">
        <v>75.239999999999995</v>
      </c>
      <c r="F273">
        <v>707.6</v>
      </c>
      <c r="G273">
        <v>1132.4000000000001</v>
      </c>
      <c r="H273">
        <v>0</v>
      </c>
      <c r="I273">
        <v>164</v>
      </c>
      <c r="J273">
        <v>56</v>
      </c>
      <c r="K273" s="10">
        <v>26.5</v>
      </c>
      <c r="L273" s="2">
        <f t="shared" si="8"/>
        <v>319.1336</v>
      </c>
      <c r="M273" s="2">
        <f t="shared" si="9"/>
        <v>143.11349999999999</v>
      </c>
      <c r="N273">
        <v>0</v>
      </c>
    </row>
    <row r="274" spans="1:14" x14ac:dyDescent="0.25">
      <c r="A274" s="15"/>
      <c r="B274" s="15"/>
      <c r="C274">
        <v>20</v>
      </c>
      <c r="D274">
        <v>300.95999999999998</v>
      </c>
      <c r="E274">
        <v>75.239999999999995</v>
      </c>
      <c r="F274">
        <v>707.6</v>
      </c>
      <c r="G274">
        <v>1132.4000000000001</v>
      </c>
      <c r="H274">
        <v>0</v>
      </c>
      <c r="I274">
        <v>164</v>
      </c>
      <c r="J274">
        <v>90</v>
      </c>
      <c r="K274" s="10">
        <v>28.26</v>
      </c>
      <c r="L274" s="2">
        <f t="shared" si="8"/>
        <v>319.1336</v>
      </c>
      <c r="M274" s="2">
        <f t="shared" si="9"/>
        <v>143.11349999999999</v>
      </c>
      <c r="N274">
        <v>0</v>
      </c>
    </row>
    <row r="275" spans="1:14" x14ac:dyDescent="0.25">
      <c r="A275" s="15"/>
      <c r="B275" s="15"/>
      <c r="C275">
        <v>25</v>
      </c>
      <c r="D275">
        <v>282.14999999999998</v>
      </c>
      <c r="E275">
        <v>94.05</v>
      </c>
      <c r="F275">
        <v>707.6</v>
      </c>
      <c r="G275">
        <v>1132.4000000000001</v>
      </c>
      <c r="H275">
        <v>0</v>
      </c>
      <c r="I275">
        <v>164</v>
      </c>
      <c r="J275">
        <v>14</v>
      </c>
      <c r="K275" s="10">
        <v>15.28</v>
      </c>
      <c r="L275" s="2">
        <f t="shared" si="8"/>
        <v>305.40229999999997</v>
      </c>
      <c r="M275" s="2">
        <f t="shared" si="9"/>
        <v>136.05975000000001</v>
      </c>
      <c r="N275">
        <v>0</v>
      </c>
    </row>
    <row r="276" spans="1:14" x14ac:dyDescent="0.25">
      <c r="A276" s="15"/>
      <c r="B276" s="15"/>
      <c r="C276">
        <v>25</v>
      </c>
      <c r="D276">
        <v>282.14999999999998</v>
      </c>
      <c r="E276">
        <v>94.05</v>
      </c>
      <c r="F276">
        <v>707.6</v>
      </c>
      <c r="G276">
        <v>1132.4000000000001</v>
      </c>
      <c r="H276">
        <v>0</v>
      </c>
      <c r="I276">
        <v>164</v>
      </c>
      <c r="J276">
        <v>28</v>
      </c>
      <c r="K276" s="10">
        <v>24.49</v>
      </c>
      <c r="L276" s="2">
        <f t="shared" si="8"/>
        <v>305.40229999999997</v>
      </c>
      <c r="M276" s="2">
        <f t="shared" si="9"/>
        <v>136.05975000000001</v>
      </c>
      <c r="N276">
        <v>0</v>
      </c>
    </row>
    <row r="277" spans="1:14" x14ac:dyDescent="0.25">
      <c r="A277" s="15"/>
      <c r="B277" s="15"/>
      <c r="C277">
        <v>25</v>
      </c>
      <c r="D277">
        <v>282.14999999999998</v>
      </c>
      <c r="E277">
        <v>94.05</v>
      </c>
      <c r="F277">
        <v>707.6</v>
      </c>
      <c r="G277">
        <v>1132.4000000000001</v>
      </c>
      <c r="H277">
        <v>0</v>
      </c>
      <c r="I277">
        <v>164</v>
      </c>
      <c r="J277">
        <v>56</v>
      </c>
      <c r="K277" s="10">
        <v>23.49</v>
      </c>
      <c r="L277" s="2">
        <f t="shared" si="8"/>
        <v>305.40229999999997</v>
      </c>
      <c r="M277" s="2">
        <f t="shared" si="9"/>
        <v>136.05975000000001</v>
      </c>
      <c r="N277">
        <v>0</v>
      </c>
    </row>
    <row r="278" spans="1:14" x14ac:dyDescent="0.25">
      <c r="A278" s="15"/>
      <c r="B278" s="15"/>
      <c r="C278">
        <v>25</v>
      </c>
      <c r="D278">
        <v>282.14999999999998</v>
      </c>
      <c r="E278">
        <v>94.05</v>
      </c>
      <c r="F278">
        <v>707.6</v>
      </c>
      <c r="G278">
        <v>1132.4000000000001</v>
      </c>
      <c r="H278">
        <v>0</v>
      </c>
      <c r="I278">
        <v>164</v>
      </c>
      <c r="J278">
        <v>90</v>
      </c>
      <c r="K278" s="10">
        <v>28.76</v>
      </c>
      <c r="L278" s="2">
        <f t="shared" si="8"/>
        <v>305.40229999999997</v>
      </c>
      <c r="M278" s="2">
        <f t="shared" si="9"/>
        <v>136.05975000000001</v>
      </c>
      <c r="N278">
        <v>0</v>
      </c>
    </row>
    <row r="279" spans="1:14" x14ac:dyDescent="0.25">
      <c r="A279" s="15"/>
      <c r="B279" s="15"/>
      <c r="C279">
        <v>30</v>
      </c>
      <c r="D279">
        <v>263.33999999999997</v>
      </c>
      <c r="E279">
        <v>112.86</v>
      </c>
      <c r="F279">
        <v>707.6</v>
      </c>
      <c r="G279">
        <v>1132.4000000000001</v>
      </c>
      <c r="H279">
        <v>0</v>
      </c>
      <c r="I279">
        <v>164</v>
      </c>
      <c r="J279">
        <v>14</v>
      </c>
      <c r="K279" s="10">
        <v>17.78</v>
      </c>
      <c r="L279" s="2">
        <f t="shared" si="8"/>
        <v>291.67099999999999</v>
      </c>
      <c r="M279" s="2">
        <f t="shared" si="9"/>
        <v>129.006</v>
      </c>
      <c r="N279">
        <v>0</v>
      </c>
    </row>
    <row r="280" spans="1:14" x14ac:dyDescent="0.25">
      <c r="A280" s="15"/>
      <c r="B280" s="15"/>
      <c r="C280">
        <v>30</v>
      </c>
      <c r="D280">
        <v>263.33999999999997</v>
      </c>
      <c r="E280">
        <v>112.86</v>
      </c>
      <c r="F280">
        <v>707.6</v>
      </c>
      <c r="G280">
        <v>1132.4000000000001</v>
      </c>
      <c r="H280">
        <v>0</v>
      </c>
      <c r="I280">
        <v>164</v>
      </c>
      <c r="J280">
        <v>28</v>
      </c>
      <c r="K280" s="10">
        <v>19.96</v>
      </c>
      <c r="L280" s="2">
        <f t="shared" si="8"/>
        <v>291.67099999999999</v>
      </c>
      <c r="M280" s="2">
        <f t="shared" si="9"/>
        <v>129.006</v>
      </c>
      <c r="N280">
        <v>0</v>
      </c>
    </row>
    <row r="281" spans="1:14" x14ac:dyDescent="0.25">
      <c r="A281" s="15"/>
      <c r="B281" s="15"/>
      <c r="C281">
        <v>30</v>
      </c>
      <c r="D281">
        <v>263.33999999999997</v>
      </c>
      <c r="E281">
        <v>112.86</v>
      </c>
      <c r="F281">
        <v>707.6</v>
      </c>
      <c r="G281">
        <v>1132.4000000000001</v>
      </c>
      <c r="H281">
        <v>0</v>
      </c>
      <c r="I281">
        <v>164</v>
      </c>
      <c r="J281">
        <v>56</v>
      </c>
      <c r="K281" s="10">
        <v>24.11</v>
      </c>
      <c r="L281" s="2">
        <f t="shared" si="8"/>
        <v>291.67099999999999</v>
      </c>
      <c r="M281" s="2">
        <f t="shared" si="9"/>
        <v>129.006</v>
      </c>
      <c r="N281">
        <v>0</v>
      </c>
    </row>
    <row r="282" spans="1:14" x14ac:dyDescent="0.25">
      <c r="A282" s="15"/>
      <c r="B282" s="15"/>
      <c r="C282">
        <v>30</v>
      </c>
      <c r="D282">
        <v>263.33999999999997</v>
      </c>
      <c r="E282">
        <v>112.86</v>
      </c>
      <c r="F282">
        <v>707.6</v>
      </c>
      <c r="G282">
        <v>1132.4000000000001</v>
      </c>
      <c r="H282">
        <v>0</v>
      </c>
      <c r="I282">
        <v>164</v>
      </c>
      <c r="J282">
        <v>90</v>
      </c>
      <c r="K282" s="10">
        <v>24.97</v>
      </c>
      <c r="L282" s="2">
        <f t="shared" si="8"/>
        <v>291.67099999999999</v>
      </c>
      <c r="M282" s="2">
        <f t="shared" si="9"/>
        <v>129.006</v>
      </c>
      <c r="N282">
        <v>0</v>
      </c>
    </row>
    <row r="283" spans="1:14" x14ac:dyDescent="0.25">
      <c r="A283" s="15"/>
      <c r="B283" s="15"/>
      <c r="C283">
        <v>35</v>
      </c>
      <c r="D283">
        <v>244.53</v>
      </c>
      <c r="E283">
        <v>131.66999999999999</v>
      </c>
      <c r="F283">
        <v>707.6</v>
      </c>
      <c r="G283">
        <v>1132.4000000000001</v>
      </c>
      <c r="H283">
        <v>0</v>
      </c>
      <c r="I283">
        <v>164</v>
      </c>
      <c r="J283">
        <v>14</v>
      </c>
      <c r="K283" s="10">
        <v>16.78</v>
      </c>
      <c r="L283" s="2">
        <f t="shared" si="8"/>
        <v>277.93970000000002</v>
      </c>
      <c r="M283" s="2">
        <f t="shared" si="9"/>
        <v>121.95225000000001</v>
      </c>
      <c r="N283">
        <v>0</v>
      </c>
    </row>
    <row r="284" spans="1:14" x14ac:dyDescent="0.25">
      <c r="A284" s="15"/>
      <c r="B284" s="15"/>
      <c r="C284">
        <v>35</v>
      </c>
      <c r="D284">
        <v>244.53</v>
      </c>
      <c r="E284">
        <v>131.66999999999999</v>
      </c>
      <c r="F284">
        <v>707.6</v>
      </c>
      <c r="G284">
        <v>1132.4000000000001</v>
      </c>
      <c r="H284">
        <v>0</v>
      </c>
      <c r="I284">
        <v>164</v>
      </c>
      <c r="J284">
        <v>28</v>
      </c>
      <c r="K284" s="10">
        <v>19.75</v>
      </c>
      <c r="L284" s="2">
        <f t="shared" si="8"/>
        <v>277.93970000000002</v>
      </c>
      <c r="M284" s="2">
        <f t="shared" si="9"/>
        <v>121.95225000000001</v>
      </c>
      <c r="N284">
        <v>0</v>
      </c>
    </row>
    <row r="285" spans="1:14" x14ac:dyDescent="0.25">
      <c r="A285" s="15"/>
      <c r="B285" s="15"/>
      <c r="C285">
        <v>35</v>
      </c>
      <c r="D285">
        <v>244.53</v>
      </c>
      <c r="E285">
        <v>131.66999999999999</v>
      </c>
      <c r="F285">
        <v>707.6</v>
      </c>
      <c r="G285">
        <v>1132.4000000000001</v>
      </c>
      <c r="H285">
        <v>0</v>
      </c>
      <c r="I285">
        <v>164</v>
      </c>
      <c r="J285">
        <v>56</v>
      </c>
      <c r="K285" s="10">
        <v>19.260000000000002</v>
      </c>
      <c r="L285" s="2">
        <f t="shared" si="8"/>
        <v>277.93970000000002</v>
      </c>
      <c r="M285" s="2">
        <f t="shared" si="9"/>
        <v>121.95225000000001</v>
      </c>
      <c r="N285">
        <v>0</v>
      </c>
    </row>
    <row r="286" spans="1:14" x14ac:dyDescent="0.25">
      <c r="A286" s="15"/>
      <c r="B286" s="15"/>
      <c r="C286">
        <v>35</v>
      </c>
      <c r="D286">
        <v>244.53</v>
      </c>
      <c r="E286">
        <v>131.66999999999999</v>
      </c>
      <c r="F286">
        <v>707.6</v>
      </c>
      <c r="G286">
        <v>1132.4000000000001</v>
      </c>
      <c r="H286">
        <v>0</v>
      </c>
      <c r="I286">
        <v>164</v>
      </c>
      <c r="J286">
        <v>90</v>
      </c>
      <c r="K286" s="10">
        <v>21.57</v>
      </c>
      <c r="L286" s="2">
        <f t="shared" si="8"/>
        <v>277.93970000000002</v>
      </c>
      <c r="M286" s="2">
        <f t="shared" si="9"/>
        <v>121.95225000000001</v>
      </c>
      <c r="N286">
        <v>0</v>
      </c>
    </row>
    <row r="287" spans="1:14" x14ac:dyDescent="0.25">
      <c r="A287" s="15"/>
      <c r="B287" s="15"/>
      <c r="C287">
        <v>40</v>
      </c>
      <c r="D287">
        <v>225.72</v>
      </c>
      <c r="E287">
        <v>150.47999999999999</v>
      </c>
      <c r="F287">
        <v>707.6</v>
      </c>
      <c r="G287">
        <v>1132.4000000000001</v>
      </c>
      <c r="H287">
        <v>0</v>
      </c>
      <c r="I287">
        <v>164</v>
      </c>
      <c r="J287">
        <v>14</v>
      </c>
      <c r="K287" s="10">
        <v>19.149999999999999</v>
      </c>
      <c r="L287" s="2">
        <f t="shared" si="8"/>
        <v>264.20840000000004</v>
      </c>
      <c r="M287" s="2">
        <f t="shared" si="9"/>
        <v>114.8985</v>
      </c>
      <c r="N287">
        <v>0</v>
      </c>
    </row>
    <row r="288" spans="1:14" x14ac:dyDescent="0.25">
      <c r="A288" s="15"/>
      <c r="B288" s="15"/>
      <c r="C288">
        <v>40</v>
      </c>
      <c r="D288">
        <v>225.72</v>
      </c>
      <c r="E288">
        <v>150.47999999999999</v>
      </c>
      <c r="F288">
        <v>707.6</v>
      </c>
      <c r="G288">
        <v>1132.4000000000001</v>
      </c>
      <c r="H288">
        <v>0</v>
      </c>
      <c r="I288">
        <v>164</v>
      </c>
      <c r="J288">
        <v>28</v>
      </c>
      <c r="K288" s="10">
        <v>19.399999999999999</v>
      </c>
      <c r="L288" s="2">
        <f t="shared" si="8"/>
        <v>264.20840000000004</v>
      </c>
      <c r="M288" s="2">
        <f t="shared" si="9"/>
        <v>114.8985</v>
      </c>
      <c r="N288">
        <v>0</v>
      </c>
    </row>
    <row r="289" spans="1:14" x14ac:dyDescent="0.25">
      <c r="A289" s="15"/>
      <c r="B289" s="15"/>
      <c r="C289">
        <v>40</v>
      </c>
      <c r="D289">
        <v>225.72</v>
      </c>
      <c r="E289">
        <v>150.47999999999999</v>
      </c>
      <c r="F289">
        <v>707.6</v>
      </c>
      <c r="G289">
        <v>1132.4000000000001</v>
      </c>
      <c r="H289">
        <v>0</v>
      </c>
      <c r="I289">
        <v>164</v>
      </c>
      <c r="J289">
        <v>56</v>
      </c>
      <c r="K289" s="10">
        <v>19.87</v>
      </c>
      <c r="L289" s="2">
        <f t="shared" si="8"/>
        <v>264.20840000000004</v>
      </c>
      <c r="M289" s="2">
        <f t="shared" si="9"/>
        <v>114.8985</v>
      </c>
      <c r="N289">
        <v>0</v>
      </c>
    </row>
    <row r="290" spans="1:14" x14ac:dyDescent="0.25">
      <c r="A290" s="15"/>
      <c r="B290" s="15"/>
      <c r="C290">
        <v>40</v>
      </c>
      <c r="D290">
        <v>225.72</v>
      </c>
      <c r="E290">
        <v>150.47999999999999</v>
      </c>
      <c r="F290">
        <v>707.6</v>
      </c>
      <c r="G290">
        <v>1132.4000000000001</v>
      </c>
      <c r="H290">
        <v>0</v>
      </c>
      <c r="I290">
        <v>164</v>
      </c>
      <c r="J290">
        <v>90</v>
      </c>
      <c r="K290" s="10">
        <v>23.26</v>
      </c>
      <c r="L290" s="2">
        <f t="shared" si="8"/>
        <v>264.20840000000004</v>
      </c>
      <c r="M290" s="2">
        <f t="shared" si="9"/>
        <v>114.8985</v>
      </c>
      <c r="N290">
        <v>0</v>
      </c>
    </row>
    <row r="291" spans="1:14" x14ac:dyDescent="0.25">
      <c r="A291" s="15"/>
      <c r="B291" s="15"/>
      <c r="C291">
        <v>45</v>
      </c>
      <c r="D291">
        <v>206.91</v>
      </c>
      <c r="E291">
        <v>169.29</v>
      </c>
      <c r="F291">
        <v>707.6</v>
      </c>
      <c r="G291">
        <v>1132.4000000000001</v>
      </c>
      <c r="H291">
        <v>0</v>
      </c>
      <c r="I291">
        <v>164</v>
      </c>
      <c r="J291">
        <v>14</v>
      </c>
      <c r="K291" s="10">
        <v>12.63</v>
      </c>
      <c r="L291" s="2">
        <f t="shared" si="8"/>
        <v>250.47710000000001</v>
      </c>
      <c r="M291" s="2">
        <f t="shared" si="9"/>
        <v>107.84474999999999</v>
      </c>
      <c r="N291">
        <v>0</v>
      </c>
    </row>
    <row r="292" spans="1:14" x14ac:dyDescent="0.25">
      <c r="A292" s="15"/>
      <c r="B292" s="15"/>
      <c r="C292">
        <v>45</v>
      </c>
      <c r="D292">
        <v>206.91</v>
      </c>
      <c r="E292">
        <v>169.29</v>
      </c>
      <c r="F292">
        <v>707.6</v>
      </c>
      <c r="G292">
        <v>1132.4000000000001</v>
      </c>
      <c r="H292">
        <v>0</v>
      </c>
      <c r="I292">
        <v>164</v>
      </c>
      <c r="J292">
        <v>28</v>
      </c>
      <c r="K292" s="10">
        <v>19.96</v>
      </c>
      <c r="L292" s="2">
        <f t="shared" si="8"/>
        <v>250.47710000000001</v>
      </c>
      <c r="M292" s="2">
        <f t="shared" si="9"/>
        <v>107.84474999999999</v>
      </c>
      <c r="N292">
        <v>0</v>
      </c>
    </row>
    <row r="293" spans="1:14" x14ac:dyDescent="0.25">
      <c r="A293" s="15"/>
      <c r="B293" s="15"/>
      <c r="C293">
        <v>45</v>
      </c>
      <c r="D293">
        <v>206.91</v>
      </c>
      <c r="E293">
        <v>169.29</v>
      </c>
      <c r="F293">
        <v>707.6</v>
      </c>
      <c r="G293">
        <v>1132.4000000000001</v>
      </c>
      <c r="H293">
        <v>0</v>
      </c>
      <c r="I293">
        <v>164</v>
      </c>
      <c r="J293">
        <v>56</v>
      </c>
      <c r="K293" s="10">
        <v>20.87</v>
      </c>
      <c r="L293" s="2">
        <f t="shared" si="8"/>
        <v>250.47710000000001</v>
      </c>
      <c r="M293" s="2">
        <f t="shared" si="9"/>
        <v>107.84474999999999</v>
      </c>
      <c r="N293">
        <v>0</v>
      </c>
    </row>
    <row r="294" spans="1:14" x14ac:dyDescent="0.25">
      <c r="A294" s="15"/>
      <c r="B294" s="15"/>
      <c r="C294">
        <v>45</v>
      </c>
      <c r="D294">
        <v>206.91</v>
      </c>
      <c r="E294">
        <v>169.29</v>
      </c>
      <c r="F294">
        <v>707.6</v>
      </c>
      <c r="G294">
        <v>1132.4000000000001</v>
      </c>
      <c r="H294">
        <v>0</v>
      </c>
      <c r="I294">
        <v>164</v>
      </c>
      <c r="J294">
        <v>90</v>
      </c>
      <c r="K294" s="10">
        <v>21.25</v>
      </c>
      <c r="L294" s="2">
        <f t="shared" si="8"/>
        <v>250.47710000000001</v>
      </c>
      <c r="M294" s="2">
        <f t="shared" si="9"/>
        <v>107.84474999999999</v>
      </c>
      <c r="N294">
        <v>0</v>
      </c>
    </row>
    <row r="295" spans="1:14" x14ac:dyDescent="0.25">
      <c r="A295" s="15"/>
      <c r="B295" s="15"/>
      <c r="C295">
        <v>50</v>
      </c>
      <c r="D295">
        <v>188.1</v>
      </c>
      <c r="E295">
        <v>188.1</v>
      </c>
      <c r="F295">
        <v>707.6</v>
      </c>
      <c r="G295">
        <v>1132.4000000000001</v>
      </c>
      <c r="H295">
        <v>0</v>
      </c>
      <c r="I295">
        <v>164</v>
      </c>
      <c r="J295">
        <v>14</v>
      </c>
      <c r="K295" s="10">
        <v>20.02</v>
      </c>
      <c r="L295" s="2">
        <f t="shared" si="8"/>
        <v>236.7458</v>
      </c>
      <c r="M295" s="2">
        <f t="shared" si="9"/>
        <v>100.79100000000001</v>
      </c>
      <c r="N295">
        <v>0</v>
      </c>
    </row>
    <row r="296" spans="1:14" x14ac:dyDescent="0.25">
      <c r="A296" s="15"/>
      <c r="B296" s="15"/>
      <c r="C296">
        <v>50</v>
      </c>
      <c r="D296">
        <v>188.1</v>
      </c>
      <c r="E296">
        <v>188.1</v>
      </c>
      <c r="F296">
        <v>707.6</v>
      </c>
      <c r="G296">
        <v>1132.4000000000001</v>
      </c>
      <c r="H296">
        <v>0</v>
      </c>
      <c r="I296">
        <v>164</v>
      </c>
      <c r="J296">
        <v>28</v>
      </c>
      <c r="K296" s="10">
        <v>19.03</v>
      </c>
      <c r="L296" s="2">
        <f t="shared" si="8"/>
        <v>236.7458</v>
      </c>
      <c r="M296" s="2">
        <f t="shared" si="9"/>
        <v>100.79100000000001</v>
      </c>
      <c r="N296">
        <v>0</v>
      </c>
    </row>
    <row r="297" spans="1:14" x14ac:dyDescent="0.25">
      <c r="A297" s="15"/>
      <c r="B297" s="15"/>
      <c r="C297">
        <v>50</v>
      </c>
      <c r="D297">
        <v>188.1</v>
      </c>
      <c r="E297">
        <v>188.1</v>
      </c>
      <c r="F297">
        <v>707.6</v>
      </c>
      <c r="G297">
        <v>1132.4000000000001</v>
      </c>
      <c r="H297">
        <v>0</v>
      </c>
      <c r="I297">
        <v>164</v>
      </c>
      <c r="J297">
        <v>56</v>
      </c>
      <c r="K297" s="10">
        <v>20.28</v>
      </c>
      <c r="L297" s="2">
        <f t="shared" si="8"/>
        <v>236.7458</v>
      </c>
      <c r="M297" s="2">
        <f t="shared" si="9"/>
        <v>100.79100000000001</v>
      </c>
      <c r="N297">
        <v>0</v>
      </c>
    </row>
    <row r="298" spans="1:14" x14ac:dyDescent="0.25">
      <c r="A298" s="15"/>
      <c r="B298" s="15"/>
      <c r="C298">
        <v>50</v>
      </c>
      <c r="D298">
        <v>188.1</v>
      </c>
      <c r="E298">
        <v>188.1</v>
      </c>
      <c r="F298">
        <v>707.6</v>
      </c>
      <c r="G298">
        <v>1132.4000000000001</v>
      </c>
      <c r="H298">
        <v>0</v>
      </c>
      <c r="I298">
        <v>164</v>
      </c>
      <c r="J298">
        <v>90</v>
      </c>
      <c r="K298" s="10">
        <v>19.489999999999998</v>
      </c>
      <c r="L298" s="2">
        <f t="shared" si="8"/>
        <v>236.7458</v>
      </c>
      <c r="M298" s="2">
        <f t="shared" si="9"/>
        <v>100.79100000000001</v>
      </c>
      <c r="N298">
        <v>0</v>
      </c>
    </row>
    <row r="299" spans="1:14" x14ac:dyDescent="0.25">
      <c r="A299" s="15" t="s">
        <v>90</v>
      </c>
      <c r="B299" s="15" t="s">
        <v>91</v>
      </c>
      <c r="C299">
        <v>0</v>
      </c>
      <c r="D299">
        <v>417.4</v>
      </c>
      <c r="E299">
        <v>0</v>
      </c>
      <c r="F299">
        <v>769.5</v>
      </c>
      <c r="G299">
        <v>1137.8</v>
      </c>
      <c r="H299">
        <v>0</v>
      </c>
      <c r="I299">
        <v>129.69999999999999</v>
      </c>
      <c r="J299">
        <v>14</v>
      </c>
      <c r="K299" s="10">
        <v>23.9</v>
      </c>
      <c r="L299" s="2">
        <f t="shared" si="8"/>
        <v>409.36306999999999</v>
      </c>
      <c r="M299" s="2">
        <f t="shared" si="9"/>
        <v>188.02012499999998</v>
      </c>
      <c r="N299">
        <v>0</v>
      </c>
    </row>
    <row r="300" spans="1:14" x14ac:dyDescent="0.25">
      <c r="A300" s="15"/>
      <c r="B300" s="15"/>
      <c r="C300">
        <v>0</v>
      </c>
      <c r="D300">
        <v>417.4</v>
      </c>
      <c r="E300">
        <v>0</v>
      </c>
      <c r="F300">
        <v>769.5</v>
      </c>
      <c r="G300">
        <v>1137.8</v>
      </c>
      <c r="H300">
        <v>0</v>
      </c>
      <c r="I300">
        <v>129.69999999999999</v>
      </c>
      <c r="J300">
        <v>56</v>
      </c>
      <c r="K300" s="10">
        <v>25.83</v>
      </c>
      <c r="L300" s="2">
        <f t="shared" si="8"/>
        <v>409.36306999999999</v>
      </c>
      <c r="M300" s="2">
        <f t="shared" si="9"/>
        <v>188.02012499999998</v>
      </c>
      <c r="N300">
        <v>0</v>
      </c>
    </row>
    <row r="301" spans="1:14" x14ac:dyDescent="0.25">
      <c r="A301" s="15"/>
      <c r="B301" s="15"/>
      <c r="C301">
        <v>0</v>
      </c>
      <c r="D301">
        <v>417.4</v>
      </c>
      <c r="E301">
        <v>0</v>
      </c>
      <c r="F301">
        <v>769.5</v>
      </c>
      <c r="G301">
        <v>1137.8</v>
      </c>
      <c r="H301">
        <v>0</v>
      </c>
      <c r="I301">
        <v>129.69999999999999</v>
      </c>
      <c r="J301">
        <v>90</v>
      </c>
      <c r="K301" s="10">
        <v>31.29</v>
      </c>
      <c r="L301" s="2">
        <f t="shared" si="8"/>
        <v>409.36306999999999</v>
      </c>
      <c r="M301" s="2">
        <f t="shared" si="9"/>
        <v>188.02012499999998</v>
      </c>
      <c r="N301">
        <v>0</v>
      </c>
    </row>
    <row r="302" spans="1:14" x14ac:dyDescent="0.25">
      <c r="A302" s="15"/>
      <c r="B302" s="15"/>
      <c r="C302">
        <v>5</v>
      </c>
      <c r="D302">
        <v>396.53</v>
      </c>
      <c r="E302">
        <v>20.87</v>
      </c>
      <c r="F302">
        <v>769.5</v>
      </c>
      <c r="G302">
        <v>1137.8</v>
      </c>
      <c r="H302">
        <v>0</v>
      </c>
      <c r="I302">
        <v>129.69999999999999</v>
      </c>
      <c r="J302">
        <v>14</v>
      </c>
      <c r="K302" s="10">
        <v>23.77</v>
      </c>
      <c r="L302" s="2">
        <f t="shared" si="8"/>
        <v>394.12797</v>
      </c>
      <c r="M302" s="2">
        <f t="shared" si="9"/>
        <v>180.19387499999999</v>
      </c>
      <c r="N302">
        <v>0</v>
      </c>
    </row>
    <row r="303" spans="1:14" x14ac:dyDescent="0.25">
      <c r="A303" s="15"/>
      <c r="B303" s="15"/>
      <c r="C303">
        <v>5</v>
      </c>
      <c r="D303">
        <v>396.53</v>
      </c>
      <c r="E303">
        <v>20.87</v>
      </c>
      <c r="F303">
        <v>769.5</v>
      </c>
      <c r="G303">
        <v>1137.8</v>
      </c>
      <c r="H303">
        <v>0</v>
      </c>
      <c r="I303">
        <v>129.69999999999999</v>
      </c>
      <c r="J303">
        <v>56</v>
      </c>
      <c r="K303" s="10">
        <v>26.99</v>
      </c>
      <c r="L303" s="2">
        <f t="shared" si="8"/>
        <v>394.12797</v>
      </c>
      <c r="M303" s="2">
        <f t="shared" si="9"/>
        <v>180.19387499999999</v>
      </c>
      <c r="N303">
        <v>0</v>
      </c>
    </row>
    <row r="304" spans="1:14" x14ac:dyDescent="0.25">
      <c r="A304" s="15"/>
      <c r="B304" s="15"/>
      <c r="C304">
        <v>5</v>
      </c>
      <c r="D304">
        <v>396.53</v>
      </c>
      <c r="E304">
        <v>20.87</v>
      </c>
      <c r="F304">
        <v>769.5</v>
      </c>
      <c r="G304">
        <v>1137.8</v>
      </c>
      <c r="H304">
        <v>0</v>
      </c>
      <c r="I304">
        <v>129.69999999999999</v>
      </c>
      <c r="J304">
        <v>90</v>
      </c>
      <c r="K304" s="10">
        <v>28.77</v>
      </c>
      <c r="L304" s="2">
        <f t="shared" si="8"/>
        <v>394.12797</v>
      </c>
      <c r="M304" s="2">
        <f t="shared" si="9"/>
        <v>180.19387499999999</v>
      </c>
      <c r="N304">
        <v>0</v>
      </c>
    </row>
    <row r="305" spans="1:14" x14ac:dyDescent="0.25">
      <c r="A305" s="15"/>
      <c r="B305" s="15"/>
      <c r="C305">
        <v>10</v>
      </c>
      <c r="D305">
        <v>375.66</v>
      </c>
      <c r="E305">
        <v>41.74</v>
      </c>
      <c r="F305">
        <v>769.5</v>
      </c>
      <c r="G305">
        <v>1137.8</v>
      </c>
      <c r="H305">
        <v>0</v>
      </c>
      <c r="I305">
        <v>129.69999999999999</v>
      </c>
      <c r="J305">
        <v>14</v>
      </c>
      <c r="K305" s="10">
        <v>21.88</v>
      </c>
      <c r="L305" s="2">
        <f t="shared" si="8"/>
        <v>378.89287000000002</v>
      </c>
      <c r="M305" s="2">
        <f t="shared" si="9"/>
        <v>172.367625</v>
      </c>
      <c r="N305">
        <v>0</v>
      </c>
    </row>
    <row r="306" spans="1:14" x14ac:dyDescent="0.25">
      <c r="A306" s="15"/>
      <c r="B306" s="15"/>
      <c r="C306">
        <v>10</v>
      </c>
      <c r="D306">
        <v>375.66</v>
      </c>
      <c r="E306">
        <v>41.74</v>
      </c>
      <c r="F306">
        <v>769.5</v>
      </c>
      <c r="G306">
        <v>1137.8</v>
      </c>
      <c r="H306">
        <v>0</v>
      </c>
      <c r="I306">
        <v>129.69999999999999</v>
      </c>
      <c r="J306">
        <v>56</v>
      </c>
      <c r="K306" s="10">
        <v>25.63</v>
      </c>
      <c r="L306" s="2">
        <f t="shared" si="8"/>
        <v>378.89287000000002</v>
      </c>
      <c r="M306" s="2">
        <f t="shared" si="9"/>
        <v>172.367625</v>
      </c>
      <c r="N306">
        <v>0</v>
      </c>
    </row>
    <row r="307" spans="1:14" x14ac:dyDescent="0.25">
      <c r="A307" s="15"/>
      <c r="B307" s="15"/>
      <c r="C307">
        <v>10</v>
      </c>
      <c r="D307">
        <v>375.66</v>
      </c>
      <c r="E307">
        <v>41.74</v>
      </c>
      <c r="F307">
        <v>769.5</v>
      </c>
      <c r="G307">
        <v>1137.8</v>
      </c>
      <c r="H307">
        <v>0</v>
      </c>
      <c r="I307">
        <v>129.69999999999999</v>
      </c>
      <c r="J307">
        <v>90</v>
      </c>
      <c r="K307" s="10">
        <v>25.6</v>
      </c>
      <c r="L307" s="2">
        <f t="shared" si="8"/>
        <v>378.89287000000002</v>
      </c>
      <c r="M307" s="2">
        <f t="shared" si="9"/>
        <v>172.367625</v>
      </c>
      <c r="N307">
        <v>0</v>
      </c>
    </row>
    <row r="308" spans="1:14" x14ac:dyDescent="0.25">
      <c r="A308" s="15"/>
      <c r="B308" s="15"/>
      <c r="C308">
        <v>15</v>
      </c>
      <c r="D308">
        <v>354.79</v>
      </c>
      <c r="E308">
        <v>62.61</v>
      </c>
      <c r="F308">
        <v>769.5</v>
      </c>
      <c r="G308">
        <v>1137.8</v>
      </c>
      <c r="H308">
        <v>0</v>
      </c>
      <c r="I308">
        <v>129.69999999999999</v>
      </c>
      <c r="J308">
        <v>14</v>
      </c>
      <c r="K308" s="10">
        <v>23.07</v>
      </c>
      <c r="L308" s="2">
        <f t="shared" si="8"/>
        <v>363.65777000000003</v>
      </c>
      <c r="M308" s="2">
        <f t="shared" si="9"/>
        <v>164.54137500000002</v>
      </c>
      <c r="N308">
        <v>0</v>
      </c>
    </row>
    <row r="309" spans="1:14" x14ac:dyDescent="0.25">
      <c r="A309" s="15"/>
      <c r="B309" s="15"/>
      <c r="C309">
        <v>15</v>
      </c>
      <c r="D309">
        <v>354.79</v>
      </c>
      <c r="E309">
        <v>62.61</v>
      </c>
      <c r="F309">
        <v>769.5</v>
      </c>
      <c r="G309">
        <v>1137.8</v>
      </c>
      <c r="H309">
        <v>0</v>
      </c>
      <c r="I309">
        <v>129.69999999999999</v>
      </c>
      <c r="J309">
        <v>56</v>
      </c>
      <c r="K309" s="10">
        <v>24.72</v>
      </c>
      <c r="L309" s="2">
        <f t="shared" si="8"/>
        <v>363.65777000000003</v>
      </c>
      <c r="M309" s="2">
        <f t="shared" si="9"/>
        <v>164.54137500000002</v>
      </c>
      <c r="N309">
        <v>0</v>
      </c>
    </row>
    <row r="310" spans="1:14" x14ac:dyDescent="0.25">
      <c r="A310" s="15"/>
      <c r="B310" s="15"/>
      <c r="C310">
        <v>15</v>
      </c>
      <c r="D310">
        <v>354.79</v>
      </c>
      <c r="E310">
        <v>62.61</v>
      </c>
      <c r="F310">
        <v>769.5</v>
      </c>
      <c r="G310">
        <v>1137.8</v>
      </c>
      <c r="H310">
        <v>0</v>
      </c>
      <c r="I310">
        <v>129.69999999999999</v>
      </c>
      <c r="J310">
        <v>90</v>
      </c>
      <c r="K310" s="10">
        <v>25.76</v>
      </c>
      <c r="L310" s="2">
        <f t="shared" si="8"/>
        <v>363.65777000000003</v>
      </c>
      <c r="M310" s="2">
        <f t="shared" si="9"/>
        <v>164.54137500000002</v>
      </c>
      <c r="N310">
        <v>0</v>
      </c>
    </row>
    <row r="311" spans="1:14" x14ac:dyDescent="0.25">
      <c r="A311" s="15"/>
      <c r="B311" s="15"/>
      <c r="C311">
        <v>20</v>
      </c>
      <c r="D311">
        <v>333.92</v>
      </c>
      <c r="E311">
        <v>83.48</v>
      </c>
      <c r="F311">
        <v>769.5</v>
      </c>
      <c r="G311">
        <v>1137.8</v>
      </c>
      <c r="H311">
        <v>0</v>
      </c>
      <c r="I311">
        <v>129.69999999999999</v>
      </c>
      <c r="J311">
        <v>14</v>
      </c>
      <c r="K311" s="10">
        <v>23.78</v>
      </c>
      <c r="L311" s="2">
        <f t="shared" si="8"/>
        <v>348.42267000000004</v>
      </c>
      <c r="M311" s="2">
        <f t="shared" si="9"/>
        <v>156.71512500000003</v>
      </c>
      <c r="N311">
        <v>0</v>
      </c>
    </row>
    <row r="312" spans="1:14" x14ac:dyDescent="0.25">
      <c r="A312" s="15"/>
      <c r="B312" s="15"/>
      <c r="C312">
        <v>20</v>
      </c>
      <c r="D312">
        <v>333.92</v>
      </c>
      <c r="E312">
        <v>83.48</v>
      </c>
      <c r="F312">
        <v>769.5</v>
      </c>
      <c r="G312">
        <v>1137.8</v>
      </c>
      <c r="H312">
        <v>0</v>
      </c>
      <c r="I312">
        <v>129.69999999999999</v>
      </c>
      <c r="J312">
        <v>56</v>
      </c>
      <c r="K312" s="10">
        <v>27.93</v>
      </c>
      <c r="L312" s="2">
        <f t="shared" si="8"/>
        <v>348.42267000000004</v>
      </c>
      <c r="M312" s="2">
        <f t="shared" si="9"/>
        <v>156.71512500000003</v>
      </c>
      <c r="N312">
        <v>0</v>
      </c>
    </row>
    <row r="313" spans="1:14" x14ac:dyDescent="0.25">
      <c r="A313" s="15"/>
      <c r="B313" s="15"/>
      <c r="C313">
        <v>20</v>
      </c>
      <c r="D313">
        <v>333.92</v>
      </c>
      <c r="E313">
        <v>83.48</v>
      </c>
      <c r="F313">
        <v>769.5</v>
      </c>
      <c r="G313">
        <v>1137.8</v>
      </c>
      <c r="H313">
        <v>0</v>
      </c>
      <c r="I313">
        <v>129.69999999999999</v>
      </c>
      <c r="J313">
        <v>90</v>
      </c>
      <c r="K313" s="10">
        <v>28.55</v>
      </c>
      <c r="L313" s="2">
        <f t="shared" si="8"/>
        <v>348.42267000000004</v>
      </c>
      <c r="M313" s="2">
        <f t="shared" si="9"/>
        <v>156.71512500000003</v>
      </c>
      <c r="N313">
        <v>0</v>
      </c>
    </row>
    <row r="314" spans="1:14" x14ac:dyDescent="0.25">
      <c r="A314" s="15"/>
      <c r="B314" s="15"/>
      <c r="C314">
        <v>25</v>
      </c>
      <c r="D314">
        <v>313.05</v>
      </c>
      <c r="E314">
        <v>104.35</v>
      </c>
      <c r="F314">
        <v>769.5</v>
      </c>
      <c r="G314">
        <v>1137.8</v>
      </c>
      <c r="H314">
        <v>0</v>
      </c>
      <c r="I314">
        <v>129.69999999999999</v>
      </c>
      <c r="J314">
        <v>14</v>
      </c>
      <c r="K314" s="10">
        <v>18.45</v>
      </c>
      <c r="L314" s="2">
        <f t="shared" si="8"/>
        <v>333.18757000000005</v>
      </c>
      <c r="M314" s="2">
        <f t="shared" si="9"/>
        <v>148.88887499999998</v>
      </c>
      <c r="N314">
        <v>0</v>
      </c>
    </row>
    <row r="315" spans="1:14" x14ac:dyDescent="0.25">
      <c r="A315" s="15"/>
      <c r="B315" s="15"/>
      <c r="C315">
        <v>25</v>
      </c>
      <c r="D315">
        <v>313.05</v>
      </c>
      <c r="E315">
        <v>104.35</v>
      </c>
      <c r="F315">
        <v>769.5</v>
      </c>
      <c r="G315">
        <v>1137.8</v>
      </c>
      <c r="H315">
        <v>0</v>
      </c>
      <c r="I315">
        <v>129.69999999999999</v>
      </c>
      <c r="J315">
        <v>56</v>
      </c>
      <c r="K315" s="10">
        <v>27.28</v>
      </c>
      <c r="L315" s="2">
        <f t="shared" si="8"/>
        <v>333.18757000000005</v>
      </c>
      <c r="M315" s="2">
        <f t="shared" si="9"/>
        <v>148.88887499999998</v>
      </c>
      <c r="N315">
        <v>0</v>
      </c>
    </row>
    <row r="316" spans="1:14" x14ac:dyDescent="0.25">
      <c r="A316" s="15"/>
      <c r="B316" s="15"/>
      <c r="C316">
        <v>25</v>
      </c>
      <c r="D316">
        <v>313.05</v>
      </c>
      <c r="E316">
        <v>104.35</v>
      </c>
      <c r="F316">
        <v>769.5</v>
      </c>
      <c r="G316">
        <v>1137.8</v>
      </c>
      <c r="H316">
        <v>0</v>
      </c>
      <c r="I316">
        <v>129.69999999999999</v>
      </c>
      <c r="J316">
        <v>90</v>
      </c>
      <c r="K316" s="10">
        <v>24.94</v>
      </c>
      <c r="L316" s="2">
        <f t="shared" si="8"/>
        <v>333.18757000000005</v>
      </c>
      <c r="M316" s="2">
        <f t="shared" si="9"/>
        <v>148.88887499999998</v>
      </c>
      <c r="N316">
        <v>0</v>
      </c>
    </row>
    <row r="317" spans="1:14" x14ac:dyDescent="0.25">
      <c r="A317" s="15"/>
      <c r="B317" s="15"/>
      <c r="C317">
        <v>30</v>
      </c>
      <c r="D317">
        <v>292.18</v>
      </c>
      <c r="E317">
        <v>125.22</v>
      </c>
      <c r="F317">
        <v>769.5</v>
      </c>
      <c r="G317">
        <v>1137.8</v>
      </c>
      <c r="H317">
        <v>0</v>
      </c>
      <c r="I317">
        <v>129.69999999999999</v>
      </c>
      <c r="J317">
        <v>14</v>
      </c>
      <c r="K317" s="10">
        <v>20.94</v>
      </c>
      <c r="L317" s="2">
        <f t="shared" si="8"/>
        <v>317.95246999999995</v>
      </c>
      <c r="M317" s="2">
        <f t="shared" si="9"/>
        <v>141.062625</v>
      </c>
      <c r="N317">
        <v>0</v>
      </c>
    </row>
    <row r="318" spans="1:14" x14ac:dyDescent="0.25">
      <c r="A318" s="15"/>
      <c r="B318" s="15"/>
      <c r="C318">
        <v>30</v>
      </c>
      <c r="D318">
        <v>292.18</v>
      </c>
      <c r="E318">
        <v>125.22</v>
      </c>
      <c r="F318">
        <v>769.5</v>
      </c>
      <c r="G318">
        <v>1137.8</v>
      </c>
      <c r="H318">
        <v>0</v>
      </c>
      <c r="I318">
        <v>129.69999999999999</v>
      </c>
      <c r="J318">
        <v>56</v>
      </c>
      <c r="K318" s="10">
        <v>20.48</v>
      </c>
      <c r="L318" s="2">
        <f t="shared" si="8"/>
        <v>317.95246999999995</v>
      </c>
      <c r="M318" s="2">
        <f t="shared" si="9"/>
        <v>141.062625</v>
      </c>
      <c r="N318">
        <v>0</v>
      </c>
    </row>
    <row r="319" spans="1:14" x14ac:dyDescent="0.25">
      <c r="A319" s="15"/>
      <c r="B319" s="15"/>
      <c r="C319">
        <v>30</v>
      </c>
      <c r="D319">
        <v>292.18</v>
      </c>
      <c r="E319">
        <v>125.22</v>
      </c>
      <c r="F319">
        <v>769.5</v>
      </c>
      <c r="G319">
        <v>1137.8</v>
      </c>
      <c r="H319">
        <v>0</v>
      </c>
      <c r="I319">
        <v>129.69999999999999</v>
      </c>
      <c r="J319">
        <v>90</v>
      </c>
      <c r="K319" s="10">
        <v>21.44</v>
      </c>
      <c r="L319" s="2">
        <f t="shared" si="8"/>
        <v>317.95246999999995</v>
      </c>
      <c r="M319" s="2">
        <f t="shared" si="9"/>
        <v>141.062625</v>
      </c>
      <c r="N319">
        <v>0</v>
      </c>
    </row>
    <row r="320" spans="1:14" x14ac:dyDescent="0.25">
      <c r="A320" s="15"/>
      <c r="B320" s="15"/>
      <c r="C320">
        <v>35</v>
      </c>
      <c r="D320">
        <v>271.31</v>
      </c>
      <c r="E320">
        <v>146.09</v>
      </c>
      <c r="F320">
        <v>769.5</v>
      </c>
      <c r="G320">
        <v>1137.8</v>
      </c>
      <c r="H320">
        <v>0</v>
      </c>
      <c r="I320">
        <v>129.69999999999999</v>
      </c>
      <c r="J320">
        <v>14</v>
      </c>
      <c r="K320" s="10">
        <v>14.62</v>
      </c>
      <c r="L320" s="2">
        <f t="shared" si="8"/>
        <v>302.71736999999996</v>
      </c>
      <c r="M320" s="2">
        <f t="shared" si="9"/>
        <v>133.23637499999998</v>
      </c>
      <c r="N320">
        <v>0</v>
      </c>
    </row>
    <row r="321" spans="1:14" x14ac:dyDescent="0.25">
      <c r="A321" s="15"/>
      <c r="B321" s="15"/>
      <c r="C321">
        <v>35</v>
      </c>
      <c r="D321">
        <v>271.31</v>
      </c>
      <c r="E321">
        <v>146.09</v>
      </c>
      <c r="F321">
        <v>769.5</v>
      </c>
      <c r="G321">
        <v>1137.8</v>
      </c>
      <c r="H321">
        <v>0</v>
      </c>
      <c r="I321">
        <v>129.69999999999999</v>
      </c>
      <c r="J321">
        <v>56</v>
      </c>
      <c r="K321" s="10">
        <v>22.61</v>
      </c>
      <c r="L321" s="2">
        <f t="shared" si="8"/>
        <v>302.71736999999996</v>
      </c>
      <c r="M321" s="2">
        <f t="shared" si="9"/>
        <v>133.23637499999998</v>
      </c>
      <c r="N321">
        <v>0</v>
      </c>
    </row>
    <row r="322" spans="1:14" x14ac:dyDescent="0.25">
      <c r="A322" s="15"/>
      <c r="B322" s="15"/>
      <c r="C322">
        <v>35</v>
      </c>
      <c r="D322">
        <v>271.31</v>
      </c>
      <c r="E322">
        <v>146.09</v>
      </c>
      <c r="F322">
        <v>769.5</v>
      </c>
      <c r="G322">
        <v>1137.8</v>
      </c>
      <c r="H322">
        <v>0</v>
      </c>
      <c r="I322">
        <v>129.69999999999999</v>
      </c>
      <c r="J322">
        <v>90</v>
      </c>
      <c r="K322" s="10">
        <v>20.46</v>
      </c>
      <c r="L322" s="2">
        <f t="shared" ref="L322:L385" si="10">SUM((D322*0.83)+(E322*0.1)+(F322*0.0139)+(G322*0.0459)+(H322*2))</f>
        <v>302.71736999999996</v>
      </c>
      <c r="M322" s="2">
        <f t="shared" si="9"/>
        <v>133.23637499999998</v>
      </c>
      <c r="N322">
        <v>0</v>
      </c>
    </row>
    <row r="323" spans="1:14" x14ac:dyDescent="0.25">
      <c r="A323" s="15"/>
      <c r="B323" s="15"/>
      <c r="C323">
        <v>40</v>
      </c>
      <c r="D323">
        <v>250.44</v>
      </c>
      <c r="E323">
        <v>166.96</v>
      </c>
      <c r="F323">
        <v>769.5</v>
      </c>
      <c r="G323">
        <v>1137.8</v>
      </c>
      <c r="H323">
        <v>0</v>
      </c>
      <c r="I323">
        <v>129.69999999999999</v>
      </c>
      <c r="J323">
        <v>14</v>
      </c>
      <c r="K323" s="10">
        <v>17.03</v>
      </c>
      <c r="L323" s="2">
        <f t="shared" si="10"/>
        <v>287.48226999999997</v>
      </c>
      <c r="M323" s="2">
        <f t="shared" ref="M323:M386" si="11">SUM((D323*5)+((F323*0.25)+(G323*0.2)+(H323*20)))*0.075</f>
        <v>125.41012499999999</v>
      </c>
      <c r="N323">
        <v>0</v>
      </c>
    </row>
    <row r="324" spans="1:14" x14ac:dyDescent="0.25">
      <c r="A324" s="15"/>
      <c r="B324" s="15"/>
      <c r="C324">
        <v>40</v>
      </c>
      <c r="D324">
        <v>250.44</v>
      </c>
      <c r="E324">
        <v>166.96</v>
      </c>
      <c r="F324">
        <v>769.5</v>
      </c>
      <c r="G324">
        <v>1137.8</v>
      </c>
      <c r="H324">
        <v>0</v>
      </c>
      <c r="I324">
        <v>129.69999999999999</v>
      </c>
      <c r="J324">
        <v>56</v>
      </c>
      <c r="K324" s="10">
        <v>25.07</v>
      </c>
      <c r="L324" s="2">
        <f t="shared" si="10"/>
        <v>287.48226999999997</v>
      </c>
      <c r="M324" s="2">
        <f t="shared" si="11"/>
        <v>125.41012499999999</v>
      </c>
      <c r="N324">
        <v>0</v>
      </c>
    </row>
    <row r="325" spans="1:14" x14ac:dyDescent="0.25">
      <c r="A325" s="15"/>
      <c r="B325" s="15"/>
      <c r="C325">
        <v>40</v>
      </c>
      <c r="D325">
        <v>250.44</v>
      </c>
      <c r="E325">
        <v>166.96</v>
      </c>
      <c r="F325">
        <v>769.5</v>
      </c>
      <c r="G325">
        <v>1137.8</v>
      </c>
      <c r="H325">
        <v>0</v>
      </c>
      <c r="I325">
        <v>129.69999999999999</v>
      </c>
      <c r="J325">
        <v>90</v>
      </c>
      <c r="K325" s="10">
        <v>23.64</v>
      </c>
      <c r="L325" s="2">
        <f t="shared" si="10"/>
        <v>287.48226999999997</v>
      </c>
      <c r="M325" s="2">
        <f t="shared" si="11"/>
        <v>125.41012499999999</v>
      </c>
      <c r="N325">
        <v>0</v>
      </c>
    </row>
    <row r="326" spans="1:14" x14ac:dyDescent="0.25">
      <c r="A326" s="15"/>
      <c r="B326" s="15"/>
      <c r="C326">
        <v>45</v>
      </c>
      <c r="D326">
        <v>229.57</v>
      </c>
      <c r="E326">
        <v>187.83</v>
      </c>
      <c r="F326">
        <v>769.5</v>
      </c>
      <c r="G326">
        <v>1137.8</v>
      </c>
      <c r="H326">
        <v>0</v>
      </c>
      <c r="I326">
        <v>129.69999999999999</v>
      </c>
      <c r="J326">
        <v>14</v>
      </c>
      <c r="K326" s="10">
        <v>16.21</v>
      </c>
      <c r="L326" s="2">
        <f t="shared" si="10"/>
        <v>272.24716999999998</v>
      </c>
      <c r="M326" s="2">
        <f t="shared" si="11"/>
        <v>117.58387499999998</v>
      </c>
      <c r="N326">
        <v>0</v>
      </c>
    </row>
    <row r="327" spans="1:14" x14ac:dyDescent="0.25">
      <c r="A327" s="15"/>
      <c r="B327" s="15"/>
      <c r="C327">
        <v>45</v>
      </c>
      <c r="D327">
        <v>229.57</v>
      </c>
      <c r="E327">
        <v>187.83</v>
      </c>
      <c r="F327">
        <v>769.5</v>
      </c>
      <c r="G327">
        <v>1137.8</v>
      </c>
      <c r="H327">
        <v>0</v>
      </c>
      <c r="I327">
        <v>129.69999999999999</v>
      </c>
      <c r="J327">
        <v>56</v>
      </c>
      <c r="K327" s="10">
        <v>20.53</v>
      </c>
      <c r="L327" s="2">
        <f t="shared" si="10"/>
        <v>272.24716999999998</v>
      </c>
      <c r="M327" s="2">
        <f t="shared" si="11"/>
        <v>117.58387499999998</v>
      </c>
      <c r="N327">
        <v>0</v>
      </c>
    </row>
    <row r="328" spans="1:14" x14ac:dyDescent="0.25">
      <c r="A328" s="15"/>
      <c r="B328" s="15"/>
      <c r="C328">
        <v>45</v>
      </c>
      <c r="D328">
        <v>229.57</v>
      </c>
      <c r="E328">
        <v>187.83</v>
      </c>
      <c r="F328">
        <v>769.5</v>
      </c>
      <c r="G328">
        <v>1137.8</v>
      </c>
      <c r="H328">
        <v>0</v>
      </c>
      <c r="I328">
        <v>129.69999999999999</v>
      </c>
      <c r="J328">
        <v>90</v>
      </c>
      <c r="K328" s="10">
        <v>20.77</v>
      </c>
      <c r="L328" s="2">
        <f t="shared" si="10"/>
        <v>272.24716999999998</v>
      </c>
      <c r="M328" s="2">
        <f t="shared" si="11"/>
        <v>117.58387499999998</v>
      </c>
      <c r="N328">
        <v>0</v>
      </c>
    </row>
    <row r="329" spans="1:14" x14ac:dyDescent="0.25">
      <c r="A329" s="15"/>
      <c r="B329" s="15"/>
      <c r="C329">
        <v>50</v>
      </c>
      <c r="D329">
        <v>208.7</v>
      </c>
      <c r="E329">
        <v>208.7</v>
      </c>
      <c r="F329">
        <v>769.5</v>
      </c>
      <c r="G329">
        <v>1137.8</v>
      </c>
      <c r="H329">
        <v>0</v>
      </c>
      <c r="I329">
        <v>129.69999999999999</v>
      </c>
      <c r="J329">
        <v>14</v>
      </c>
      <c r="K329" s="10">
        <v>15.18</v>
      </c>
      <c r="L329" s="2">
        <f t="shared" si="10"/>
        <v>257.01206999999999</v>
      </c>
      <c r="M329" s="2">
        <f t="shared" si="11"/>
        <v>109.75762499999999</v>
      </c>
      <c r="N329">
        <v>0</v>
      </c>
    </row>
    <row r="330" spans="1:14" x14ac:dyDescent="0.25">
      <c r="A330" s="15"/>
      <c r="B330" s="15"/>
      <c r="C330">
        <v>50</v>
      </c>
      <c r="D330">
        <v>208.7</v>
      </c>
      <c r="E330">
        <v>208.7</v>
      </c>
      <c r="F330">
        <v>769.5</v>
      </c>
      <c r="G330">
        <v>1137.8</v>
      </c>
      <c r="H330">
        <v>0</v>
      </c>
      <c r="I330">
        <v>129.69999999999999</v>
      </c>
      <c r="J330">
        <v>56</v>
      </c>
      <c r="K330" s="10">
        <v>19.93</v>
      </c>
      <c r="L330" s="2">
        <f t="shared" si="10"/>
        <v>257.01206999999999</v>
      </c>
      <c r="M330" s="2">
        <f t="shared" si="11"/>
        <v>109.75762499999999</v>
      </c>
      <c r="N330">
        <v>0</v>
      </c>
    </row>
    <row r="331" spans="1:14" x14ac:dyDescent="0.25">
      <c r="A331" s="15"/>
      <c r="B331" s="15"/>
      <c r="C331">
        <v>50</v>
      </c>
      <c r="D331">
        <v>208.7</v>
      </c>
      <c r="E331">
        <v>208.7</v>
      </c>
      <c r="F331">
        <v>769.5</v>
      </c>
      <c r="G331">
        <v>1137.8</v>
      </c>
      <c r="H331">
        <v>0</v>
      </c>
      <c r="I331">
        <v>129.69999999999999</v>
      </c>
      <c r="J331">
        <v>90</v>
      </c>
      <c r="K331" s="10">
        <v>18.399999999999999</v>
      </c>
      <c r="L331" s="2">
        <f t="shared" si="10"/>
        <v>257.01206999999999</v>
      </c>
      <c r="M331" s="2">
        <f t="shared" si="11"/>
        <v>109.75762499999999</v>
      </c>
      <c r="N331">
        <v>0</v>
      </c>
    </row>
    <row r="332" spans="1:14" x14ac:dyDescent="0.25">
      <c r="A332" s="15" t="s">
        <v>92</v>
      </c>
      <c r="B332" s="15" t="s">
        <v>93</v>
      </c>
      <c r="C332">
        <v>0</v>
      </c>
      <c r="D332">
        <v>486</v>
      </c>
      <c r="E332">
        <v>0</v>
      </c>
      <c r="F332">
        <v>808.7</v>
      </c>
      <c r="G332">
        <v>991.6</v>
      </c>
      <c r="H332">
        <v>0</v>
      </c>
      <c r="I332">
        <v>194.6</v>
      </c>
      <c r="J332">
        <v>14</v>
      </c>
      <c r="K332" s="10">
        <v>20.3</v>
      </c>
      <c r="L332" s="2">
        <f t="shared" si="10"/>
        <v>460.13536999999997</v>
      </c>
      <c r="M332" s="2">
        <f t="shared" si="11"/>
        <v>212.28712499999997</v>
      </c>
      <c r="N332">
        <v>0</v>
      </c>
    </row>
    <row r="333" spans="1:14" x14ac:dyDescent="0.25">
      <c r="A333" s="15"/>
      <c r="B333" s="15"/>
      <c r="C333">
        <v>0</v>
      </c>
      <c r="D333">
        <v>486</v>
      </c>
      <c r="E333">
        <v>0</v>
      </c>
      <c r="F333">
        <v>808.7</v>
      </c>
      <c r="G333">
        <v>991.6</v>
      </c>
      <c r="H333">
        <v>0</v>
      </c>
      <c r="I333">
        <v>194.6</v>
      </c>
      <c r="J333">
        <v>28</v>
      </c>
      <c r="K333" s="10">
        <v>25.48</v>
      </c>
      <c r="L333" s="2">
        <f t="shared" si="10"/>
        <v>460.13536999999997</v>
      </c>
      <c r="M333" s="2">
        <f t="shared" si="11"/>
        <v>212.28712499999997</v>
      </c>
      <c r="N333">
        <v>0</v>
      </c>
    </row>
    <row r="334" spans="1:14" x14ac:dyDescent="0.25">
      <c r="A334" s="15"/>
      <c r="B334" s="15"/>
      <c r="C334">
        <v>0</v>
      </c>
      <c r="D334">
        <v>486</v>
      </c>
      <c r="E334">
        <v>0</v>
      </c>
      <c r="F334">
        <v>808.7</v>
      </c>
      <c r="G334">
        <v>991.6</v>
      </c>
      <c r="H334">
        <v>0</v>
      </c>
      <c r="I334">
        <v>194.6</v>
      </c>
      <c r="J334">
        <v>56</v>
      </c>
      <c r="K334" s="10">
        <v>27.03</v>
      </c>
      <c r="L334" s="2">
        <f t="shared" si="10"/>
        <v>460.13536999999997</v>
      </c>
      <c r="M334" s="2">
        <f t="shared" si="11"/>
        <v>212.28712499999997</v>
      </c>
      <c r="N334">
        <v>0</v>
      </c>
    </row>
    <row r="335" spans="1:14" x14ac:dyDescent="0.25">
      <c r="A335" s="15"/>
      <c r="B335" s="15"/>
      <c r="C335">
        <v>0</v>
      </c>
      <c r="D335">
        <v>486</v>
      </c>
      <c r="E335">
        <v>0</v>
      </c>
      <c r="F335">
        <v>808.7</v>
      </c>
      <c r="G335">
        <v>991.6</v>
      </c>
      <c r="H335">
        <v>0</v>
      </c>
      <c r="I335">
        <v>194.6</v>
      </c>
      <c r="J335">
        <v>90</v>
      </c>
      <c r="K335" s="10">
        <v>27.94</v>
      </c>
      <c r="L335" s="2">
        <f t="shared" si="10"/>
        <v>460.13536999999997</v>
      </c>
      <c r="M335" s="2">
        <f t="shared" si="11"/>
        <v>212.28712499999997</v>
      </c>
      <c r="N335">
        <v>0</v>
      </c>
    </row>
    <row r="336" spans="1:14" x14ac:dyDescent="0.25">
      <c r="A336" s="15"/>
      <c r="B336" s="15"/>
      <c r="C336">
        <v>5</v>
      </c>
      <c r="D336">
        <v>461.7</v>
      </c>
      <c r="E336">
        <v>24.3</v>
      </c>
      <c r="F336">
        <v>808.7</v>
      </c>
      <c r="G336">
        <v>991.6</v>
      </c>
      <c r="H336">
        <v>0</v>
      </c>
      <c r="I336">
        <v>194.6</v>
      </c>
      <c r="J336">
        <v>14</v>
      </c>
      <c r="K336" s="10">
        <v>24</v>
      </c>
      <c r="L336" s="2">
        <f t="shared" si="10"/>
        <v>442.39636999999993</v>
      </c>
      <c r="M336" s="2">
        <f t="shared" si="11"/>
        <v>203.17462499999999</v>
      </c>
      <c r="N336">
        <v>0</v>
      </c>
    </row>
    <row r="337" spans="1:14" x14ac:dyDescent="0.25">
      <c r="A337" s="15"/>
      <c r="B337" s="15"/>
      <c r="C337">
        <v>5</v>
      </c>
      <c r="D337">
        <v>461.7</v>
      </c>
      <c r="E337">
        <v>24.3</v>
      </c>
      <c r="F337">
        <v>808.7</v>
      </c>
      <c r="G337">
        <v>991.6</v>
      </c>
      <c r="H337">
        <v>0</v>
      </c>
      <c r="I337">
        <v>194.6</v>
      </c>
      <c r="J337">
        <v>28</v>
      </c>
      <c r="K337" s="10">
        <v>26.17</v>
      </c>
      <c r="L337" s="2">
        <f t="shared" si="10"/>
        <v>442.39636999999993</v>
      </c>
      <c r="M337" s="2">
        <f t="shared" si="11"/>
        <v>203.17462499999999</v>
      </c>
      <c r="N337">
        <v>0</v>
      </c>
    </row>
    <row r="338" spans="1:14" x14ac:dyDescent="0.25">
      <c r="A338" s="15"/>
      <c r="B338" s="15"/>
      <c r="C338">
        <v>5</v>
      </c>
      <c r="D338">
        <v>461.7</v>
      </c>
      <c r="E338">
        <v>24.3</v>
      </c>
      <c r="F338">
        <v>808.7</v>
      </c>
      <c r="G338">
        <v>991.6</v>
      </c>
      <c r="H338">
        <v>0</v>
      </c>
      <c r="I338">
        <v>194.6</v>
      </c>
      <c r="J338">
        <v>56</v>
      </c>
      <c r="K338" s="10">
        <v>25.33</v>
      </c>
      <c r="L338" s="2">
        <f t="shared" si="10"/>
        <v>442.39636999999993</v>
      </c>
      <c r="M338" s="2">
        <f t="shared" si="11"/>
        <v>203.17462499999999</v>
      </c>
      <c r="N338">
        <v>0</v>
      </c>
    </row>
    <row r="339" spans="1:14" x14ac:dyDescent="0.25">
      <c r="A339" s="15"/>
      <c r="B339" s="15"/>
      <c r="C339">
        <v>5</v>
      </c>
      <c r="D339">
        <v>461.7</v>
      </c>
      <c r="E339">
        <v>24.3</v>
      </c>
      <c r="F339">
        <v>808.7</v>
      </c>
      <c r="G339">
        <v>991.6</v>
      </c>
      <c r="H339">
        <v>0</v>
      </c>
      <c r="I339">
        <v>194.6</v>
      </c>
      <c r="J339">
        <v>90</v>
      </c>
      <c r="K339" s="10">
        <v>27.24</v>
      </c>
      <c r="L339" s="2">
        <f t="shared" si="10"/>
        <v>442.39636999999993</v>
      </c>
      <c r="M339" s="2">
        <f t="shared" si="11"/>
        <v>203.17462499999999</v>
      </c>
      <c r="N339">
        <v>0</v>
      </c>
    </row>
    <row r="340" spans="1:14" x14ac:dyDescent="0.25">
      <c r="A340" s="15"/>
      <c r="B340" s="15"/>
      <c r="C340">
        <v>10</v>
      </c>
      <c r="D340">
        <v>437.4</v>
      </c>
      <c r="E340">
        <v>48.6</v>
      </c>
      <c r="F340">
        <v>808.7</v>
      </c>
      <c r="G340">
        <v>991.6</v>
      </c>
      <c r="H340">
        <v>0</v>
      </c>
      <c r="I340">
        <v>194.6</v>
      </c>
      <c r="J340">
        <v>14</v>
      </c>
      <c r="K340" s="10">
        <v>18.96</v>
      </c>
      <c r="L340" s="2">
        <f t="shared" si="10"/>
        <v>424.65737000000001</v>
      </c>
      <c r="M340" s="2">
        <f t="shared" si="11"/>
        <v>194.06212499999998</v>
      </c>
      <c r="N340">
        <v>0</v>
      </c>
    </row>
    <row r="341" spans="1:14" x14ac:dyDescent="0.25">
      <c r="A341" s="15"/>
      <c r="B341" s="15"/>
      <c r="C341">
        <v>10</v>
      </c>
      <c r="D341">
        <v>437.4</v>
      </c>
      <c r="E341">
        <v>48.6</v>
      </c>
      <c r="F341">
        <v>808.7</v>
      </c>
      <c r="G341">
        <v>991.6</v>
      </c>
      <c r="H341">
        <v>0</v>
      </c>
      <c r="I341">
        <v>194.6</v>
      </c>
      <c r="J341">
        <v>28</v>
      </c>
      <c r="K341" s="10">
        <v>27.83</v>
      </c>
      <c r="L341" s="2">
        <f t="shared" si="10"/>
        <v>424.65737000000001</v>
      </c>
      <c r="M341" s="2">
        <f t="shared" si="11"/>
        <v>194.06212499999998</v>
      </c>
      <c r="N341">
        <v>0</v>
      </c>
    </row>
    <row r="342" spans="1:14" x14ac:dyDescent="0.25">
      <c r="A342" s="15"/>
      <c r="B342" s="15"/>
      <c r="C342">
        <v>10</v>
      </c>
      <c r="D342">
        <v>437.4</v>
      </c>
      <c r="E342">
        <v>48.6</v>
      </c>
      <c r="F342">
        <v>808.7</v>
      </c>
      <c r="G342">
        <v>991.6</v>
      </c>
      <c r="H342">
        <v>0</v>
      </c>
      <c r="I342">
        <v>194.6</v>
      </c>
      <c r="J342">
        <v>56</v>
      </c>
      <c r="K342" s="10">
        <v>25.89</v>
      </c>
      <c r="L342" s="2">
        <f t="shared" si="10"/>
        <v>424.65737000000001</v>
      </c>
      <c r="M342" s="2">
        <f t="shared" si="11"/>
        <v>194.06212499999998</v>
      </c>
      <c r="N342">
        <v>0</v>
      </c>
    </row>
    <row r="343" spans="1:14" x14ac:dyDescent="0.25">
      <c r="A343" s="15"/>
      <c r="B343" s="15"/>
      <c r="C343">
        <v>10</v>
      </c>
      <c r="D343">
        <v>437.4</v>
      </c>
      <c r="E343">
        <v>48.6</v>
      </c>
      <c r="F343">
        <v>808.7</v>
      </c>
      <c r="G343">
        <v>991.6</v>
      </c>
      <c r="H343">
        <v>0</v>
      </c>
      <c r="I343">
        <v>194.6</v>
      </c>
      <c r="J343">
        <v>90</v>
      </c>
      <c r="K343" s="10">
        <v>29.66</v>
      </c>
      <c r="L343" s="2">
        <f t="shared" si="10"/>
        <v>424.65737000000001</v>
      </c>
      <c r="M343" s="2">
        <f t="shared" si="11"/>
        <v>194.06212499999998</v>
      </c>
      <c r="N343">
        <v>0</v>
      </c>
    </row>
    <row r="344" spans="1:14" x14ac:dyDescent="0.25">
      <c r="A344" s="15"/>
      <c r="B344" s="15"/>
      <c r="C344">
        <v>15</v>
      </c>
      <c r="D344">
        <v>413.1</v>
      </c>
      <c r="E344">
        <v>72.900000000000006</v>
      </c>
      <c r="F344">
        <v>808.7</v>
      </c>
      <c r="G344">
        <v>991.6</v>
      </c>
      <c r="H344">
        <v>0</v>
      </c>
      <c r="I344">
        <v>194.6</v>
      </c>
      <c r="J344">
        <v>14</v>
      </c>
      <c r="K344" s="10">
        <v>25.38</v>
      </c>
      <c r="L344" s="2">
        <f t="shared" si="10"/>
        <v>406.91836999999998</v>
      </c>
      <c r="M344" s="2">
        <f t="shared" si="11"/>
        <v>184.949625</v>
      </c>
      <c r="N344">
        <v>0</v>
      </c>
    </row>
    <row r="345" spans="1:14" x14ac:dyDescent="0.25">
      <c r="A345" s="15"/>
      <c r="B345" s="15"/>
      <c r="C345">
        <v>15</v>
      </c>
      <c r="D345">
        <v>413.1</v>
      </c>
      <c r="E345">
        <v>72.900000000000006</v>
      </c>
      <c r="F345">
        <v>808.7</v>
      </c>
      <c r="G345">
        <v>991.6</v>
      </c>
      <c r="H345">
        <v>0</v>
      </c>
      <c r="I345">
        <v>194.6</v>
      </c>
      <c r="J345">
        <v>28</v>
      </c>
      <c r="K345" s="10">
        <v>24.17</v>
      </c>
      <c r="L345" s="2">
        <f t="shared" si="10"/>
        <v>406.91836999999998</v>
      </c>
      <c r="M345" s="2">
        <f t="shared" si="11"/>
        <v>184.949625</v>
      </c>
      <c r="N345">
        <v>0</v>
      </c>
    </row>
    <row r="346" spans="1:14" x14ac:dyDescent="0.25">
      <c r="A346" s="15"/>
      <c r="B346" s="15"/>
      <c r="C346">
        <v>15</v>
      </c>
      <c r="D346">
        <v>413.1</v>
      </c>
      <c r="E346">
        <v>72.900000000000006</v>
      </c>
      <c r="F346">
        <v>808.7</v>
      </c>
      <c r="G346">
        <v>991.6</v>
      </c>
      <c r="H346">
        <v>0</v>
      </c>
      <c r="I346">
        <v>194.6</v>
      </c>
      <c r="J346">
        <v>56</v>
      </c>
      <c r="K346" s="10">
        <v>27.69</v>
      </c>
      <c r="L346" s="2">
        <f t="shared" si="10"/>
        <v>406.91836999999998</v>
      </c>
      <c r="M346" s="2">
        <f t="shared" si="11"/>
        <v>184.949625</v>
      </c>
      <c r="N346">
        <v>0</v>
      </c>
    </row>
    <row r="347" spans="1:14" x14ac:dyDescent="0.25">
      <c r="A347" s="15"/>
      <c r="B347" s="15"/>
      <c r="C347">
        <v>15</v>
      </c>
      <c r="D347">
        <v>413.1</v>
      </c>
      <c r="E347">
        <v>72.900000000000006</v>
      </c>
      <c r="F347">
        <v>808.7</v>
      </c>
      <c r="G347">
        <v>991.6</v>
      </c>
      <c r="H347">
        <v>0</v>
      </c>
      <c r="I347">
        <v>194.6</v>
      </c>
      <c r="J347">
        <v>90</v>
      </c>
      <c r="K347" s="10">
        <v>25.36</v>
      </c>
      <c r="L347" s="2">
        <f t="shared" si="10"/>
        <v>406.91836999999998</v>
      </c>
      <c r="M347" s="2">
        <f t="shared" si="11"/>
        <v>184.949625</v>
      </c>
      <c r="N347">
        <v>0</v>
      </c>
    </row>
    <row r="348" spans="1:14" x14ac:dyDescent="0.25">
      <c r="A348" s="15"/>
      <c r="B348" s="15"/>
      <c r="C348">
        <v>20</v>
      </c>
      <c r="D348">
        <v>388.8</v>
      </c>
      <c r="E348">
        <v>97.2</v>
      </c>
      <c r="F348">
        <v>808.7</v>
      </c>
      <c r="G348">
        <v>991.6</v>
      </c>
      <c r="H348">
        <v>0</v>
      </c>
      <c r="I348">
        <v>194.6</v>
      </c>
      <c r="J348">
        <v>14</v>
      </c>
      <c r="K348" s="10">
        <v>18.329999999999998</v>
      </c>
      <c r="L348" s="2">
        <f t="shared" si="10"/>
        <v>389.17937000000006</v>
      </c>
      <c r="M348" s="2">
        <f t="shared" si="11"/>
        <v>175.83712499999999</v>
      </c>
      <c r="N348">
        <v>0</v>
      </c>
    </row>
    <row r="349" spans="1:14" x14ac:dyDescent="0.25">
      <c r="A349" s="15"/>
      <c r="B349" s="15"/>
      <c r="C349">
        <v>20</v>
      </c>
      <c r="D349">
        <v>388.8</v>
      </c>
      <c r="E349">
        <v>97.2</v>
      </c>
      <c r="F349">
        <v>808.7</v>
      </c>
      <c r="G349">
        <v>991.6</v>
      </c>
      <c r="H349">
        <v>0</v>
      </c>
      <c r="I349">
        <v>194.6</v>
      </c>
      <c r="J349">
        <v>28</v>
      </c>
      <c r="K349" s="10">
        <v>24.21</v>
      </c>
      <c r="L349" s="2">
        <f t="shared" si="10"/>
        <v>389.17937000000006</v>
      </c>
      <c r="M349" s="2">
        <f t="shared" si="11"/>
        <v>175.83712499999999</v>
      </c>
      <c r="N349">
        <v>0</v>
      </c>
    </row>
    <row r="350" spans="1:14" x14ac:dyDescent="0.25">
      <c r="A350" s="15"/>
      <c r="B350" s="15"/>
      <c r="C350">
        <v>20</v>
      </c>
      <c r="D350">
        <v>388.8</v>
      </c>
      <c r="E350">
        <v>97.2</v>
      </c>
      <c r="F350">
        <v>808.7</v>
      </c>
      <c r="G350">
        <v>991.6</v>
      </c>
      <c r="H350">
        <v>0</v>
      </c>
      <c r="I350">
        <v>194.6</v>
      </c>
      <c r="J350">
        <v>56</v>
      </c>
      <c r="K350" s="10">
        <v>23.87</v>
      </c>
      <c r="L350" s="2">
        <f t="shared" si="10"/>
        <v>389.17937000000006</v>
      </c>
      <c r="M350" s="2">
        <f t="shared" si="11"/>
        <v>175.83712499999999</v>
      </c>
      <c r="N350">
        <v>0</v>
      </c>
    </row>
    <row r="351" spans="1:14" x14ac:dyDescent="0.25">
      <c r="A351" s="15"/>
      <c r="B351" s="15"/>
      <c r="C351">
        <v>20</v>
      </c>
      <c r="D351">
        <v>388.8</v>
      </c>
      <c r="E351">
        <v>97.2</v>
      </c>
      <c r="F351">
        <v>808.7</v>
      </c>
      <c r="G351">
        <v>991.6</v>
      </c>
      <c r="H351">
        <v>0</v>
      </c>
      <c r="I351">
        <v>194.6</v>
      </c>
      <c r="J351">
        <v>90</v>
      </c>
      <c r="K351" s="10">
        <v>24.29</v>
      </c>
      <c r="L351" s="2">
        <f t="shared" si="10"/>
        <v>389.17937000000006</v>
      </c>
      <c r="M351" s="2">
        <f t="shared" si="11"/>
        <v>175.83712499999999</v>
      </c>
      <c r="N351">
        <v>0</v>
      </c>
    </row>
    <row r="352" spans="1:14" x14ac:dyDescent="0.25">
      <c r="A352" s="15"/>
      <c r="B352" s="15"/>
      <c r="C352">
        <v>25</v>
      </c>
      <c r="D352">
        <v>364.5</v>
      </c>
      <c r="E352">
        <v>121.5</v>
      </c>
      <c r="F352">
        <v>808.7</v>
      </c>
      <c r="G352">
        <v>991.6</v>
      </c>
      <c r="H352">
        <v>0</v>
      </c>
      <c r="I352">
        <v>194.6</v>
      </c>
      <c r="J352">
        <v>14</v>
      </c>
      <c r="K352" s="10">
        <v>18.79</v>
      </c>
      <c r="L352" s="2">
        <f t="shared" si="10"/>
        <v>371.44036999999992</v>
      </c>
      <c r="M352" s="2">
        <f t="shared" si="11"/>
        <v>166.72462499999997</v>
      </c>
      <c r="N352">
        <v>0</v>
      </c>
    </row>
    <row r="353" spans="1:14" x14ac:dyDescent="0.25">
      <c r="A353" s="15"/>
      <c r="B353" s="15"/>
      <c r="C353">
        <v>25</v>
      </c>
      <c r="D353">
        <v>364.5</v>
      </c>
      <c r="E353">
        <v>121.5</v>
      </c>
      <c r="F353">
        <v>808.7</v>
      </c>
      <c r="G353">
        <v>991.6</v>
      </c>
      <c r="H353">
        <v>0</v>
      </c>
      <c r="I353">
        <v>194.6</v>
      </c>
      <c r="J353">
        <v>28</v>
      </c>
      <c r="K353" s="10">
        <v>18.850000000000001</v>
      </c>
      <c r="L353" s="2">
        <f t="shared" si="10"/>
        <v>371.44036999999992</v>
      </c>
      <c r="M353" s="2">
        <f t="shared" si="11"/>
        <v>166.72462499999997</v>
      </c>
      <c r="N353">
        <v>0</v>
      </c>
    </row>
    <row r="354" spans="1:14" x14ac:dyDescent="0.25">
      <c r="A354" s="15"/>
      <c r="B354" s="15"/>
      <c r="C354">
        <v>25</v>
      </c>
      <c r="D354">
        <v>364.5</v>
      </c>
      <c r="E354">
        <v>121.5</v>
      </c>
      <c r="F354">
        <v>808.7</v>
      </c>
      <c r="G354">
        <v>991.6</v>
      </c>
      <c r="H354">
        <v>0</v>
      </c>
      <c r="I354">
        <v>194.6</v>
      </c>
      <c r="J354">
        <v>56</v>
      </c>
      <c r="K354" s="10">
        <v>23.85</v>
      </c>
      <c r="L354" s="2">
        <f t="shared" si="10"/>
        <v>371.44036999999992</v>
      </c>
      <c r="M354" s="2">
        <f t="shared" si="11"/>
        <v>166.72462499999997</v>
      </c>
      <c r="N354">
        <v>0</v>
      </c>
    </row>
    <row r="355" spans="1:14" x14ac:dyDescent="0.25">
      <c r="A355" s="15"/>
      <c r="B355" s="15"/>
      <c r="C355">
        <v>25</v>
      </c>
      <c r="D355">
        <v>364.5</v>
      </c>
      <c r="E355">
        <v>121.5</v>
      </c>
      <c r="F355">
        <v>808.7</v>
      </c>
      <c r="G355">
        <v>991.6</v>
      </c>
      <c r="H355">
        <v>0</v>
      </c>
      <c r="I355">
        <v>194.6</v>
      </c>
      <c r="J355">
        <v>90</v>
      </c>
      <c r="K355" s="10">
        <v>24.82</v>
      </c>
      <c r="L355" s="2">
        <f t="shared" si="10"/>
        <v>371.44036999999992</v>
      </c>
      <c r="M355" s="2">
        <f t="shared" si="11"/>
        <v>166.72462499999997</v>
      </c>
      <c r="N355">
        <v>0</v>
      </c>
    </row>
    <row r="356" spans="1:14" x14ac:dyDescent="0.25">
      <c r="A356" s="15"/>
      <c r="B356" s="15"/>
      <c r="C356">
        <v>30</v>
      </c>
      <c r="D356">
        <v>340.2</v>
      </c>
      <c r="E356">
        <v>145.80000000000001</v>
      </c>
      <c r="F356">
        <v>808.7</v>
      </c>
      <c r="G356">
        <v>991.6</v>
      </c>
      <c r="H356">
        <v>0</v>
      </c>
      <c r="I356">
        <v>194.6</v>
      </c>
      <c r="J356">
        <v>14</v>
      </c>
      <c r="K356" s="10">
        <v>17.920000000000002</v>
      </c>
      <c r="L356" s="2">
        <f t="shared" si="10"/>
        <v>353.70137</v>
      </c>
      <c r="M356" s="2">
        <f t="shared" si="11"/>
        <v>157.61212499999999</v>
      </c>
      <c r="N356">
        <v>0</v>
      </c>
    </row>
    <row r="357" spans="1:14" x14ac:dyDescent="0.25">
      <c r="A357" s="15"/>
      <c r="B357" s="15"/>
      <c r="C357">
        <v>30</v>
      </c>
      <c r="D357">
        <v>340.2</v>
      </c>
      <c r="E357">
        <v>145.80000000000001</v>
      </c>
      <c r="F357">
        <v>808.7</v>
      </c>
      <c r="G357">
        <v>991.6</v>
      </c>
      <c r="H357">
        <v>0</v>
      </c>
      <c r="I357">
        <v>194.6</v>
      </c>
      <c r="J357">
        <v>28</v>
      </c>
      <c r="K357" s="10">
        <v>24.93</v>
      </c>
      <c r="L357" s="2">
        <f t="shared" si="10"/>
        <v>353.70137</v>
      </c>
      <c r="M357" s="2">
        <f t="shared" si="11"/>
        <v>157.61212499999999</v>
      </c>
      <c r="N357">
        <v>0</v>
      </c>
    </row>
    <row r="358" spans="1:14" x14ac:dyDescent="0.25">
      <c r="A358" s="15"/>
      <c r="B358" s="15"/>
      <c r="C358">
        <v>30</v>
      </c>
      <c r="D358">
        <v>340.2</v>
      </c>
      <c r="E358">
        <v>145.80000000000001</v>
      </c>
      <c r="F358">
        <v>808.7</v>
      </c>
      <c r="G358">
        <v>991.6</v>
      </c>
      <c r="H358">
        <v>0</v>
      </c>
      <c r="I358">
        <v>194.6</v>
      </c>
      <c r="J358">
        <v>56</v>
      </c>
      <c r="K358" s="10">
        <v>22.9</v>
      </c>
      <c r="L358" s="2">
        <f t="shared" si="10"/>
        <v>353.70137</v>
      </c>
      <c r="M358" s="2">
        <f t="shared" si="11"/>
        <v>157.61212499999999</v>
      </c>
      <c r="N358">
        <v>0</v>
      </c>
    </row>
    <row r="359" spans="1:14" x14ac:dyDescent="0.25">
      <c r="A359" s="15"/>
      <c r="B359" s="15"/>
      <c r="C359">
        <v>30</v>
      </c>
      <c r="D359">
        <v>340.2</v>
      </c>
      <c r="E359">
        <v>145.80000000000001</v>
      </c>
      <c r="F359">
        <v>808.7</v>
      </c>
      <c r="G359">
        <v>991.6</v>
      </c>
      <c r="H359">
        <v>0</v>
      </c>
      <c r="I359">
        <v>194.6</v>
      </c>
      <c r="J359">
        <v>90</v>
      </c>
      <c r="K359" s="10">
        <v>31.37</v>
      </c>
      <c r="L359" s="2">
        <f t="shared" si="10"/>
        <v>353.70137</v>
      </c>
      <c r="M359" s="2">
        <f t="shared" si="11"/>
        <v>157.61212499999999</v>
      </c>
      <c r="N359">
        <v>0</v>
      </c>
    </row>
    <row r="360" spans="1:14" x14ac:dyDescent="0.25">
      <c r="A360" s="15"/>
      <c r="B360" s="15"/>
      <c r="C360">
        <v>35</v>
      </c>
      <c r="D360">
        <v>315.89999999999998</v>
      </c>
      <c r="E360">
        <v>170.1</v>
      </c>
      <c r="F360">
        <v>808.7</v>
      </c>
      <c r="G360">
        <v>991.6</v>
      </c>
      <c r="H360">
        <v>0</v>
      </c>
      <c r="I360">
        <v>194.6</v>
      </c>
      <c r="J360">
        <v>14</v>
      </c>
      <c r="K360" s="10">
        <v>19.73</v>
      </c>
      <c r="L360" s="2">
        <f t="shared" si="10"/>
        <v>335.96236999999996</v>
      </c>
      <c r="M360" s="2">
        <f t="shared" si="11"/>
        <v>148.49962499999998</v>
      </c>
      <c r="N360">
        <v>0</v>
      </c>
    </row>
    <row r="361" spans="1:14" x14ac:dyDescent="0.25">
      <c r="A361" s="15"/>
      <c r="B361" s="15"/>
      <c r="C361">
        <v>35</v>
      </c>
      <c r="D361">
        <v>315.89999999999998</v>
      </c>
      <c r="E361">
        <v>170.1</v>
      </c>
      <c r="F361">
        <v>808.7</v>
      </c>
      <c r="G361">
        <v>991.6</v>
      </c>
      <c r="H361">
        <v>0</v>
      </c>
      <c r="I361">
        <v>194.6</v>
      </c>
      <c r="J361">
        <v>28</v>
      </c>
      <c r="K361" s="10">
        <v>19.46</v>
      </c>
      <c r="L361" s="2">
        <f t="shared" si="10"/>
        <v>335.96236999999996</v>
      </c>
      <c r="M361" s="2">
        <f t="shared" si="11"/>
        <v>148.49962499999998</v>
      </c>
      <c r="N361">
        <v>0</v>
      </c>
    </row>
    <row r="362" spans="1:14" x14ac:dyDescent="0.25">
      <c r="A362" s="15"/>
      <c r="B362" s="15"/>
      <c r="C362">
        <v>35</v>
      </c>
      <c r="D362">
        <v>315.89999999999998</v>
      </c>
      <c r="E362">
        <v>170.1</v>
      </c>
      <c r="F362">
        <v>808.7</v>
      </c>
      <c r="G362">
        <v>991.6</v>
      </c>
      <c r="H362">
        <v>0</v>
      </c>
      <c r="I362">
        <v>194.6</v>
      </c>
      <c r="J362">
        <v>56</v>
      </c>
      <c r="K362" s="10">
        <v>20</v>
      </c>
      <c r="L362" s="2">
        <f t="shared" si="10"/>
        <v>335.96236999999996</v>
      </c>
      <c r="M362" s="2">
        <f t="shared" si="11"/>
        <v>148.49962499999998</v>
      </c>
      <c r="N362">
        <v>0</v>
      </c>
    </row>
    <row r="363" spans="1:14" x14ac:dyDescent="0.25">
      <c r="A363" s="15"/>
      <c r="B363" s="15"/>
      <c r="C363">
        <v>35</v>
      </c>
      <c r="D363">
        <v>315.89999999999998</v>
      </c>
      <c r="E363">
        <v>170.1</v>
      </c>
      <c r="F363">
        <v>808.7</v>
      </c>
      <c r="G363">
        <v>991.6</v>
      </c>
      <c r="H363">
        <v>0</v>
      </c>
      <c r="I363">
        <v>194.6</v>
      </c>
      <c r="J363">
        <v>90</v>
      </c>
      <c r="K363" s="10">
        <v>20.47</v>
      </c>
      <c r="L363" s="2">
        <f t="shared" si="10"/>
        <v>335.96236999999996</v>
      </c>
      <c r="M363" s="2">
        <f t="shared" si="11"/>
        <v>148.49962499999998</v>
      </c>
      <c r="N363">
        <v>0</v>
      </c>
    </row>
    <row r="364" spans="1:14" x14ac:dyDescent="0.25">
      <c r="A364" s="15"/>
      <c r="B364" s="15"/>
      <c r="C364">
        <v>40</v>
      </c>
      <c r="D364">
        <v>291.60000000000002</v>
      </c>
      <c r="E364">
        <v>194.4</v>
      </c>
      <c r="F364">
        <v>808.7</v>
      </c>
      <c r="G364">
        <v>991.6</v>
      </c>
      <c r="H364">
        <v>0</v>
      </c>
      <c r="I364">
        <v>194.6</v>
      </c>
      <c r="J364">
        <v>14</v>
      </c>
      <c r="K364" s="10">
        <v>18.23</v>
      </c>
      <c r="L364" s="2">
        <f t="shared" si="10"/>
        <v>318.22337000000005</v>
      </c>
      <c r="M364" s="2">
        <f t="shared" si="11"/>
        <v>139.387125</v>
      </c>
      <c r="N364">
        <v>0</v>
      </c>
    </row>
    <row r="365" spans="1:14" x14ac:dyDescent="0.25">
      <c r="A365" s="15"/>
      <c r="B365" s="15"/>
      <c r="C365">
        <v>40</v>
      </c>
      <c r="D365">
        <v>291.60000000000002</v>
      </c>
      <c r="E365">
        <v>194.4</v>
      </c>
      <c r="F365">
        <v>808.7</v>
      </c>
      <c r="G365">
        <v>991.6</v>
      </c>
      <c r="H365">
        <v>0</v>
      </c>
      <c r="I365">
        <v>194.6</v>
      </c>
      <c r="J365">
        <v>28</v>
      </c>
      <c r="K365" s="10">
        <v>18.829999999999998</v>
      </c>
      <c r="L365" s="2">
        <f t="shared" si="10"/>
        <v>318.22337000000005</v>
      </c>
      <c r="M365" s="2">
        <f t="shared" si="11"/>
        <v>139.387125</v>
      </c>
      <c r="N365">
        <v>0</v>
      </c>
    </row>
    <row r="366" spans="1:14" x14ac:dyDescent="0.25">
      <c r="A366" s="15"/>
      <c r="B366" s="15"/>
      <c r="C366">
        <v>40</v>
      </c>
      <c r="D366">
        <v>291.60000000000002</v>
      </c>
      <c r="E366">
        <v>194.4</v>
      </c>
      <c r="F366">
        <v>808.7</v>
      </c>
      <c r="G366">
        <v>991.6</v>
      </c>
      <c r="H366">
        <v>0</v>
      </c>
      <c r="I366">
        <v>194.6</v>
      </c>
      <c r="J366">
        <v>56</v>
      </c>
      <c r="K366" s="10">
        <v>21.98</v>
      </c>
      <c r="L366" s="2">
        <f t="shared" si="10"/>
        <v>318.22337000000005</v>
      </c>
      <c r="M366" s="2">
        <f t="shared" si="11"/>
        <v>139.387125</v>
      </c>
      <c r="N366">
        <v>0</v>
      </c>
    </row>
    <row r="367" spans="1:14" x14ac:dyDescent="0.25">
      <c r="A367" s="15"/>
      <c r="B367" s="15"/>
      <c r="C367">
        <v>40</v>
      </c>
      <c r="D367">
        <v>291.60000000000002</v>
      </c>
      <c r="E367">
        <v>194.4</v>
      </c>
      <c r="F367">
        <v>808.7</v>
      </c>
      <c r="G367">
        <v>991.6</v>
      </c>
      <c r="H367">
        <v>0</v>
      </c>
      <c r="I367">
        <v>194.6</v>
      </c>
      <c r="J367">
        <v>90</v>
      </c>
      <c r="K367" s="10">
        <v>21.81</v>
      </c>
      <c r="L367" s="2">
        <f t="shared" si="10"/>
        <v>318.22337000000005</v>
      </c>
      <c r="M367" s="2">
        <f t="shared" si="11"/>
        <v>139.387125</v>
      </c>
      <c r="N367">
        <v>0</v>
      </c>
    </row>
    <row r="368" spans="1:14" x14ac:dyDescent="0.25">
      <c r="A368" s="15"/>
      <c r="B368" s="15"/>
      <c r="C368">
        <v>45</v>
      </c>
      <c r="D368">
        <v>267.3</v>
      </c>
      <c r="E368">
        <v>218.7</v>
      </c>
      <c r="F368">
        <v>808.7</v>
      </c>
      <c r="G368">
        <v>991.6</v>
      </c>
      <c r="H368">
        <v>0</v>
      </c>
      <c r="I368">
        <v>194.6</v>
      </c>
      <c r="J368">
        <v>14</v>
      </c>
      <c r="K368" s="10">
        <v>15.62</v>
      </c>
      <c r="L368" s="2">
        <f t="shared" si="10"/>
        <v>300.48437000000001</v>
      </c>
      <c r="M368" s="2">
        <f t="shared" si="11"/>
        <v>130.27462499999999</v>
      </c>
      <c r="N368">
        <v>0</v>
      </c>
    </row>
    <row r="369" spans="1:14" x14ac:dyDescent="0.25">
      <c r="A369" s="15"/>
      <c r="B369" s="15"/>
      <c r="C369">
        <v>45</v>
      </c>
      <c r="D369">
        <v>267.3</v>
      </c>
      <c r="E369">
        <v>218.7</v>
      </c>
      <c r="F369">
        <v>808.7</v>
      </c>
      <c r="G369">
        <v>991.6</v>
      </c>
      <c r="H369">
        <v>0</v>
      </c>
      <c r="I369">
        <v>194.6</v>
      </c>
      <c r="J369">
        <v>28</v>
      </c>
      <c r="K369" s="10">
        <v>21.66</v>
      </c>
      <c r="L369" s="2">
        <f t="shared" si="10"/>
        <v>300.48437000000001</v>
      </c>
      <c r="M369" s="2">
        <f t="shared" si="11"/>
        <v>130.27462499999999</v>
      </c>
      <c r="N369">
        <v>0</v>
      </c>
    </row>
    <row r="370" spans="1:14" x14ac:dyDescent="0.25">
      <c r="A370" s="15"/>
      <c r="B370" s="15"/>
      <c r="C370">
        <v>45</v>
      </c>
      <c r="D370">
        <v>267.3</v>
      </c>
      <c r="E370">
        <v>218.7</v>
      </c>
      <c r="F370">
        <v>808.7</v>
      </c>
      <c r="G370">
        <v>991.6</v>
      </c>
      <c r="H370">
        <v>0</v>
      </c>
      <c r="I370">
        <v>194.6</v>
      </c>
      <c r="J370">
        <v>56</v>
      </c>
      <c r="K370" s="10">
        <v>22.89</v>
      </c>
      <c r="L370" s="2">
        <f t="shared" si="10"/>
        <v>300.48437000000001</v>
      </c>
      <c r="M370" s="2">
        <f t="shared" si="11"/>
        <v>130.27462499999999</v>
      </c>
      <c r="N370">
        <v>0</v>
      </c>
    </row>
    <row r="371" spans="1:14" x14ac:dyDescent="0.25">
      <c r="A371" s="15"/>
      <c r="B371" s="15"/>
      <c r="C371">
        <v>45</v>
      </c>
      <c r="D371">
        <v>267.3</v>
      </c>
      <c r="E371">
        <v>218.7</v>
      </c>
      <c r="F371">
        <v>808.7</v>
      </c>
      <c r="G371">
        <v>991.6</v>
      </c>
      <c r="H371">
        <v>0</v>
      </c>
      <c r="I371">
        <v>194.6</v>
      </c>
      <c r="J371">
        <v>90</v>
      </c>
      <c r="K371" s="10">
        <v>19.07</v>
      </c>
      <c r="L371" s="2">
        <f t="shared" si="10"/>
        <v>300.48437000000001</v>
      </c>
      <c r="M371" s="2">
        <f t="shared" si="11"/>
        <v>130.27462499999999</v>
      </c>
      <c r="N371">
        <v>0</v>
      </c>
    </row>
    <row r="372" spans="1:14" x14ac:dyDescent="0.25">
      <c r="A372" s="15"/>
      <c r="B372" s="15"/>
      <c r="C372">
        <v>50</v>
      </c>
      <c r="D372">
        <v>243</v>
      </c>
      <c r="E372">
        <v>243</v>
      </c>
      <c r="F372">
        <v>808.7</v>
      </c>
      <c r="G372">
        <v>991.6</v>
      </c>
      <c r="H372">
        <v>0</v>
      </c>
      <c r="I372">
        <v>194.6</v>
      </c>
      <c r="J372">
        <v>14</v>
      </c>
      <c r="K372" s="10">
        <v>21.81</v>
      </c>
      <c r="L372" s="2">
        <f t="shared" si="10"/>
        <v>282.74536999999998</v>
      </c>
      <c r="M372" s="2">
        <f t="shared" si="11"/>
        <v>121.16212499999999</v>
      </c>
      <c r="N372">
        <v>0</v>
      </c>
    </row>
    <row r="373" spans="1:14" x14ac:dyDescent="0.25">
      <c r="A373" s="15"/>
      <c r="B373" s="15"/>
      <c r="C373">
        <v>50</v>
      </c>
      <c r="D373">
        <v>243</v>
      </c>
      <c r="E373">
        <v>243</v>
      </c>
      <c r="F373">
        <v>808.7</v>
      </c>
      <c r="G373">
        <v>991.6</v>
      </c>
      <c r="H373">
        <v>0</v>
      </c>
      <c r="I373">
        <v>194.6</v>
      </c>
      <c r="J373">
        <v>28</v>
      </c>
      <c r="K373" s="10">
        <v>18.14</v>
      </c>
      <c r="L373" s="2">
        <f t="shared" si="10"/>
        <v>282.74536999999998</v>
      </c>
      <c r="M373" s="2">
        <f t="shared" si="11"/>
        <v>121.16212499999999</v>
      </c>
      <c r="N373">
        <v>0</v>
      </c>
    </row>
    <row r="374" spans="1:14" x14ac:dyDescent="0.25">
      <c r="A374" s="15"/>
      <c r="B374" s="15"/>
      <c r="C374">
        <v>50</v>
      </c>
      <c r="D374">
        <v>243</v>
      </c>
      <c r="E374">
        <v>243</v>
      </c>
      <c r="F374">
        <v>808.7</v>
      </c>
      <c r="G374">
        <v>991.6</v>
      </c>
      <c r="H374">
        <v>0</v>
      </c>
      <c r="I374">
        <v>194.6</v>
      </c>
      <c r="J374">
        <v>56</v>
      </c>
      <c r="K374" s="10">
        <v>18.45</v>
      </c>
      <c r="L374" s="2">
        <f t="shared" si="10"/>
        <v>282.74536999999998</v>
      </c>
      <c r="M374" s="2">
        <f t="shared" si="11"/>
        <v>121.16212499999999</v>
      </c>
      <c r="N374">
        <v>0</v>
      </c>
    </row>
    <row r="375" spans="1:14" x14ac:dyDescent="0.25">
      <c r="A375" s="15"/>
      <c r="B375" s="15"/>
      <c r="C375">
        <v>50</v>
      </c>
      <c r="D375">
        <v>243</v>
      </c>
      <c r="E375">
        <v>243</v>
      </c>
      <c r="F375">
        <v>808.7</v>
      </c>
      <c r="G375">
        <v>991.6</v>
      </c>
      <c r="H375">
        <v>0</v>
      </c>
      <c r="I375">
        <v>194.6</v>
      </c>
      <c r="J375">
        <v>90</v>
      </c>
      <c r="K375" s="10">
        <v>19.32</v>
      </c>
      <c r="L375" s="2">
        <f t="shared" si="10"/>
        <v>282.74536999999998</v>
      </c>
      <c r="M375" s="2">
        <f t="shared" si="11"/>
        <v>121.16212499999999</v>
      </c>
      <c r="N375">
        <v>0</v>
      </c>
    </row>
    <row r="376" spans="1:14" x14ac:dyDescent="0.25">
      <c r="A376" s="15" t="s">
        <v>94</v>
      </c>
      <c r="B376" s="15" t="s">
        <v>83</v>
      </c>
      <c r="C376">
        <v>0</v>
      </c>
      <c r="D376">
        <v>536.9</v>
      </c>
      <c r="E376">
        <v>0</v>
      </c>
      <c r="F376">
        <v>746</v>
      </c>
      <c r="G376">
        <v>1065.3</v>
      </c>
      <c r="H376">
        <v>0</v>
      </c>
      <c r="I376">
        <v>175.7</v>
      </c>
      <c r="J376">
        <v>14</v>
      </c>
      <c r="K376" s="10">
        <v>21.19</v>
      </c>
      <c r="L376" s="2">
        <f t="shared" si="10"/>
        <v>504.89366999999993</v>
      </c>
      <c r="M376" s="2">
        <f t="shared" si="11"/>
        <v>231.30449999999999</v>
      </c>
      <c r="N376">
        <v>0</v>
      </c>
    </row>
    <row r="377" spans="1:14" x14ac:dyDescent="0.25">
      <c r="A377" s="15"/>
      <c r="B377" s="15"/>
      <c r="C377">
        <v>0</v>
      </c>
      <c r="D377">
        <v>536.9</v>
      </c>
      <c r="E377">
        <v>0</v>
      </c>
      <c r="F377">
        <v>746</v>
      </c>
      <c r="G377">
        <v>1065.3</v>
      </c>
      <c r="H377">
        <v>0</v>
      </c>
      <c r="I377">
        <v>175.7</v>
      </c>
      <c r="J377">
        <v>28</v>
      </c>
      <c r="K377" s="10">
        <v>23.74</v>
      </c>
      <c r="L377" s="2">
        <f t="shared" si="10"/>
        <v>504.89366999999993</v>
      </c>
      <c r="M377" s="2">
        <f t="shared" si="11"/>
        <v>231.30449999999999</v>
      </c>
      <c r="N377">
        <v>0</v>
      </c>
    </row>
    <row r="378" spans="1:14" x14ac:dyDescent="0.25">
      <c r="A378" s="15"/>
      <c r="B378" s="15"/>
      <c r="C378">
        <v>0</v>
      </c>
      <c r="D378">
        <v>536.9</v>
      </c>
      <c r="E378">
        <v>0</v>
      </c>
      <c r="F378">
        <v>746</v>
      </c>
      <c r="G378">
        <v>1065.3</v>
      </c>
      <c r="H378">
        <v>0</v>
      </c>
      <c r="I378">
        <v>175.7</v>
      </c>
      <c r="J378">
        <v>56</v>
      </c>
      <c r="K378" s="10">
        <v>26.01</v>
      </c>
      <c r="L378" s="2">
        <f t="shared" si="10"/>
        <v>504.89366999999993</v>
      </c>
      <c r="M378" s="2">
        <f t="shared" si="11"/>
        <v>231.30449999999999</v>
      </c>
      <c r="N378">
        <v>0</v>
      </c>
    </row>
    <row r="379" spans="1:14" x14ac:dyDescent="0.25">
      <c r="A379" s="15"/>
      <c r="B379" s="15"/>
      <c r="C379">
        <v>0</v>
      </c>
      <c r="D379">
        <v>536.9</v>
      </c>
      <c r="E379">
        <v>0</v>
      </c>
      <c r="F379">
        <v>746</v>
      </c>
      <c r="G379">
        <v>1065.3</v>
      </c>
      <c r="H379">
        <v>0</v>
      </c>
      <c r="I379">
        <v>175.7</v>
      </c>
      <c r="J379">
        <v>90</v>
      </c>
      <c r="K379" s="10">
        <v>31.35</v>
      </c>
      <c r="L379" s="2">
        <f t="shared" si="10"/>
        <v>504.89366999999993</v>
      </c>
      <c r="M379" s="2">
        <f t="shared" si="11"/>
        <v>231.30449999999999</v>
      </c>
      <c r="N379">
        <v>0</v>
      </c>
    </row>
    <row r="380" spans="1:14" x14ac:dyDescent="0.25">
      <c r="A380" s="15"/>
      <c r="B380" s="15"/>
      <c r="C380">
        <v>5</v>
      </c>
      <c r="D380">
        <v>510.05500000000001</v>
      </c>
      <c r="E380">
        <v>26.844999999999999</v>
      </c>
      <c r="F380">
        <v>746</v>
      </c>
      <c r="G380">
        <v>1065.3</v>
      </c>
      <c r="H380">
        <v>0</v>
      </c>
      <c r="I380">
        <v>175.7</v>
      </c>
      <c r="J380">
        <v>14</v>
      </c>
      <c r="K380" s="10">
        <v>23.1</v>
      </c>
      <c r="L380" s="2">
        <f t="shared" si="10"/>
        <v>485.29681999999997</v>
      </c>
      <c r="M380" s="2">
        <f t="shared" si="11"/>
        <v>221.23762500000001</v>
      </c>
      <c r="N380">
        <v>0</v>
      </c>
    </row>
    <row r="381" spans="1:14" x14ac:dyDescent="0.25">
      <c r="A381" s="15"/>
      <c r="B381" s="15"/>
      <c r="C381">
        <v>5</v>
      </c>
      <c r="D381">
        <v>510.05500000000001</v>
      </c>
      <c r="E381">
        <v>26.844999999999999</v>
      </c>
      <c r="F381">
        <v>746</v>
      </c>
      <c r="G381">
        <v>1065.3</v>
      </c>
      <c r="H381">
        <v>0</v>
      </c>
      <c r="I381">
        <v>175.7</v>
      </c>
      <c r="J381">
        <v>28</v>
      </c>
      <c r="K381" s="10">
        <v>26.18</v>
      </c>
      <c r="L381" s="2">
        <f t="shared" si="10"/>
        <v>485.29681999999997</v>
      </c>
      <c r="M381" s="2">
        <f t="shared" si="11"/>
        <v>221.23762500000001</v>
      </c>
      <c r="N381">
        <v>0</v>
      </c>
    </row>
    <row r="382" spans="1:14" x14ac:dyDescent="0.25">
      <c r="A382" s="15"/>
      <c r="B382" s="15"/>
      <c r="C382">
        <v>5</v>
      </c>
      <c r="D382">
        <v>510.05500000000001</v>
      </c>
      <c r="E382">
        <v>26.844999999999999</v>
      </c>
      <c r="F382">
        <v>746</v>
      </c>
      <c r="G382">
        <v>1065.3</v>
      </c>
      <c r="H382">
        <v>0</v>
      </c>
      <c r="I382">
        <v>175.7</v>
      </c>
      <c r="J382">
        <v>56</v>
      </c>
      <c r="K382" s="10">
        <v>26.4</v>
      </c>
      <c r="L382" s="2">
        <f t="shared" si="10"/>
        <v>485.29681999999997</v>
      </c>
      <c r="M382" s="2">
        <f t="shared" si="11"/>
        <v>221.23762500000001</v>
      </c>
      <c r="N382">
        <v>0</v>
      </c>
    </row>
    <row r="383" spans="1:14" x14ac:dyDescent="0.25">
      <c r="A383" s="15"/>
      <c r="B383" s="15"/>
      <c r="C383">
        <v>5</v>
      </c>
      <c r="D383">
        <v>510.05500000000001</v>
      </c>
      <c r="E383">
        <v>26.844999999999999</v>
      </c>
      <c r="F383">
        <v>746</v>
      </c>
      <c r="G383">
        <v>1065.3</v>
      </c>
      <c r="H383">
        <v>0</v>
      </c>
      <c r="I383">
        <v>175.7</v>
      </c>
      <c r="J383">
        <v>90</v>
      </c>
      <c r="K383" s="10">
        <v>26.15</v>
      </c>
      <c r="L383" s="2">
        <f t="shared" si="10"/>
        <v>485.29681999999997</v>
      </c>
      <c r="M383" s="2">
        <f t="shared" si="11"/>
        <v>221.23762500000001</v>
      </c>
      <c r="N383">
        <v>0</v>
      </c>
    </row>
    <row r="384" spans="1:14" x14ac:dyDescent="0.25">
      <c r="A384" s="15"/>
      <c r="B384" s="15"/>
      <c r="C384">
        <v>10</v>
      </c>
      <c r="D384">
        <v>483.21</v>
      </c>
      <c r="E384">
        <v>53.69</v>
      </c>
      <c r="F384">
        <v>746</v>
      </c>
      <c r="G384">
        <v>1065.3</v>
      </c>
      <c r="H384">
        <v>0</v>
      </c>
      <c r="I384">
        <v>175.7</v>
      </c>
      <c r="J384">
        <v>14</v>
      </c>
      <c r="K384" s="10">
        <v>24.34</v>
      </c>
      <c r="L384" s="2">
        <f t="shared" si="10"/>
        <v>465.69996999999989</v>
      </c>
      <c r="M384" s="2">
        <f t="shared" si="11"/>
        <v>211.17074999999997</v>
      </c>
      <c r="N384">
        <v>0</v>
      </c>
    </row>
    <row r="385" spans="1:14" x14ac:dyDescent="0.25">
      <c r="A385" s="15"/>
      <c r="B385" s="15"/>
      <c r="C385">
        <v>10</v>
      </c>
      <c r="D385">
        <v>483.21</v>
      </c>
      <c r="E385">
        <v>53.69</v>
      </c>
      <c r="F385">
        <v>746</v>
      </c>
      <c r="G385">
        <v>1065.3</v>
      </c>
      <c r="H385">
        <v>0</v>
      </c>
      <c r="I385">
        <v>175.7</v>
      </c>
      <c r="J385">
        <v>28</v>
      </c>
      <c r="K385" s="10">
        <v>26.36</v>
      </c>
      <c r="L385" s="2">
        <f t="shared" si="10"/>
        <v>465.69996999999989</v>
      </c>
      <c r="M385" s="2">
        <f t="shared" si="11"/>
        <v>211.17074999999997</v>
      </c>
      <c r="N385">
        <v>0</v>
      </c>
    </row>
    <row r="386" spans="1:14" x14ac:dyDescent="0.25">
      <c r="A386" s="15"/>
      <c r="B386" s="15"/>
      <c r="C386">
        <v>10</v>
      </c>
      <c r="D386">
        <v>483.21</v>
      </c>
      <c r="E386">
        <v>53.69</v>
      </c>
      <c r="F386">
        <v>746</v>
      </c>
      <c r="G386">
        <v>1065.3</v>
      </c>
      <c r="H386">
        <v>0</v>
      </c>
      <c r="I386">
        <v>175.7</v>
      </c>
      <c r="J386">
        <v>56</v>
      </c>
      <c r="K386" s="10">
        <v>28.64</v>
      </c>
      <c r="L386" s="2">
        <f t="shared" ref="L386:L419" si="12">SUM((D386*0.83)+(E386*0.1)+(F386*0.0139)+(G386*0.0459)+(H386*2))</f>
        <v>465.69996999999989</v>
      </c>
      <c r="M386" s="2">
        <f t="shared" si="11"/>
        <v>211.17074999999997</v>
      </c>
      <c r="N386">
        <v>0</v>
      </c>
    </row>
    <row r="387" spans="1:14" x14ac:dyDescent="0.25">
      <c r="A387" s="15"/>
      <c r="B387" s="15"/>
      <c r="C387">
        <v>10</v>
      </c>
      <c r="D387">
        <v>483.21</v>
      </c>
      <c r="E387">
        <v>53.69</v>
      </c>
      <c r="F387">
        <v>746</v>
      </c>
      <c r="G387">
        <v>1065.3</v>
      </c>
      <c r="H387">
        <v>0</v>
      </c>
      <c r="I387">
        <v>175.7</v>
      </c>
      <c r="J387">
        <v>90</v>
      </c>
      <c r="K387" s="10">
        <v>29.66</v>
      </c>
      <c r="L387" s="2">
        <f t="shared" si="12"/>
        <v>465.69996999999989</v>
      </c>
      <c r="M387" s="2">
        <f t="shared" ref="M387:M450" si="13">SUM((D387*5)+((F387*0.25)+(G387*0.2)+(H387*20)))*0.075</f>
        <v>211.17074999999997</v>
      </c>
      <c r="N387">
        <v>0</v>
      </c>
    </row>
    <row r="388" spans="1:14" x14ac:dyDescent="0.25">
      <c r="A388" s="15"/>
      <c r="B388" s="15"/>
      <c r="C388">
        <v>15</v>
      </c>
      <c r="D388">
        <v>456.36500000000001</v>
      </c>
      <c r="E388">
        <v>80.534999999999997</v>
      </c>
      <c r="F388">
        <v>746</v>
      </c>
      <c r="G388">
        <v>1065.3</v>
      </c>
      <c r="H388">
        <v>0</v>
      </c>
      <c r="I388">
        <v>175.7</v>
      </c>
      <c r="J388">
        <v>14</v>
      </c>
      <c r="K388" s="10">
        <v>23.1</v>
      </c>
      <c r="L388" s="2">
        <f t="shared" si="12"/>
        <v>446.10311999999993</v>
      </c>
      <c r="M388" s="2">
        <f t="shared" si="13"/>
        <v>201.10387499999999</v>
      </c>
      <c r="N388">
        <v>0</v>
      </c>
    </row>
    <row r="389" spans="1:14" x14ac:dyDescent="0.25">
      <c r="A389" s="15"/>
      <c r="B389" s="15"/>
      <c r="C389">
        <v>15</v>
      </c>
      <c r="D389">
        <v>456.36500000000001</v>
      </c>
      <c r="E389">
        <v>80.534999999999997</v>
      </c>
      <c r="F389">
        <v>746</v>
      </c>
      <c r="G389">
        <v>1065.3</v>
      </c>
      <c r="H389">
        <v>0</v>
      </c>
      <c r="I389">
        <v>175.7</v>
      </c>
      <c r="J389">
        <v>28</v>
      </c>
      <c r="K389" s="10">
        <v>26</v>
      </c>
      <c r="L389" s="2">
        <f t="shared" si="12"/>
        <v>446.10311999999993</v>
      </c>
      <c r="M389" s="2">
        <f t="shared" si="13"/>
        <v>201.10387499999999</v>
      </c>
      <c r="N389">
        <v>0</v>
      </c>
    </row>
    <row r="390" spans="1:14" x14ac:dyDescent="0.25">
      <c r="A390" s="15"/>
      <c r="B390" s="15"/>
      <c r="C390">
        <v>15</v>
      </c>
      <c r="D390">
        <v>456.36500000000001</v>
      </c>
      <c r="E390">
        <v>80.534999999999997</v>
      </c>
      <c r="F390">
        <v>746</v>
      </c>
      <c r="G390">
        <v>1065.3</v>
      </c>
      <c r="H390">
        <v>0</v>
      </c>
      <c r="I390">
        <v>175.7</v>
      </c>
      <c r="J390">
        <v>56</v>
      </c>
      <c r="K390" s="10">
        <v>24.29</v>
      </c>
      <c r="L390" s="2">
        <f t="shared" si="12"/>
        <v>446.10311999999993</v>
      </c>
      <c r="M390" s="2">
        <f t="shared" si="13"/>
        <v>201.10387499999999</v>
      </c>
      <c r="N390">
        <v>0</v>
      </c>
    </row>
    <row r="391" spans="1:14" x14ac:dyDescent="0.25">
      <c r="A391" s="15"/>
      <c r="B391" s="15"/>
      <c r="C391">
        <v>15</v>
      </c>
      <c r="D391">
        <v>456.36500000000001</v>
      </c>
      <c r="E391">
        <v>80.534999999999997</v>
      </c>
      <c r="F391">
        <v>746</v>
      </c>
      <c r="G391">
        <v>1065.3</v>
      </c>
      <c r="H391">
        <v>0</v>
      </c>
      <c r="I391">
        <v>175.7</v>
      </c>
      <c r="J391">
        <v>90</v>
      </c>
      <c r="K391" s="10">
        <v>23.47</v>
      </c>
      <c r="L391" s="2">
        <f t="shared" si="12"/>
        <v>446.10311999999993</v>
      </c>
      <c r="M391" s="2">
        <f t="shared" si="13"/>
        <v>201.10387499999999</v>
      </c>
      <c r="N391">
        <v>0</v>
      </c>
    </row>
    <row r="392" spans="1:14" x14ac:dyDescent="0.25">
      <c r="A392" s="15"/>
      <c r="B392" s="15"/>
      <c r="C392">
        <v>20</v>
      </c>
      <c r="D392">
        <v>429.52</v>
      </c>
      <c r="E392">
        <v>107.38</v>
      </c>
      <c r="F392">
        <v>746</v>
      </c>
      <c r="G392">
        <v>1065.3</v>
      </c>
      <c r="H392">
        <v>0</v>
      </c>
      <c r="I392">
        <v>175.7</v>
      </c>
      <c r="J392">
        <v>14</v>
      </c>
      <c r="K392" s="10">
        <v>24.59</v>
      </c>
      <c r="L392" s="2">
        <f t="shared" si="12"/>
        <v>426.50626999999992</v>
      </c>
      <c r="M392" s="2">
        <f t="shared" si="13"/>
        <v>191.03699999999998</v>
      </c>
      <c r="N392">
        <v>0</v>
      </c>
    </row>
    <row r="393" spans="1:14" x14ac:dyDescent="0.25">
      <c r="A393" s="15"/>
      <c r="B393" s="15"/>
      <c r="C393">
        <v>20</v>
      </c>
      <c r="D393">
        <v>429.52</v>
      </c>
      <c r="E393">
        <v>107.38</v>
      </c>
      <c r="F393">
        <v>746</v>
      </c>
      <c r="G393">
        <v>1065.3</v>
      </c>
      <c r="H393">
        <v>0</v>
      </c>
      <c r="I393">
        <v>175.7</v>
      </c>
      <c r="J393">
        <v>28</v>
      </c>
      <c r="K393" s="10">
        <v>23.07</v>
      </c>
      <c r="L393" s="2">
        <f t="shared" si="12"/>
        <v>426.50626999999992</v>
      </c>
      <c r="M393" s="2">
        <f t="shared" si="13"/>
        <v>191.03699999999998</v>
      </c>
      <c r="N393">
        <v>0</v>
      </c>
    </row>
    <row r="394" spans="1:14" x14ac:dyDescent="0.25">
      <c r="A394" s="15"/>
      <c r="B394" s="15"/>
      <c r="C394">
        <v>20</v>
      </c>
      <c r="D394">
        <v>429.52</v>
      </c>
      <c r="E394">
        <v>107.38</v>
      </c>
      <c r="F394">
        <v>746</v>
      </c>
      <c r="G394">
        <v>1065.3</v>
      </c>
      <c r="H394">
        <v>0</v>
      </c>
      <c r="I394">
        <v>175.7</v>
      </c>
      <c r="J394">
        <v>56</v>
      </c>
      <c r="K394" s="10">
        <v>25.25</v>
      </c>
      <c r="L394" s="2">
        <f t="shared" si="12"/>
        <v>426.50626999999992</v>
      </c>
      <c r="M394" s="2">
        <f t="shared" si="13"/>
        <v>191.03699999999998</v>
      </c>
      <c r="N394">
        <v>0</v>
      </c>
    </row>
    <row r="395" spans="1:14" x14ac:dyDescent="0.25">
      <c r="A395" s="15"/>
      <c r="B395" s="15"/>
      <c r="C395">
        <v>20</v>
      </c>
      <c r="D395">
        <v>429.52</v>
      </c>
      <c r="E395">
        <v>107.38</v>
      </c>
      <c r="F395">
        <v>746</v>
      </c>
      <c r="G395">
        <v>1065.3</v>
      </c>
      <c r="H395">
        <v>0</v>
      </c>
      <c r="I395">
        <v>175.7</v>
      </c>
      <c r="J395">
        <v>90</v>
      </c>
      <c r="K395" s="10">
        <v>25.4</v>
      </c>
      <c r="L395" s="2">
        <f t="shared" si="12"/>
        <v>426.50626999999992</v>
      </c>
      <c r="M395" s="2">
        <f t="shared" si="13"/>
        <v>191.03699999999998</v>
      </c>
      <c r="N395">
        <v>0</v>
      </c>
    </row>
    <row r="396" spans="1:14" x14ac:dyDescent="0.25">
      <c r="A396" s="15"/>
      <c r="B396" s="15"/>
      <c r="C396">
        <v>25</v>
      </c>
      <c r="D396">
        <v>402.67500000000001</v>
      </c>
      <c r="E396">
        <v>134.22499999999999</v>
      </c>
      <c r="F396">
        <v>746</v>
      </c>
      <c r="G396">
        <v>1065.3</v>
      </c>
      <c r="H396">
        <v>0</v>
      </c>
      <c r="I396">
        <v>175.7</v>
      </c>
      <c r="J396">
        <v>14</v>
      </c>
      <c r="K396" s="10">
        <v>21.34</v>
      </c>
      <c r="L396" s="2">
        <f t="shared" si="12"/>
        <v>406.90942000000001</v>
      </c>
      <c r="M396" s="2">
        <f t="shared" si="13"/>
        <v>180.970125</v>
      </c>
      <c r="N396">
        <v>0</v>
      </c>
    </row>
    <row r="397" spans="1:14" x14ac:dyDescent="0.25">
      <c r="A397" s="15"/>
      <c r="B397" s="15"/>
      <c r="C397">
        <v>25</v>
      </c>
      <c r="D397">
        <v>402.67500000000001</v>
      </c>
      <c r="E397">
        <v>134.22499999999999</v>
      </c>
      <c r="F397">
        <v>746</v>
      </c>
      <c r="G397">
        <v>1065.3</v>
      </c>
      <c r="H397">
        <v>0</v>
      </c>
      <c r="I397">
        <v>175.7</v>
      </c>
      <c r="J397">
        <v>28</v>
      </c>
      <c r="K397" s="10">
        <v>21.95</v>
      </c>
      <c r="L397" s="2">
        <f t="shared" si="12"/>
        <v>406.90942000000001</v>
      </c>
      <c r="M397" s="2">
        <f t="shared" si="13"/>
        <v>180.970125</v>
      </c>
      <c r="N397">
        <v>0</v>
      </c>
    </row>
    <row r="398" spans="1:14" x14ac:dyDescent="0.25">
      <c r="A398" s="15"/>
      <c r="B398" s="15"/>
      <c r="C398">
        <v>25</v>
      </c>
      <c r="D398">
        <v>402.67500000000001</v>
      </c>
      <c r="E398">
        <v>134.22499999999999</v>
      </c>
      <c r="F398">
        <v>746</v>
      </c>
      <c r="G398">
        <v>1065.3</v>
      </c>
      <c r="H398">
        <v>0</v>
      </c>
      <c r="I398">
        <v>175.7</v>
      </c>
      <c r="J398">
        <v>56</v>
      </c>
      <c r="K398" s="10">
        <v>25.59</v>
      </c>
      <c r="L398" s="2">
        <f t="shared" si="12"/>
        <v>406.90942000000001</v>
      </c>
      <c r="M398" s="2">
        <f t="shared" si="13"/>
        <v>180.970125</v>
      </c>
      <c r="N398">
        <v>0</v>
      </c>
    </row>
    <row r="399" spans="1:14" x14ac:dyDescent="0.25">
      <c r="A399" s="15"/>
      <c r="B399" s="15"/>
      <c r="C399">
        <v>25</v>
      </c>
      <c r="D399">
        <v>402.67500000000001</v>
      </c>
      <c r="E399">
        <v>134.22499999999999</v>
      </c>
      <c r="F399">
        <v>746</v>
      </c>
      <c r="G399">
        <v>1065.3</v>
      </c>
      <c r="H399">
        <v>0</v>
      </c>
      <c r="I399">
        <v>175.7</v>
      </c>
      <c r="J399">
        <v>90</v>
      </c>
      <c r="K399" s="10">
        <v>25.09</v>
      </c>
      <c r="L399" s="2">
        <f t="shared" si="12"/>
        <v>406.90942000000001</v>
      </c>
      <c r="M399" s="2">
        <f t="shared" si="13"/>
        <v>180.970125</v>
      </c>
      <c r="N399">
        <v>0</v>
      </c>
    </row>
    <row r="400" spans="1:14" x14ac:dyDescent="0.25">
      <c r="A400" s="15"/>
      <c r="B400" s="15"/>
      <c r="C400">
        <v>30</v>
      </c>
      <c r="D400">
        <v>375.83</v>
      </c>
      <c r="E400">
        <v>161.07</v>
      </c>
      <c r="F400">
        <v>746</v>
      </c>
      <c r="G400">
        <v>1065.3</v>
      </c>
      <c r="H400">
        <v>0</v>
      </c>
      <c r="I400">
        <v>175.7</v>
      </c>
      <c r="J400">
        <v>14</v>
      </c>
      <c r="K400" s="10">
        <v>21.87</v>
      </c>
      <c r="L400" s="2">
        <f t="shared" si="12"/>
        <v>387.31256999999994</v>
      </c>
      <c r="M400" s="2">
        <f t="shared" si="13"/>
        <v>170.90324999999999</v>
      </c>
      <c r="N400">
        <v>0</v>
      </c>
    </row>
    <row r="401" spans="1:14" x14ac:dyDescent="0.25">
      <c r="A401" s="15"/>
      <c r="B401" s="15"/>
      <c r="C401">
        <v>30</v>
      </c>
      <c r="D401">
        <v>375.83</v>
      </c>
      <c r="E401">
        <v>161.07</v>
      </c>
      <c r="F401">
        <v>746</v>
      </c>
      <c r="G401">
        <v>1065.3</v>
      </c>
      <c r="H401">
        <v>0</v>
      </c>
      <c r="I401">
        <v>175.7</v>
      </c>
      <c r="J401">
        <v>28</v>
      </c>
      <c r="K401" s="10">
        <v>21.37</v>
      </c>
      <c r="L401" s="2">
        <f t="shared" si="12"/>
        <v>387.31256999999994</v>
      </c>
      <c r="M401" s="2">
        <f t="shared" si="13"/>
        <v>170.90324999999999</v>
      </c>
      <c r="N401">
        <v>0</v>
      </c>
    </row>
    <row r="402" spans="1:14" x14ac:dyDescent="0.25">
      <c r="A402" s="15"/>
      <c r="B402" s="15"/>
      <c r="C402">
        <v>30</v>
      </c>
      <c r="D402">
        <v>375.83</v>
      </c>
      <c r="E402">
        <v>161.07</v>
      </c>
      <c r="F402">
        <v>746</v>
      </c>
      <c r="G402">
        <v>1065.3</v>
      </c>
      <c r="H402">
        <v>0</v>
      </c>
      <c r="I402">
        <v>175.7</v>
      </c>
      <c r="J402">
        <v>56</v>
      </c>
      <c r="K402" s="10">
        <v>25.1</v>
      </c>
      <c r="L402" s="2">
        <f t="shared" si="12"/>
        <v>387.31256999999994</v>
      </c>
      <c r="M402" s="2">
        <f t="shared" si="13"/>
        <v>170.90324999999999</v>
      </c>
      <c r="N402">
        <v>0</v>
      </c>
    </row>
    <row r="403" spans="1:14" x14ac:dyDescent="0.25">
      <c r="A403" s="15"/>
      <c r="B403" s="15"/>
      <c r="C403">
        <v>30</v>
      </c>
      <c r="D403">
        <v>375.83</v>
      </c>
      <c r="E403">
        <v>161.07</v>
      </c>
      <c r="F403">
        <v>746</v>
      </c>
      <c r="G403">
        <v>1065.3</v>
      </c>
      <c r="H403">
        <v>0</v>
      </c>
      <c r="I403">
        <v>175.7</v>
      </c>
      <c r="J403">
        <v>90</v>
      </c>
      <c r="K403" s="10">
        <v>20.399999999999999</v>
      </c>
      <c r="L403" s="2">
        <f t="shared" si="12"/>
        <v>387.31256999999994</v>
      </c>
      <c r="M403" s="2">
        <f t="shared" si="13"/>
        <v>170.90324999999999</v>
      </c>
      <c r="N403">
        <v>0</v>
      </c>
    </row>
    <row r="404" spans="1:14" x14ac:dyDescent="0.25">
      <c r="A404" s="15"/>
      <c r="B404" s="15"/>
      <c r="C404">
        <v>35</v>
      </c>
      <c r="D404">
        <v>348.98500000000001</v>
      </c>
      <c r="E404">
        <v>187.91499999999999</v>
      </c>
      <c r="F404">
        <v>746</v>
      </c>
      <c r="G404">
        <v>1065.3</v>
      </c>
      <c r="H404">
        <v>0</v>
      </c>
      <c r="I404">
        <v>175.7</v>
      </c>
      <c r="J404">
        <v>14</v>
      </c>
      <c r="K404" s="10">
        <v>21.45</v>
      </c>
      <c r="L404" s="2">
        <f t="shared" si="12"/>
        <v>367.71571999999998</v>
      </c>
      <c r="M404" s="2">
        <f t="shared" si="13"/>
        <v>160.836375</v>
      </c>
      <c r="N404">
        <v>0</v>
      </c>
    </row>
    <row r="405" spans="1:14" x14ac:dyDescent="0.25">
      <c r="A405" s="15"/>
      <c r="B405" s="15"/>
      <c r="C405">
        <v>35</v>
      </c>
      <c r="D405">
        <v>348.98500000000001</v>
      </c>
      <c r="E405">
        <v>187.91499999999999</v>
      </c>
      <c r="F405">
        <v>746</v>
      </c>
      <c r="G405">
        <v>1065.3</v>
      </c>
      <c r="H405">
        <v>0</v>
      </c>
      <c r="I405">
        <v>175.7</v>
      </c>
      <c r="J405">
        <v>28</v>
      </c>
      <c r="K405" s="10">
        <v>19.2</v>
      </c>
      <c r="L405" s="2">
        <f t="shared" si="12"/>
        <v>367.71571999999998</v>
      </c>
      <c r="M405" s="2">
        <f t="shared" si="13"/>
        <v>160.836375</v>
      </c>
      <c r="N405">
        <v>0</v>
      </c>
    </row>
    <row r="406" spans="1:14" x14ac:dyDescent="0.25">
      <c r="A406" s="15"/>
      <c r="B406" s="15"/>
      <c r="C406">
        <v>35</v>
      </c>
      <c r="D406">
        <v>348.98500000000001</v>
      </c>
      <c r="E406">
        <v>187.91499999999999</v>
      </c>
      <c r="F406">
        <v>746</v>
      </c>
      <c r="G406">
        <v>1065.3</v>
      </c>
      <c r="H406">
        <v>0</v>
      </c>
      <c r="I406">
        <v>175.7</v>
      </c>
      <c r="J406">
        <v>56</v>
      </c>
      <c r="K406" s="10">
        <v>21.14</v>
      </c>
      <c r="L406" s="2">
        <f t="shared" si="12"/>
        <v>367.71571999999998</v>
      </c>
      <c r="M406" s="2">
        <f t="shared" si="13"/>
        <v>160.836375</v>
      </c>
      <c r="N406">
        <v>0</v>
      </c>
    </row>
    <row r="407" spans="1:14" x14ac:dyDescent="0.25">
      <c r="A407" s="15"/>
      <c r="B407" s="15"/>
      <c r="C407">
        <v>35</v>
      </c>
      <c r="D407">
        <v>348.98500000000001</v>
      </c>
      <c r="E407">
        <v>187.91499999999999</v>
      </c>
      <c r="F407">
        <v>746</v>
      </c>
      <c r="G407">
        <v>1065.3</v>
      </c>
      <c r="H407">
        <v>0</v>
      </c>
      <c r="I407">
        <v>175.7</v>
      </c>
      <c r="J407">
        <v>90</v>
      </c>
      <c r="K407" s="10">
        <v>27.6</v>
      </c>
      <c r="L407" s="2">
        <f t="shared" si="12"/>
        <v>367.71571999999998</v>
      </c>
      <c r="M407" s="2">
        <f t="shared" si="13"/>
        <v>160.836375</v>
      </c>
      <c r="N407">
        <v>0</v>
      </c>
    </row>
    <row r="408" spans="1:14" x14ac:dyDescent="0.25">
      <c r="A408" s="15"/>
      <c r="B408" s="15"/>
      <c r="C408">
        <v>40</v>
      </c>
      <c r="D408">
        <v>322.14</v>
      </c>
      <c r="E408">
        <v>214.76</v>
      </c>
      <c r="F408">
        <v>746</v>
      </c>
      <c r="G408">
        <v>1065.3</v>
      </c>
      <c r="H408">
        <v>0</v>
      </c>
      <c r="I408">
        <v>175.7</v>
      </c>
      <c r="J408">
        <v>14</v>
      </c>
      <c r="K408" s="10">
        <v>18</v>
      </c>
      <c r="L408" s="2">
        <f t="shared" si="12"/>
        <v>348.11886999999996</v>
      </c>
      <c r="M408" s="2">
        <f t="shared" si="13"/>
        <v>150.76949999999997</v>
      </c>
      <c r="N408">
        <v>0</v>
      </c>
    </row>
    <row r="409" spans="1:14" x14ac:dyDescent="0.25">
      <c r="A409" s="15"/>
      <c r="B409" s="15"/>
      <c r="C409">
        <v>40</v>
      </c>
      <c r="D409">
        <v>322.14</v>
      </c>
      <c r="E409">
        <v>214.76</v>
      </c>
      <c r="F409">
        <v>746</v>
      </c>
      <c r="G409">
        <v>1065.3</v>
      </c>
      <c r="H409">
        <v>0</v>
      </c>
      <c r="I409">
        <v>175.7</v>
      </c>
      <c r="J409">
        <v>28</v>
      </c>
      <c r="K409" s="10">
        <v>21.68</v>
      </c>
      <c r="L409" s="2">
        <f t="shared" si="12"/>
        <v>348.11886999999996</v>
      </c>
      <c r="M409" s="2">
        <f t="shared" si="13"/>
        <v>150.76949999999997</v>
      </c>
      <c r="N409">
        <v>0</v>
      </c>
    </row>
    <row r="410" spans="1:14" x14ac:dyDescent="0.25">
      <c r="A410" s="15"/>
      <c r="B410" s="15"/>
      <c r="C410">
        <v>40</v>
      </c>
      <c r="D410">
        <v>322.14</v>
      </c>
      <c r="E410">
        <v>214.76</v>
      </c>
      <c r="F410">
        <v>746</v>
      </c>
      <c r="G410">
        <v>1065.3</v>
      </c>
      <c r="H410">
        <v>0</v>
      </c>
      <c r="I410">
        <v>175.7</v>
      </c>
      <c r="J410">
        <v>56</v>
      </c>
      <c r="K410" s="10">
        <v>23.55</v>
      </c>
      <c r="L410" s="2">
        <f t="shared" si="12"/>
        <v>348.11886999999996</v>
      </c>
      <c r="M410" s="2">
        <f t="shared" si="13"/>
        <v>150.76949999999997</v>
      </c>
      <c r="N410">
        <v>0</v>
      </c>
    </row>
    <row r="411" spans="1:14" x14ac:dyDescent="0.25">
      <c r="A411" s="15"/>
      <c r="B411" s="15"/>
      <c r="C411">
        <v>40</v>
      </c>
      <c r="D411">
        <v>322.14</v>
      </c>
      <c r="E411">
        <v>214.76</v>
      </c>
      <c r="F411">
        <v>746</v>
      </c>
      <c r="G411">
        <v>1065.3</v>
      </c>
      <c r="H411">
        <v>0</v>
      </c>
      <c r="I411">
        <v>175.7</v>
      </c>
      <c r="J411">
        <v>90</v>
      </c>
      <c r="K411" s="10">
        <v>21.93</v>
      </c>
      <c r="L411" s="2">
        <f t="shared" si="12"/>
        <v>348.11886999999996</v>
      </c>
      <c r="M411" s="2">
        <f t="shared" si="13"/>
        <v>150.76949999999997</v>
      </c>
      <c r="N411">
        <v>0</v>
      </c>
    </row>
    <row r="412" spans="1:14" x14ac:dyDescent="0.25">
      <c r="A412" s="15"/>
      <c r="B412" s="15"/>
      <c r="C412">
        <v>45</v>
      </c>
      <c r="D412">
        <v>295.29500000000002</v>
      </c>
      <c r="E412">
        <v>241.60499999999999</v>
      </c>
      <c r="F412">
        <v>746</v>
      </c>
      <c r="G412">
        <v>1065.3</v>
      </c>
      <c r="H412">
        <v>0</v>
      </c>
      <c r="I412">
        <v>175.7</v>
      </c>
      <c r="J412">
        <v>14</v>
      </c>
      <c r="K412" s="10">
        <v>16.350000000000001</v>
      </c>
      <c r="L412" s="2">
        <f t="shared" si="12"/>
        <v>328.52202</v>
      </c>
      <c r="M412" s="2">
        <f t="shared" si="13"/>
        <v>140.70262500000001</v>
      </c>
      <c r="N412">
        <v>0</v>
      </c>
    </row>
    <row r="413" spans="1:14" x14ac:dyDescent="0.25">
      <c r="A413" s="15"/>
      <c r="B413" s="15"/>
      <c r="C413">
        <v>45</v>
      </c>
      <c r="D413">
        <v>295.29500000000002</v>
      </c>
      <c r="E413">
        <v>241.60499999999999</v>
      </c>
      <c r="F413">
        <v>746</v>
      </c>
      <c r="G413">
        <v>1065.3</v>
      </c>
      <c r="H413">
        <v>0</v>
      </c>
      <c r="I413">
        <v>175.7</v>
      </c>
      <c r="J413">
        <v>28</v>
      </c>
      <c r="K413" s="10">
        <v>19.78</v>
      </c>
      <c r="L413" s="2">
        <f t="shared" si="12"/>
        <v>328.52202</v>
      </c>
      <c r="M413" s="2">
        <f t="shared" si="13"/>
        <v>140.70262500000001</v>
      </c>
      <c r="N413">
        <v>0</v>
      </c>
    </row>
    <row r="414" spans="1:14" x14ac:dyDescent="0.25">
      <c r="A414" s="15"/>
      <c r="B414" s="15"/>
      <c r="C414">
        <v>45</v>
      </c>
      <c r="D414">
        <v>295.29500000000002</v>
      </c>
      <c r="E414">
        <v>241.60499999999999</v>
      </c>
      <c r="F414">
        <v>746</v>
      </c>
      <c r="G414">
        <v>1065.3</v>
      </c>
      <c r="H414">
        <v>0</v>
      </c>
      <c r="I414">
        <v>175.7</v>
      </c>
      <c r="J414">
        <v>56</v>
      </c>
      <c r="K414" s="10">
        <v>17</v>
      </c>
      <c r="L414" s="2">
        <f t="shared" si="12"/>
        <v>328.52202</v>
      </c>
      <c r="M414" s="2">
        <f t="shared" si="13"/>
        <v>140.70262500000001</v>
      </c>
      <c r="N414">
        <v>0</v>
      </c>
    </row>
    <row r="415" spans="1:14" x14ac:dyDescent="0.25">
      <c r="A415" s="15"/>
      <c r="B415" s="15"/>
      <c r="C415">
        <v>45</v>
      </c>
      <c r="D415">
        <v>295.29500000000002</v>
      </c>
      <c r="E415">
        <v>241.60499999999999</v>
      </c>
      <c r="F415">
        <v>746</v>
      </c>
      <c r="G415">
        <v>1065.3</v>
      </c>
      <c r="H415">
        <v>0</v>
      </c>
      <c r="I415">
        <v>175.7</v>
      </c>
      <c r="J415">
        <v>90</v>
      </c>
      <c r="K415" s="10">
        <v>21.17</v>
      </c>
      <c r="L415" s="2">
        <f t="shared" si="12"/>
        <v>328.52202</v>
      </c>
      <c r="M415" s="2">
        <f t="shared" si="13"/>
        <v>140.70262500000001</v>
      </c>
      <c r="N415">
        <v>0</v>
      </c>
    </row>
    <row r="416" spans="1:14" x14ac:dyDescent="0.25">
      <c r="A416" s="15"/>
      <c r="B416" s="15"/>
      <c r="C416">
        <v>50</v>
      </c>
      <c r="D416">
        <v>268.45</v>
      </c>
      <c r="E416">
        <v>268.45</v>
      </c>
      <c r="F416">
        <v>746</v>
      </c>
      <c r="G416">
        <v>1065.3</v>
      </c>
      <c r="H416">
        <v>0</v>
      </c>
      <c r="I416">
        <v>175.7</v>
      </c>
      <c r="J416">
        <v>14</v>
      </c>
      <c r="K416" s="10">
        <v>18.239999999999998</v>
      </c>
      <c r="L416" s="2">
        <f t="shared" si="12"/>
        <v>308.92516999999998</v>
      </c>
      <c r="M416" s="2">
        <f t="shared" si="13"/>
        <v>130.63575</v>
      </c>
      <c r="N416">
        <v>0</v>
      </c>
    </row>
    <row r="417" spans="1:14" x14ac:dyDescent="0.25">
      <c r="A417" s="15"/>
      <c r="B417" s="15"/>
      <c r="C417">
        <v>50</v>
      </c>
      <c r="D417">
        <v>268.45</v>
      </c>
      <c r="E417">
        <v>268.45</v>
      </c>
      <c r="F417">
        <v>746</v>
      </c>
      <c r="G417">
        <v>1065.3</v>
      </c>
      <c r="H417">
        <v>0</v>
      </c>
      <c r="I417">
        <v>175.7</v>
      </c>
      <c r="J417">
        <v>28</v>
      </c>
      <c r="K417" s="10">
        <v>20.91</v>
      </c>
      <c r="L417" s="2">
        <f t="shared" si="12"/>
        <v>308.92516999999998</v>
      </c>
      <c r="M417" s="2">
        <f t="shared" si="13"/>
        <v>130.63575</v>
      </c>
      <c r="N417">
        <v>0</v>
      </c>
    </row>
    <row r="418" spans="1:14" x14ac:dyDescent="0.25">
      <c r="A418" s="15"/>
      <c r="B418" s="15"/>
      <c r="C418">
        <v>50</v>
      </c>
      <c r="D418">
        <v>268.45</v>
      </c>
      <c r="E418">
        <v>268.45</v>
      </c>
      <c r="F418">
        <v>746</v>
      </c>
      <c r="G418">
        <v>1065.3</v>
      </c>
      <c r="H418">
        <v>0</v>
      </c>
      <c r="I418">
        <v>175.7</v>
      </c>
      <c r="J418">
        <v>56</v>
      </c>
      <c r="K418" s="10">
        <v>22.6</v>
      </c>
      <c r="L418" s="2">
        <f t="shared" si="12"/>
        <v>308.92516999999998</v>
      </c>
      <c r="M418" s="2">
        <f t="shared" si="13"/>
        <v>130.63575</v>
      </c>
      <c r="N418">
        <v>0</v>
      </c>
    </row>
    <row r="419" spans="1:14" x14ac:dyDescent="0.25">
      <c r="A419" s="15"/>
      <c r="B419" s="15"/>
      <c r="C419">
        <v>50</v>
      </c>
      <c r="D419">
        <v>268.45</v>
      </c>
      <c r="E419">
        <v>268.45</v>
      </c>
      <c r="F419">
        <v>746</v>
      </c>
      <c r="G419">
        <v>1065.3</v>
      </c>
      <c r="H419">
        <v>0</v>
      </c>
      <c r="I419">
        <v>175.7</v>
      </c>
      <c r="J419">
        <v>90</v>
      </c>
      <c r="K419" s="10">
        <v>20.81</v>
      </c>
      <c r="L419" s="2">
        <f t="shared" si="12"/>
        <v>308.92516999999998</v>
      </c>
      <c r="M419" s="2">
        <f t="shared" si="13"/>
        <v>130.63575</v>
      </c>
      <c r="N419">
        <v>0</v>
      </c>
    </row>
    <row r="420" spans="1:14" x14ac:dyDescent="0.25">
      <c r="A420" s="15" t="s">
        <v>95</v>
      </c>
      <c r="B420" s="15" t="s">
        <v>96</v>
      </c>
      <c r="C420">
        <v>0</v>
      </c>
      <c r="D420">
        <v>566.79999999999995</v>
      </c>
      <c r="E420">
        <v>0</v>
      </c>
      <c r="F420">
        <v>672.2</v>
      </c>
      <c r="G420">
        <v>1062.7</v>
      </c>
      <c r="H420">
        <v>0</v>
      </c>
      <c r="I420">
        <v>229.2</v>
      </c>
      <c r="J420">
        <v>14</v>
      </c>
      <c r="K420" s="10">
        <v>23.52</v>
      </c>
      <c r="L420" s="2">
        <f t="shared" ref="L420:L480" si="14">SUM((D420*0.83)+(E420*0.1)+(F420*0.0139)+(G420*0.0459)+(H420*2))</f>
        <v>528.5655099999999</v>
      </c>
      <c r="M420" s="2">
        <f t="shared" si="13"/>
        <v>241.09424999999999</v>
      </c>
      <c r="N420">
        <v>0</v>
      </c>
    </row>
    <row r="421" spans="1:14" x14ac:dyDescent="0.25">
      <c r="A421" s="15"/>
      <c r="B421" s="15"/>
      <c r="C421">
        <v>0</v>
      </c>
      <c r="D421">
        <v>566.79999999999995</v>
      </c>
      <c r="E421">
        <v>0</v>
      </c>
      <c r="F421">
        <v>672.2</v>
      </c>
      <c r="G421">
        <v>1062.7</v>
      </c>
      <c r="H421">
        <v>0</v>
      </c>
      <c r="I421">
        <v>229.2</v>
      </c>
      <c r="J421">
        <v>28</v>
      </c>
      <c r="K421" s="10">
        <v>28.49</v>
      </c>
      <c r="L421" s="2">
        <f t="shared" si="14"/>
        <v>528.5655099999999</v>
      </c>
      <c r="M421" s="2">
        <f t="shared" si="13"/>
        <v>241.09424999999999</v>
      </c>
      <c r="N421">
        <v>0</v>
      </c>
    </row>
    <row r="422" spans="1:14" x14ac:dyDescent="0.25">
      <c r="A422" s="15"/>
      <c r="B422" s="15"/>
      <c r="C422">
        <v>0</v>
      </c>
      <c r="D422">
        <v>566.79999999999995</v>
      </c>
      <c r="E422">
        <v>0</v>
      </c>
      <c r="F422">
        <v>672.2</v>
      </c>
      <c r="G422">
        <v>1062.7</v>
      </c>
      <c r="H422">
        <v>0</v>
      </c>
      <c r="I422">
        <v>229.2</v>
      </c>
      <c r="J422">
        <v>56</v>
      </c>
      <c r="K422" s="10">
        <v>26.86</v>
      </c>
      <c r="L422" s="2">
        <f t="shared" si="14"/>
        <v>528.5655099999999</v>
      </c>
      <c r="M422" s="2">
        <f t="shared" si="13"/>
        <v>241.09424999999999</v>
      </c>
      <c r="N422">
        <v>0</v>
      </c>
    </row>
    <row r="423" spans="1:14" x14ac:dyDescent="0.25">
      <c r="A423" s="15"/>
      <c r="B423" s="15"/>
      <c r="C423">
        <v>0</v>
      </c>
      <c r="D423">
        <v>566.79999999999995</v>
      </c>
      <c r="E423">
        <v>0</v>
      </c>
      <c r="F423">
        <v>672.2</v>
      </c>
      <c r="G423">
        <v>1062.7</v>
      </c>
      <c r="H423">
        <v>0</v>
      </c>
      <c r="I423">
        <v>229.2</v>
      </c>
      <c r="J423">
        <v>90</v>
      </c>
      <c r="K423" s="10">
        <v>25.43</v>
      </c>
      <c r="L423" s="2">
        <f t="shared" si="14"/>
        <v>528.5655099999999</v>
      </c>
      <c r="M423" s="2">
        <f t="shared" si="13"/>
        <v>241.09424999999999</v>
      </c>
      <c r="N423">
        <v>0</v>
      </c>
    </row>
    <row r="424" spans="1:14" x14ac:dyDescent="0.25">
      <c r="A424" s="15"/>
      <c r="B424" s="15"/>
      <c r="C424">
        <v>5</v>
      </c>
      <c r="D424">
        <v>538.46</v>
      </c>
      <c r="E424">
        <v>28.34</v>
      </c>
      <c r="F424">
        <v>672.2</v>
      </c>
      <c r="G424">
        <v>1062.7</v>
      </c>
      <c r="H424">
        <v>0</v>
      </c>
      <c r="I424">
        <v>229.2</v>
      </c>
      <c r="J424">
        <v>14</v>
      </c>
      <c r="K424" s="10">
        <v>19.350000000000001</v>
      </c>
      <c r="L424" s="2">
        <f t="shared" si="14"/>
        <v>507.87731000000002</v>
      </c>
      <c r="M424" s="2">
        <f t="shared" si="13"/>
        <v>230.46675000000002</v>
      </c>
      <c r="N424">
        <v>0</v>
      </c>
    </row>
    <row r="425" spans="1:14" x14ac:dyDescent="0.25">
      <c r="A425" s="15"/>
      <c r="B425" s="15"/>
      <c r="C425">
        <v>5</v>
      </c>
      <c r="D425">
        <v>538.46</v>
      </c>
      <c r="E425">
        <v>28.34</v>
      </c>
      <c r="F425">
        <v>672.2</v>
      </c>
      <c r="G425">
        <v>1062.7</v>
      </c>
      <c r="H425">
        <v>0</v>
      </c>
      <c r="I425">
        <v>229.2</v>
      </c>
      <c r="J425">
        <v>28</v>
      </c>
      <c r="K425" s="10">
        <v>26.95</v>
      </c>
      <c r="L425" s="2">
        <f t="shared" si="14"/>
        <v>507.87731000000002</v>
      </c>
      <c r="M425" s="2">
        <f t="shared" si="13"/>
        <v>230.46675000000002</v>
      </c>
      <c r="N425">
        <v>0</v>
      </c>
    </row>
    <row r="426" spans="1:14" x14ac:dyDescent="0.25">
      <c r="A426" s="15"/>
      <c r="B426" s="15"/>
      <c r="C426">
        <v>5</v>
      </c>
      <c r="D426">
        <v>538.46</v>
      </c>
      <c r="E426">
        <v>28.34</v>
      </c>
      <c r="F426">
        <v>672.2</v>
      </c>
      <c r="G426">
        <v>1062.7</v>
      </c>
      <c r="H426">
        <v>0</v>
      </c>
      <c r="I426">
        <v>229.2</v>
      </c>
      <c r="J426">
        <v>56</v>
      </c>
      <c r="K426" s="10">
        <v>30.67</v>
      </c>
      <c r="L426" s="2">
        <f t="shared" si="14"/>
        <v>507.87731000000002</v>
      </c>
      <c r="M426" s="2">
        <f t="shared" si="13"/>
        <v>230.46675000000002</v>
      </c>
      <c r="N426">
        <v>0</v>
      </c>
    </row>
    <row r="427" spans="1:14" x14ac:dyDescent="0.25">
      <c r="A427" s="15"/>
      <c r="B427" s="15"/>
      <c r="C427">
        <v>5</v>
      </c>
      <c r="D427">
        <v>538.46</v>
      </c>
      <c r="E427">
        <v>28.34</v>
      </c>
      <c r="F427">
        <v>672.2</v>
      </c>
      <c r="G427">
        <v>1062.7</v>
      </c>
      <c r="H427">
        <v>0</v>
      </c>
      <c r="I427">
        <v>229.2</v>
      </c>
      <c r="J427">
        <v>90</v>
      </c>
      <c r="K427" s="10">
        <v>31.14</v>
      </c>
      <c r="L427" s="2">
        <f t="shared" si="14"/>
        <v>507.87731000000002</v>
      </c>
      <c r="M427" s="2">
        <f t="shared" si="13"/>
        <v>230.46675000000002</v>
      </c>
      <c r="N427">
        <v>0</v>
      </c>
    </row>
    <row r="428" spans="1:14" x14ac:dyDescent="0.25">
      <c r="A428" s="15"/>
      <c r="B428" s="15"/>
      <c r="C428">
        <v>10</v>
      </c>
      <c r="D428">
        <v>510.12</v>
      </c>
      <c r="E428">
        <v>56.68</v>
      </c>
      <c r="F428">
        <v>672.2</v>
      </c>
      <c r="G428">
        <v>1062.7</v>
      </c>
      <c r="H428">
        <v>0</v>
      </c>
      <c r="I428">
        <v>229.2</v>
      </c>
      <c r="J428">
        <v>14</v>
      </c>
      <c r="K428" s="10">
        <v>18.98</v>
      </c>
      <c r="L428" s="2">
        <f t="shared" si="14"/>
        <v>487.18910999999997</v>
      </c>
      <c r="M428" s="2">
        <f t="shared" si="13"/>
        <v>219.83924999999999</v>
      </c>
      <c r="N428">
        <v>0</v>
      </c>
    </row>
    <row r="429" spans="1:14" x14ac:dyDescent="0.25">
      <c r="A429" s="15"/>
      <c r="B429" s="15"/>
      <c r="C429">
        <v>10</v>
      </c>
      <c r="D429">
        <v>510.12</v>
      </c>
      <c r="E429">
        <v>56.68</v>
      </c>
      <c r="F429">
        <v>672.2</v>
      </c>
      <c r="G429">
        <v>1062.7</v>
      </c>
      <c r="H429">
        <v>0</v>
      </c>
      <c r="I429">
        <v>229.2</v>
      </c>
      <c r="J429">
        <v>28</v>
      </c>
      <c r="K429" s="10">
        <v>24.31</v>
      </c>
      <c r="L429" s="2">
        <f t="shared" si="14"/>
        <v>487.18910999999997</v>
      </c>
      <c r="M429" s="2">
        <f t="shared" si="13"/>
        <v>219.83924999999999</v>
      </c>
      <c r="N429">
        <v>0</v>
      </c>
    </row>
    <row r="430" spans="1:14" x14ac:dyDescent="0.25">
      <c r="A430" s="15"/>
      <c r="B430" s="15"/>
      <c r="C430">
        <v>10</v>
      </c>
      <c r="D430">
        <v>510.12</v>
      </c>
      <c r="E430">
        <v>56.68</v>
      </c>
      <c r="F430">
        <v>672.2</v>
      </c>
      <c r="G430">
        <v>1062.7</v>
      </c>
      <c r="H430">
        <v>0</v>
      </c>
      <c r="I430">
        <v>229.2</v>
      </c>
      <c r="J430">
        <v>56</v>
      </c>
      <c r="K430" s="10">
        <v>23.66</v>
      </c>
      <c r="L430" s="2">
        <f t="shared" si="14"/>
        <v>487.18910999999997</v>
      </c>
      <c r="M430" s="2">
        <f t="shared" si="13"/>
        <v>219.83924999999999</v>
      </c>
      <c r="N430">
        <v>0</v>
      </c>
    </row>
    <row r="431" spans="1:14" x14ac:dyDescent="0.25">
      <c r="A431" s="15"/>
      <c r="B431" s="15"/>
      <c r="C431">
        <v>10</v>
      </c>
      <c r="D431">
        <v>510.12</v>
      </c>
      <c r="E431">
        <v>56.68</v>
      </c>
      <c r="F431">
        <v>672.2</v>
      </c>
      <c r="G431">
        <v>1062.7</v>
      </c>
      <c r="H431">
        <v>0</v>
      </c>
      <c r="I431">
        <v>229.2</v>
      </c>
      <c r="J431">
        <v>90</v>
      </c>
      <c r="K431" s="10">
        <v>27.61</v>
      </c>
      <c r="L431" s="2">
        <f t="shared" si="14"/>
        <v>487.18910999999997</v>
      </c>
      <c r="M431" s="2">
        <f t="shared" si="13"/>
        <v>219.83924999999999</v>
      </c>
      <c r="N431">
        <v>0</v>
      </c>
    </row>
    <row r="432" spans="1:14" x14ac:dyDescent="0.25">
      <c r="A432" s="15"/>
      <c r="B432" s="15"/>
      <c r="C432">
        <v>15</v>
      </c>
      <c r="D432">
        <v>481.78</v>
      </c>
      <c r="E432">
        <v>85.02</v>
      </c>
      <c r="F432">
        <v>672.2</v>
      </c>
      <c r="G432">
        <v>1062.7</v>
      </c>
      <c r="H432">
        <v>0</v>
      </c>
      <c r="I432">
        <v>229.2</v>
      </c>
      <c r="J432">
        <v>14</v>
      </c>
      <c r="K432" s="10">
        <v>21.1</v>
      </c>
      <c r="L432" s="2">
        <f t="shared" si="14"/>
        <v>466.50090999999998</v>
      </c>
      <c r="M432" s="2">
        <f t="shared" si="13"/>
        <v>209.21174999999997</v>
      </c>
      <c r="N432">
        <v>0</v>
      </c>
    </row>
    <row r="433" spans="1:14" x14ac:dyDescent="0.25">
      <c r="A433" s="15"/>
      <c r="B433" s="15"/>
      <c r="C433">
        <v>15</v>
      </c>
      <c r="D433">
        <v>481.78</v>
      </c>
      <c r="E433">
        <v>85.02</v>
      </c>
      <c r="F433">
        <v>672.2</v>
      </c>
      <c r="G433">
        <v>1062.7</v>
      </c>
      <c r="H433">
        <v>0</v>
      </c>
      <c r="I433">
        <v>229.2</v>
      </c>
      <c r="J433">
        <v>28</v>
      </c>
      <c r="K433" s="10">
        <v>22.88</v>
      </c>
      <c r="L433" s="2">
        <f t="shared" si="14"/>
        <v>466.50090999999998</v>
      </c>
      <c r="M433" s="2">
        <f t="shared" si="13"/>
        <v>209.21174999999997</v>
      </c>
      <c r="N433">
        <v>0</v>
      </c>
    </row>
    <row r="434" spans="1:14" x14ac:dyDescent="0.25">
      <c r="A434" s="15"/>
      <c r="B434" s="15"/>
      <c r="C434">
        <v>15</v>
      </c>
      <c r="D434">
        <v>481.78</v>
      </c>
      <c r="E434">
        <v>85.02</v>
      </c>
      <c r="F434">
        <v>672.2</v>
      </c>
      <c r="G434">
        <v>1062.7</v>
      </c>
      <c r="H434">
        <v>0</v>
      </c>
      <c r="I434">
        <v>229.2</v>
      </c>
      <c r="J434">
        <v>56</v>
      </c>
      <c r="K434" s="10">
        <v>25.33</v>
      </c>
      <c r="L434" s="2">
        <f t="shared" si="14"/>
        <v>466.50090999999998</v>
      </c>
      <c r="M434" s="2">
        <f t="shared" si="13"/>
        <v>209.21174999999997</v>
      </c>
      <c r="N434">
        <v>0</v>
      </c>
    </row>
    <row r="435" spans="1:14" x14ac:dyDescent="0.25">
      <c r="A435" s="15"/>
      <c r="B435" s="15"/>
      <c r="C435">
        <v>15</v>
      </c>
      <c r="D435">
        <v>481.78</v>
      </c>
      <c r="E435">
        <v>85.02</v>
      </c>
      <c r="F435">
        <v>672.2</v>
      </c>
      <c r="G435">
        <v>1062.7</v>
      </c>
      <c r="H435">
        <v>0</v>
      </c>
      <c r="I435">
        <v>229.2</v>
      </c>
      <c r="J435">
        <v>90</v>
      </c>
      <c r="K435" s="10">
        <v>27.68</v>
      </c>
      <c r="L435" s="2">
        <f t="shared" si="14"/>
        <v>466.50090999999998</v>
      </c>
      <c r="M435" s="2">
        <f t="shared" si="13"/>
        <v>209.21174999999997</v>
      </c>
      <c r="N435">
        <v>0</v>
      </c>
    </row>
    <row r="436" spans="1:14" x14ac:dyDescent="0.25">
      <c r="A436" s="15"/>
      <c r="B436" s="15"/>
      <c r="C436">
        <v>20</v>
      </c>
      <c r="D436">
        <v>453.44</v>
      </c>
      <c r="E436">
        <v>113.36</v>
      </c>
      <c r="F436">
        <v>672.2</v>
      </c>
      <c r="G436">
        <v>1062.7</v>
      </c>
      <c r="H436">
        <v>0</v>
      </c>
      <c r="I436">
        <v>229.2</v>
      </c>
      <c r="J436">
        <v>14</v>
      </c>
      <c r="K436" s="10">
        <v>21.3</v>
      </c>
      <c r="L436" s="2">
        <f t="shared" si="14"/>
        <v>445.81270999999998</v>
      </c>
      <c r="M436" s="2">
        <f t="shared" si="13"/>
        <v>198.58425</v>
      </c>
      <c r="N436">
        <v>0</v>
      </c>
    </row>
    <row r="437" spans="1:14" x14ac:dyDescent="0.25">
      <c r="A437" s="15"/>
      <c r="B437" s="15"/>
      <c r="C437">
        <v>20</v>
      </c>
      <c r="D437">
        <v>453.44</v>
      </c>
      <c r="E437">
        <v>113.36</v>
      </c>
      <c r="F437">
        <v>672.2</v>
      </c>
      <c r="G437">
        <v>1062.7</v>
      </c>
      <c r="H437">
        <v>0</v>
      </c>
      <c r="I437">
        <v>229.2</v>
      </c>
      <c r="J437">
        <v>28</v>
      </c>
      <c r="K437" s="10">
        <v>20.98</v>
      </c>
      <c r="L437" s="2">
        <f t="shared" si="14"/>
        <v>445.81270999999998</v>
      </c>
      <c r="M437" s="2">
        <f t="shared" si="13"/>
        <v>198.58425</v>
      </c>
      <c r="N437">
        <v>0</v>
      </c>
    </row>
    <row r="438" spans="1:14" x14ac:dyDescent="0.25">
      <c r="A438" s="15"/>
      <c r="B438" s="15"/>
      <c r="C438">
        <v>20</v>
      </c>
      <c r="D438">
        <v>453.44</v>
      </c>
      <c r="E438">
        <v>113.36</v>
      </c>
      <c r="F438">
        <v>672.2</v>
      </c>
      <c r="G438">
        <v>1062.7</v>
      </c>
      <c r="H438">
        <v>0</v>
      </c>
      <c r="I438">
        <v>229.2</v>
      </c>
      <c r="J438">
        <v>56</v>
      </c>
      <c r="K438" s="10">
        <v>23.92</v>
      </c>
      <c r="L438" s="2">
        <f t="shared" si="14"/>
        <v>445.81270999999998</v>
      </c>
      <c r="M438" s="2">
        <f t="shared" si="13"/>
        <v>198.58425</v>
      </c>
      <c r="N438">
        <v>0</v>
      </c>
    </row>
    <row r="439" spans="1:14" x14ac:dyDescent="0.25">
      <c r="A439" s="15"/>
      <c r="B439" s="15"/>
      <c r="C439">
        <v>20</v>
      </c>
      <c r="D439">
        <v>453.44</v>
      </c>
      <c r="E439">
        <v>113.36</v>
      </c>
      <c r="F439">
        <v>672.2</v>
      </c>
      <c r="G439">
        <v>1062.7</v>
      </c>
      <c r="H439">
        <v>0</v>
      </c>
      <c r="I439">
        <v>229.2</v>
      </c>
      <c r="J439">
        <v>90</v>
      </c>
      <c r="K439" s="10">
        <v>25.36</v>
      </c>
      <c r="L439" s="2">
        <f t="shared" si="14"/>
        <v>445.81270999999998</v>
      </c>
      <c r="M439" s="2">
        <f t="shared" si="13"/>
        <v>198.58425</v>
      </c>
      <c r="N439">
        <v>0</v>
      </c>
    </row>
    <row r="440" spans="1:14" x14ac:dyDescent="0.25">
      <c r="A440" s="15"/>
      <c r="B440" s="15"/>
      <c r="C440">
        <v>25</v>
      </c>
      <c r="D440">
        <v>425.1</v>
      </c>
      <c r="E440">
        <v>141.69999999999999</v>
      </c>
      <c r="F440">
        <v>672.2</v>
      </c>
      <c r="G440">
        <v>1062.7</v>
      </c>
      <c r="H440">
        <v>0</v>
      </c>
      <c r="I440">
        <v>229.2</v>
      </c>
      <c r="J440">
        <v>14</v>
      </c>
      <c r="K440" s="10">
        <v>21.64</v>
      </c>
      <c r="L440" s="2">
        <f t="shared" si="14"/>
        <v>425.12451000000004</v>
      </c>
      <c r="M440" s="2">
        <f t="shared" si="13"/>
        <v>187.95675</v>
      </c>
      <c r="N440">
        <v>0</v>
      </c>
    </row>
    <row r="441" spans="1:14" x14ac:dyDescent="0.25">
      <c r="A441" s="15"/>
      <c r="B441" s="15"/>
      <c r="C441">
        <v>25</v>
      </c>
      <c r="D441">
        <v>425.1</v>
      </c>
      <c r="E441">
        <v>141.69999999999999</v>
      </c>
      <c r="F441">
        <v>672.2</v>
      </c>
      <c r="G441">
        <v>1062.7</v>
      </c>
      <c r="H441">
        <v>0</v>
      </c>
      <c r="I441">
        <v>229.2</v>
      </c>
      <c r="J441">
        <v>28</v>
      </c>
      <c r="K441" s="10">
        <v>20.420000000000002</v>
      </c>
      <c r="L441" s="2">
        <f t="shared" si="14"/>
        <v>425.12451000000004</v>
      </c>
      <c r="M441" s="2">
        <f t="shared" si="13"/>
        <v>187.95675</v>
      </c>
      <c r="N441">
        <v>0</v>
      </c>
    </row>
    <row r="442" spans="1:14" x14ac:dyDescent="0.25">
      <c r="A442" s="15"/>
      <c r="B442" s="15"/>
      <c r="C442">
        <v>25</v>
      </c>
      <c r="D442">
        <v>425.1</v>
      </c>
      <c r="E442">
        <v>141.69999999999999</v>
      </c>
      <c r="F442">
        <v>672.2</v>
      </c>
      <c r="G442">
        <v>1062.7</v>
      </c>
      <c r="H442">
        <v>0</v>
      </c>
      <c r="I442">
        <v>229.2</v>
      </c>
      <c r="J442">
        <v>56</v>
      </c>
      <c r="K442" s="10">
        <v>23.85</v>
      </c>
      <c r="L442" s="2">
        <f t="shared" si="14"/>
        <v>425.12451000000004</v>
      </c>
      <c r="M442" s="2">
        <f t="shared" si="13"/>
        <v>187.95675</v>
      </c>
      <c r="N442">
        <v>0</v>
      </c>
    </row>
    <row r="443" spans="1:14" x14ac:dyDescent="0.25">
      <c r="A443" s="15"/>
      <c r="B443" s="15"/>
      <c r="C443">
        <v>25</v>
      </c>
      <c r="D443">
        <v>425.1</v>
      </c>
      <c r="E443">
        <v>141.69999999999999</v>
      </c>
      <c r="F443">
        <v>672.2</v>
      </c>
      <c r="G443">
        <v>1062.7</v>
      </c>
      <c r="H443">
        <v>0</v>
      </c>
      <c r="I443">
        <v>229.2</v>
      </c>
      <c r="J443">
        <v>90</v>
      </c>
      <c r="K443" s="10">
        <v>21.33</v>
      </c>
      <c r="L443" s="2">
        <f t="shared" si="14"/>
        <v>425.12451000000004</v>
      </c>
      <c r="M443" s="2">
        <f t="shared" si="13"/>
        <v>187.95675</v>
      </c>
      <c r="N443">
        <v>0</v>
      </c>
    </row>
    <row r="444" spans="1:14" x14ac:dyDescent="0.25">
      <c r="A444" s="15"/>
      <c r="B444" s="15"/>
      <c r="C444">
        <v>30</v>
      </c>
      <c r="D444">
        <v>396.76</v>
      </c>
      <c r="E444">
        <v>170.04</v>
      </c>
      <c r="F444">
        <v>672.2</v>
      </c>
      <c r="G444">
        <v>1062.7</v>
      </c>
      <c r="H444">
        <v>0</v>
      </c>
      <c r="I444">
        <v>229.2</v>
      </c>
      <c r="J444">
        <v>14</v>
      </c>
      <c r="K444" s="10">
        <v>20.8</v>
      </c>
      <c r="L444" s="2">
        <f t="shared" si="14"/>
        <v>404.43630999999999</v>
      </c>
      <c r="M444" s="2">
        <f t="shared" si="13"/>
        <v>177.32924999999997</v>
      </c>
      <c r="N444">
        <v>0</v>
      </c>
    </row>
    <row r="445" spans="1:14" x14ac:dyDescent="0.25">
      <c r="A445" s="15"/>
      <c r="B445" s="15"/>
      <c r="C445">
        <v>30</v>
      </c>
      <c r="D445">
        <v>396.76</v>
      </c>
      <c r="E445">
        <v>170.04</v>
      </c>
      <c r="F445">
        <v>672.2</v>
      </c>
      <c r="G445">
        <v>1062.7</v>
      </c>
      <c r="H445">
        <v>0</v>
      </c>
      <c r="I445">
        <v>229.2</v>
      </c>
      <c r="J445">
        <v>28</v>
      </c>
      <c r="K445" s="10">
        <v>23.94</v>
      </c>
      <c r="L445" s="2">
        <f t="shared" si="14"/>
        <v>404.43630999999999</v>
      </c>
      <c r="M445" s="2">
        <f t="shared" si="13"/>
        <v>177.32924999999997</v>
      </c>
      <c r="N445">
        <v>0</v>
      </c>
    </row>
    <row r="446" spans="1:14" x14ac:dyDescent="0.25">
      <c r="A446" s="15"/>
      <c r="B446" s="15"/>
      <c r="C446">
        <v>30</v>
      </c>
      <c r="D446">
        <v>396.76</v>
      </c>
      <c r="E446">
        <v>170.04</v>
      </c>
      <c r="F446">
        <v>672.2</v>
      </c>
      <c r="G446">
        <v>1062.7</v>
      </c>
      <c r="H446">
        <v>0</v>
      </c>
      <c r="I446">
        <v>229.2</v>
      </c>
      <c r="J446">
        <v>56</v>
      </c>
      <c r="K446" s="10">
        <v>22.72</v>
      </c>
      <c r="L446" s="2">
        <f t="shared" si="14"/>
        <v>404.43630999999999</v>
      </c>
      <c r="M446" s="2">
        <f t="shared" si="13"/>
        <v>177.32924999999997</v>
      </c>
      <c r="N446">
        <v>0</v>
      </c>
    </row>
    <row r="447" spans="1:14" x14ac:dyDescent="0.25">
      <c r="A447" s="15"/>
      <c r="B447" s="15"/>
      <c r="C447">
        <v>30</v>
      </c>
      <c r="D447">
        <v>396.76</v>
      </c>
      <c r="E447">
        <v>170.04</v>
      </c>
      <c r="F447">
        <v>672.2</v>
      </c>
      <c r="G447">
        <v>1062.7</v>
      </c>
      <c r="H447">
        <v>0</v>
      </c>
      <c r="I447">
        <v>229.2</v>
      </c>
      <c r="J447">
        <v>90</v>
      </c>
      <c r="K447" s="10">
        <v>24.51</v>
      </c>
      <c r="L447" s="2">
        <f t="shared" si="14"/>
        <v>404.43630999999999</v>
      </c>
      <c r="M447" s="2">
        <f t="shared" si="13"/>
        <v>177.32924999999997</v>
      </c>
      <c r="N447">
        <v>0</v>
      </c>
    </row>
    <row r="448" spans="1:14" x14ac:dyDescent="0.25">
      <c r="A448" s="15"/>
      <c r="B448" s="15"/>
      <c r="C448">
        <v>35</v>
      </c>
      <c r="D448">
        <v>368.42</v>
      </c>
      <c r="E448">
        <v>198.38</v>
      </c>
      <c r="F448">
        <v>672.2</v>
      </c>
      <c r="G448">
        <v>1062.7</v>
      </c>
      <c r="H448">
        <v>0</v>
      </c>
      <c r="I448">
        <v>229.2</v>
      </c>
      <c r="J448">
        <v>14</v>
      </c>
      <c r="K448" s="10">
        <v>19.86</v>
      </c>
      <c r="L448" s="2">
        <f t="shared" si="14"/>
        <v>383.74811</v>
      </c>
      <c r="M448" s="2">
        <f t="shared" si="13"/>
        <v>166.70175</v>
      </c>
      <c r="N448">
        <v>0</v>
      </c>
    </row>
    <row r="449" spans="1:14" x14ac:dyDescent="0.25">
      <c r="A449" s="15"/>
      <c r="B449" s="15"/>
      <c r="C449">
        <v>35</v>
      </c>
      <c r="D449">
        <v>368.42</v>
      </c>
      <c r="E449">
        <v>198.38</v>
      </c>
      <c r="F449">
        <v>672.2</v>
      </c>
      <c r="G449">
        <v>1062.7</v>
      </c>
      <c r="H449">
        <v>0</v>
      </c>
      <c r="I449">
        <v>229.2</v>
      </c>
      <c r="J449">
        <v>28</v>
      </c>
      <c r="K449" s="10">
        <v>19.32</v>
      </c>
      <c r="L449" s="2">
        <f t="shared" si="14"/>
        <v>383.74811</v>
      </c>
      <c r="M449" s="2">
        <f t="shared" si="13"/>
        <v>166.70175</v>
      </c>
      <c r="N449">
        <v>0</v>
      </c>
    </row>
    <row r="450" spans="1:14" x14ac:dyDescent="0.25">
      <c r="A450" s="15"/>
      <c r="B450" s="15"/>
      <c r="C450">
        <v>35</v>
      </c>
      <c r="D450">
        <v>368.42</v>
      </c>
      <c r="E450">
        <v>198.38</v>
      </c>
      <c r="F450">
        <v>672.2</v>
      </c>
      <c r="G450">
        <v>1062.7</v>
      </c>
      <c r="H450">
        <v>0</v>
      </c>
      <c r="I450">
        <v>229.2</v>
      </c>
      <c r="J450">
        <v>56</v>
      </c>
      <c r="K450" s="10">
        <v>24.95</v>
      </c>
      <c r="L450" s="2">
        <f t="shared" si="14"/>
        <v>383.74811</v>
      </c>
      <c r="M450" s="2">
        <f t="shared" si="13"/>
        <v>166.70175</v>
      </c>
      <c r="N450">
        <v>0</v>
      </c>
    </row>
    <row r="451" spans="1:14" x14ac:dyDescent="0.25">
      <c r="A451" s="15"/>
      <c r="B451" s="15"/>
      <c r="C451">
        <v>35</v>
      </c>
      <c r="D451">
        <v>368.42</v>
      </c>
      <c r="E451">
        <v>198.38</v>
      </c>
      <c r="F451">
        <v>672.2</v>
      </c>
      <c r="G451">
        <v>1062.7</v>
      </c>
      <c r="H451">
        <v>0</v>
      </c>
      <c r="I451">
        <v>229.2</v>
      </c>
      <c r="J451">
        <v>90</v>
      </c>
      <c r="K451" s="10">
        <v>24.21</v>
      </c>
      <c r="L451" s="2">
        <f t="shared" si="14"/>
        <v>383.74811</v>
      </c>
      <c r="M451" s="2">
        <f t="shared" ref="M451:M514" si="15">SUM((D451*5)+((F451*0.25)+(G451*0.2)+(H451*20)))*0.075</f>
        <v>166.70175</v>
      </c>
      <c r="N451">
        <v>0</v>
      </c>
    </row>
    <row r="452" spans="1:14" x14ac:dyDescent="0.25">
      <c r="A452" s="15"/>
      <c r="B452" s="15"/>
      <c r="C452">
        <v>40</v>
      </c>
      <c r="D452">
        <v>340.08</v>
      </c>
      <c r="E452">
        <v>226.72</v>
      </c>
      <c r="F452">
        <v>672.2</v>
      </c>
      <c r="G452">
        <v>1062.7</v>
      </c>
      <c r="H452">
        <v>0</v>
      </c>
      <c r="I452">
        <v>229.2</v>
      </c>
      <c r="J452">
        <v>14</v>
      </c>
      <c r="K452" s="10">
        <v>14.75</v>
      </c>
      <c r="L452" s="2">
        <f t="shared" si="14"/>
        <v>363.05991</v>
      </c>
      <c r="M452" s="2">
        <f t="shared" si="15"/>
        <v>156.07424999999998</v>
      </c>
      <c r="N452">
        <v>0</v>
      </c>
    </row>
    <row r="453" spans="1:14" x14ac:dyDescent="0.25">
      <c r="A453" s="15"/>
      <c r="B453" s="15"/>
      <c r="C453">
        <v>40</v>
      </c>
      <c r="D453">
        <v>340.08</v>
      </c>
      <c r="E453">
        <v>226.72</v>
      </c>
      <c r="F453">
        <v>672.2</v>
      </c>
      <c r="G453">
        <v>1062.7</v>
      </c>
      <c r="H453">
        <v>0</v>
      </c>
      <c r="I453">
        <v>229.2</v>
      </c>
      <c r="J453">
        <v>28</v>
      </c>
      <c r="K453" s="10">
        <v>20.71</v>
      </c>
      <c r="L453" s="2">
        <f t="shared" si="14"/>
        <v>363.05991</v>
      </c>
      <c r="M453" s="2">
        <f t="shared" si="15"/>
        <v>156.07424999999998</v>
      </c>
      <c r="N453">
        <v>0</v>
      </c>
    </row>
    <row r="454" spans="1:14" x14ac:dyDescent="0.25">
      <c r="A454" s="15"/>
      <c r="B454" s="15"/>
      <c r="C454">
        <v>40</v>
      </c>
      <c r="D454">
        <v>340.08</v>
      </c>
      <c r="E454">
        <v>226.72</v>
      </c>
      <c r="F454">
        <v>672.2</v>
      </c>
      <c r="G454">
        <v>1062.7</v>
      </c>
      <c r="H454">
        <v>0</v>
      </c>
      <c r="I454">
        <v>229.2</v>
      </c>
      <c r="J454">
        <v>56</v>
      </c>
      <c r="K454" s="10">
        <v>16.100000000000001</v>
      </c>
      <c r="L454" s="2">
        <f t="shared" si="14"/>
        <v>363.05991</v>
      </c>
      <c r="M454" s="2">
        <f t="shared" si="15"/>
        <v>156.07424999999998</v>
      </c>
      <c r="N454">
        <v>0</v>
      </c>
    </row>
    <row r="455" spans="1:14" x14ac:dyDescent="0.25">
      <c r="A455" s="15"/>
      <c r="B455" s="15"/>
      <c r="C455">
        <v>40</v>
      </c>
      <c r="D455">
        <v>340.08</v>
      </c>
      <c r="E455">
        <v>226.72</v>
      </c>
      <c r="F455">
        <v>672.2</v>
      </c>
      <c r="G455">
        <v>1062.7</v>
      </c>
      <c r="H455">
        <v>0</v>
      </c>
      <c r="I455">
        <v>229.2</v>
      </c>
      <c r="J455">
        <v>90</v>
      </c>
      <c r="K455" s="10">
        <v>21.05</v>
      </c>
      <c r="L455" s="2">
        <f t="shared" si="14"/>
        <v>363.05991</v>
      </c>
      <c r="M455" s="2">
        <f t="shared" si="15"/>
        <v>156.07424999999998</v>
      </c>
      <c r="N455">
        <v>0</v>
      </c>
    </row>
    <row r="456" spans="1:14" x14ac:dyDescent="0.25">
      <c r="A456" s="15"/>
      <c r="B456" s="15"/>
      <c r="C456">
        <v>45</v>
      </c>
      <c r="D456">
        <v>311.74</v>
      </c>
      <c r="E456">
        <v>255.06</v>
      </c>
      <c r="F456">
        <v>672.2</v>
      </c>
      <c r="G456">
        <v>1062.7</v>
      </c>
      <c r="H456">
        <v>0</v>
      </c>
      <c r="I456">
        <v>229.2</v>
      </c>
      <c r="J456">
        <v>14</v>
      </c>
      <c r="K456" s="10">
        <v>18.88</v>
      </c>
      <c r="L456" s="2">
        <f t="shared" si="14"/>
        <v>342.37170999999995</v>
      </c>
      <c r="M456" s="2">
        <f t="shared" si="15"/>
        <v>145.44674999999998</v>
      </c>
      <c r="N456">
        <v>0</v>
      </c>
    </row>
    <row r="457" spans="1:14" x14ac:dyDescent="0.25">
      <c r="A457" s="15"/>
      <c r="B457" s="15"/>
      <c r="C457">
        <v>45</v>
      </c>
      <c r="D457">
        <v>311.74</v>
      </c>
      <c r="E457">
        <v>255.06</v>
      </c>
      <c r="F457">
        <v>672.2</v>
      </c>
      <c r="G457">
        <v>1062.7</v>
      </c>
      <c r="H457">
        <v>0</v>
      </c>
      <c r="I457">
        <v>229.2</v>
      </c>
      <c r="J457">
        <v>28</v>
      </c>
      <c r="K457" s="10">
        <v>20.3</v>
      </c>
      <c r="L457" s="2">
        <f t="shared" si="14"/>
        <v>342.37170999999995</v>
      </c>
      <c r="M457" s="2">
        <f t="shared" si="15"/>
        <v>145.44674999999998</v>
      </c>
      <c r="N457">
        <v>0</v>
      </c>
    </row>
    <row r="458" spans="1:14" x14ac:dyDescent="0.25">
      <c r="A458" s="15"/>
      <c r="B458" s="15"/>
      <c r="C458">
        <v>45</v>
      </c>
      <c r="D458">
        <v>311.74</v>
      </c>
      <c r="E458">
        <v>255.06</v>
      </c>
      <c r="F458">
        <v>672.2</v>
      </c>
      <c r="G458">
        <v>1062.7</v>
      </c>
      <c r="H458">
        <v>0</v>
      </c>
      <c r="I458">
        <v>229.2</v>
      </c>
      <c r="J458">
        <v>56</v>
      </c>
      <c r="K458" s="10">
        <v>16.420000000000002</v>
      </c>
      <c r="L458" s="2">
        <f t="shared" si="14"/>
        <v>342.37170999999995</v>
      </c>
      <c r="M458" s="2">
        <f t="shared" si="15"/>
        <v>145.44674999999998</v>
      </c>
      <c r="N458">
        <v>0</v>
      </c>
    </row>
    <row r="459" spans="1:14" x14ac:dyDescent="0.25">
      <c r="A459" s="15"/>
      <c r="B459" s="15"/>
      <c r="C459">
        <v>45</v>
      </c>
      <c r="D459">
        <v>311.74</v>
      </c>
      <c r="E459">
        <v>255.06</v>
      </c>
      <c r="F459">
        <v>672.2</v>
      </c>
      <c r="G459">
        <v>1062.7</v>
      </c>
      <c r="H459">
        <v>0</v>
      </c>
      <c r="I459">
        <v>229.2</v>
      </c>
      <c r="J459">
        <v>90</v>
      </c>
      <c r="K459" s="10">
        <v>20.09</v>
      </c>
      <c r="L459" s="2">
        <f t="shared" si="14"/>
        <v>342.37170999999995</v>
      </c>
      <c r="M459" s="2">
        <f t="shared" si="15"/>
        <v>145.44674999999998</v>
      </c>
      <c r="N459">
        <v>0</v>
      </c>
    </row>
    <row r="460" spans="1:14" x14ac:dyDescent="0.25">
      <c r="A460" s="15"/>
      <c r="B460" s="15"/>
      <c r="C460">
        <v>50</v>
      </c>
      <c r="D460">
        <v>283.39999999999998</v>
      </c>
      <c r="E460">
        <v>283.39999999999998</v>
      </c>
      <c r="F460">
        <v>672.2</v>
      </c>
      <c r="G460">
        <v>1062.7</v>
      </c>
      <c r="H460">
        <v>0</v>
      </c>
      <c r="I460">
        <v>229.2</v>
      </c>
      <c r="J460">
        <v>14</v>
      </c>
      <c r="K460" s="10">
        <v>15.88</v>
      </c>
      <c r="L460" s="2">
        <f t="shared" si="14"/>
        <v>321.68350999999996</v>
      </c>
      <c r="M460" s="2">
        <f t="shared" si="15"/>
        <v>134.81925000000001</v>
      </c>
      <c r="N460">
        <v>0</v>
      </c>
    </row>
    <row r="461" spans="1:14" x14ac:dyDescent="0.25">
      <c r="A461" s="15"/>
      <c r="B461" s="15"/>
      <c r="C461">
        <v>50</v>
      </c>
      <c r="D461">
        <v>283.39999999999998</v>
      </c>
      <c r="E461">
        <v>283.39999999999998</v>
      </c>
      <c r="F461">
        <v>672.2</v>
      </c>
      <c r="G461">
        <v>1062.7</v>
      </c>
      <c r="H461">
        <v>0</v>
      </c>
      <c r="I461">
        <v>229.2</v>
      </c>
      <c r="J461">
        <v>28</v>
      </c>
      <c r="K461" s="10">
        <v>18.09</v>
      </c>
      <c r="L461" s="2">
        <f t="shared" si="14"/>
        <v>321.68350999999996</v>
      </c>
      <c r="M461" s="2">
        <f t="shared" si="15"/>
        <v>134.81925000000001</v>
      </c>
      <c r="N461">
        <v>0</v>
      </c>
    </row>
    <row r="462" spans="1:14" x14ac:dyDescent="0.25">
      <c r="A462" s="15"/>
      <c r="B462" s="15"/>
      <c r="C462">
        <v>50</v>
      </c>
      <c r="D462">
        <v>283.39999999999998</v>
      </c>
      <c r="E462">
        <v>283.39999999999998</v>
      </c>
      <c r="F462">
        <v>672.2</v>
      </c>
      <c r="G462">
        <v>1062.7</v>
      </c>
      <c r="H462">
        <v>0</v>
      </c>
      <c r="I462">
        <v>229.2</v>
      </c>
      <c r="J462">
        <v>56</v>
      </c>
      <c r="K462" s="10">
        <v>17.03</v>
      </c>
      <c r="L462" s="2">
        <f t="shared" si="14"/>
        <v>321.68350999999996</v>
      </c>
      <c r="M462" s="2">
        <f t="shared" si="15"/>
        <v>134.81925000000001</v>
      </c>
      <c r="N462">
        <v>0</v>
      </c>
    </row>
    <row r="463" spans="1:14" x14ac:dyDescent="0.25">
      <c r="A463" s="15"/>
      <c r="B463" s="15"/>
      <c r="C463">
        <v>50</v>
      </c>
      <c r="D463">
        <v>283.39999999999998</v>
      </c>
      <c r="E463">
        <v>283.39999999999998</v>
      </c>
      <c r="F463">
        <v>672.2</v>
      </c>
      <c r="G463">
        <v>1062.7</v>
      </c>
      <c r="H463">
        <v>0</v>
      </c>
      <c r="I463">
        <v>229.2</v>
      </c>
      <c r="J463">
        <v>90</v>
      </c>
      <c r="K463" s="10">
        <v>20.52</v>
      </c>
      <c r="L463" s="2">
        <f t="shared" si="14"/>
        <v>321.68350999999996</v>
      </c>
      <c r="M463" s="2">
        <f t="shared" si="15"/>
        <v>134.81925000000001</v>
      </c>
      <c r="N463">
        <v>0</v>
      </c>
    </row>
    <row r="464" spans="1:14" x14ac:dyDescent="0.25">
      <c r="A464" s="15" t="s">
        <v>97</v>
      </c>
      <c r="B464" s="15" t="s">
        <v>98</v>
      </c>
      <c r="C464">
        <v>0</v>
      </c>
      <c r="D464">
        <v>318.60000000000002</v>
      </c>
      <c r="E464">
        <v>0</v>
      </c>
      <c r="F464">
        <v>746</v>
      </c>
      <c r="G464">
        <v>1157.7</v>
      </c>
      <c r="H464">
        <v>0</v>
      </c>
      <c r="I464">
        <v>142.30000000000001</v>
      </c>
      <c r="J464">
        <v>14</v>
      </c>
      <c r="K464" s="10">
        <v>29.57</v>
      </c>
      <c r="L464" s="2">
        <f t="shared" si="14"/>
        <v>327.94583</v>
      </c>
      <c r="M464" s="2">
        <f t="shared" si="15"/>
        <v>150.828</v>
      </c>
      <c r="N464">
        <v>0</v>
      </c>
    </row>
    <row r="465" spans="1:14" x14ac:dyDescent="0.25">
      <c r="A465" s="15"/>
      <c r="B465" s="15"/>
      <c r="C465">
        <v>0</v>
      </c>
      <c r="D465">
        <v>318.60000000000002</v>
      </c>
      <c r="E465">
        <v>0</v>
      </c>
      <c r="F465">
        <v>746</v>
      </c>
      <c r="G465">
        <v>1157.7</v>
      </c>
      <c r="H465">
        <v>0</v>
      </c>
      <c r="I465">
        <v>142.30000000000001</v>
      </c>
      <c r="J465">
        <v>56</v>
      </c>
      <c r="K465" s="10">
        <v>35.28</v>
      </c>
      <c r="L465" s="2">
        <f t="shared" si="14"/>
        <v>327.94583</v>
      </c>
      <c r="M465" s="2">
        <f t="shared" si="15"/>
        <v>150.828</v>
      </c>
      <c r="N465">
        <v>0</v>
      </c>
    </row>
    <row r="466" spans="1:14" x14ac:dyDescent="0.25">
      <c r="A466" s="15"/>
      <c r="B466" s="15"/>
      <c r="C466">
        <v>0</v>
      </c>
      <c r="D466">
        <v>318.60000000000002</v>
      </c>
      <c r="E466">
        <v>0</v>
      </c>
      <c r="F466">
        <v>746</v>
      </c>
      <c r="G466">
        <v>1157.7</v>
      </c>
      <c r="H466">
        <v>0</v>
      </c>
      <c r="I466">
        <v>142.30000000000001</v>
      </c>
      <c r="J466">
        <v>90</v>
      </c>
      <c r="K466" s="10">
        <v>36.56</v>
      </c>
      <c r="L466" s="2">
        <f t="shared" si="14"/>
        <v>327.94583</v>
      </c>
      <c r="M466" s="2">
        <f t="shared" si="15"/>
        <v>150.828</v>
      </c>
      <c r="N466">
        <v>0</v>
      </c>
    </row>
    <row r="467" spans="1:14" x14ac:dyDescent="0.25">
      <c r="A467" s="15"/>
      <c r="B467" s="15"/>
      <c r="C467">
        <v>5</v>
      </c>
      <c r="D467">
        <v>302.67</v>
      </c>
      <c r="E467">
        <v>15.93</v>
      </c>
      <c r="F467">
        <v>746</v>
      </c>
      <c r="G467">
        <v>1157.7</v>
      </c>
      <c r="H467">
        <v>0</v>
      </c>
      <c r="I467">
        <v>142.30000000000001</v>
      </c>
      <c r="J467">
        <v>14</v>
      </c>
      <c r="K467" s="10">
        <v>30.11</v>
      </c>
      <c r="L467" s="2">
        <f t="shared" si="14"/>
        <v>316.31693000000001</v>
      </c>
      <c r="M467" s="2">
        <f t="shared" si="15"/>
        <v>144.85425000000001</v>
      </c>
      <c r="N467">
        <v>0</v>
      </c>
    </row>
    <row r="468" spans="1:14" x14ac:dyDescent="0.25">
      <c r="A468" s="15"/>
      <c r="B468" s="15"/>
      <c r="C468">
        <v>5</v>
      </c>
      <c r="D468">
        <v>302.67</v>
      </c>
      <c r="E468">
        <v>15.93</v>
      </c>
      <c r="F468">
        <v>746</v>
      </c>
      <c r="G468">
        <v>1157.7</v>
      </c>
      <c r="H468">
        <v>0</v>
      </c>
      <c r="I468">
        <v>142.30000000000001</v>
      </c>
      <c r="J468">
        <v>56</v>
      </c>
      <c r="K468" s="10">
        <v>34.869999999999997</v>
      </c>
      <c r="L468" s="2">
        <f t="shared" si="14"/>
        <v>316.31693000000001</v>
      </c>
      <c r="M468" s="2">
        <f t="shared" si="15"/>
        <v>144.85425000000001</v>
      </c>
      <c r="N468">
        <v>0</v>
      </c>
    </row>
    <row r="469" spans="1:14" x14ac:dyDescent="0.25">
      <c r="A469" s="15" t="s">
        <v>150</v>
      </c>
      <c r="B469" s="17" t="s">
        <v>151</v>
      </c>
      <c r="C469">
        <v>0</v>
      </c>
      <c r="D469" s="3">
        <v>380</v>
      </c>
      <c r="E469" s="3">
        <v>0</v>
      </c>
      <c r="F469">
        <v>700</v>
      </c>
      <c r="G469">
        <v>1180</v>
      </c>
      <c r="H469">
        <v>0</v>
      </c>
      <c r="I469">
        <v>182</v>
      </c>
      <c r="J469">
        <v>7</v>
      </c>
      <c r="K469" s="10">
        <v>24</v>
      </c>
      <c r="L469" s="2">
        <f t="shared" si="14"/>
        <v>379.29200000000003</v>
      </c>
      <c r="M469" s="2">
        <f t="shared" si="15"/>
        <v>173.32499999999999</v>
      </c>
      <c r="N469">
        <v>0</v>
      </c>
    </row>
    <row r="470" spans="1:14" x14ac:dyDescent="0.25">
      <c r="A470" s="15"/>
      <c r="B470" s="17"/>
      <c r="C470">
        <v>0</v>
      </c>
      <c r="D470" s="3">
        <v>380</v>
      </c>
      <c r="E470" s="3">
        <v>0</v>
      </c>
      <c r="F470">
        <v>700</v>
      </c>
      <c r="G470">
        <v>1180</v>
      </c>
      <c r="H470">
        <v>0</v>
      </c>
      <c r="I470">
        <v>182</v>
      </c>
      <c r="J470">
        <v>28</v>
      </c>
      <c r="K470" s="10">
        <v>32</v>
      </c>
      <c r="L470" s="2">
        <f t="shared" si="14"/>
        <v>379.29200000000003</v>
      </c>
      <c r="M470" s="2">
        <f t="shared" si="15"/>
        <v>173.32499999999999</v>
      </c>
      <c r="N470">
        <v>0</v>
      </c>
    </row>
    <row r="471" spans="1:14" x14ac:dyDescent="0.25">
      <c r="A471" s="15"/>
      <c r="B471" s="17"/>
      <c r="C471">
        <v>0</v>
      </c>
      <c r="D471" s="3">
        <v>380</v>
      </c>
      <c r="E471" s="3">
        <v>0</v>
      </c>
      <c r="F471">
        <v>700</v>
      </c>
      <c r="G471">
        <v>1180</v>
      </c>
      <c r="H471">
        <v>0</v>
      </c>
      <c r="I471">
        <v>182</v>
      </c>
      <c r="J471">
        <v>56</v>
      </c>
      <c r="K471" s="10">
        <v>34</v>
      </c>
      <c r="L471" s="2">
        <f t="shared" si="14"/>
        <v>379.29200000000003</v>
      </c>
      <c r="M471" s="2">
        <f t="shared" si="15"/>
        <v>173.32499999999999</v>
      </c>
      <c r="N471">
        <v>0</v>
      </c>
    </row>
    <row r="472" spans="1:14" x14ac:dyDescent="0.25">
      <c r="A472" s="15"/>
      <c r="B472" s="17"/>
      <c r="C472">
        <v>20</v>
      </c>
      <c r="D472" s="3">
        <v>285</v>
      </c>
      <c r="E472" s="3">
        <v>76</v>
      </c>
      <c r="F472">
        <v>700</v>
      </c>
      <c r="G472">
        <v>1180</v>
      </c>
      <c r="H472">
        <v>0</v>
      </c>
      <c r="I472">
        <v>182</v>
      </c>
      <c r="J472">
        <v>7</v>
      </c>
      <c r="K472" s="10">
        <v>25</v>
      </c>
      <c r="L472" s="2">
        <f t="shared" si="14"/>
        <v>308.04199999999997</v>
      </c>
      <c r="M472" s="2">
        <f t="shared" si="15"/>
        <v>137.69999999999999</v>
      </c>
      <c r="N472">
        <v>0</v>
      </c>
    </row>
    <row r="473" spans="1:14" x14ac:dyDescent="0.25">
      <c r="A473" s="15"/>
      <c r="B473" s="17"/>
      <c r="C473">
        <v>20</v>
      </c>
      <c r="D473" s="3">
        <v>285</v>
      </c>
      <c r="E473" s="3">
        <v>76</v>
      </c>
      <c r="F473">
        <v>700</v>
      </c>
      <c r="G473">
        <v>1180</v>
      </c>
      <c r="H473">
        <v>0</v>
      </c>
      <c r="I473">
        <v>182</v>
      </c>
      <c r="J473">
        <v>28</v>
      </c>
      <c r="K473" s="10">
        <v>35</v>
      </c>
      <c r="L473" s="2">
        <f t="shared" si="14"/>
        <v>308.04199999999997</v>
      </c>
      <c r="M473" s="2">
        <f t="shared" si="15"/>
        <v>137.69999999999999</v>
      </c>
      <c r="N473">
        <v>0</v>
      </c>
    </row>
    <row r="474" spans="1:14" x14ac:dyDescent="0.25">
      <c r="A474" s="15"/>
      <c r="B474" s="17"/>
      <c r="C474">
        <v>20</v>
      </c>
      <c r="D474" s="3">
        <v>285</v>
      </c>
      <c r="E474" s="3">
        <v>76</v>
      </c>
      <c r="F474">
        <v>700</v>
      </c>
      <c r="G474">
        <v>1180</v>
      </c>
      <c r="H474">
        <v>0</v>
      </c>
      <c r="I474">
        <v>182</v>
      </c>
      <c r="J474">
        <v>56</v>
      </c>
      <c r="K474" s="10">
        <v>39</v>
      </c>
      <c r="L474" s="2">
        <f t="shared" si="14"/>
        <v>308.04199999999997</v>
      </c>
      <c r="M474" s="2">
        <f t="shared" si="15"/>
        <v>137.69999999999999</v>
      </c>
      <c r="N474">
        <v>0</v>
      </c>
    </row>
    <row r="475" spans="1:14" x14ac:dyDescent="0.25">
      <c r="A475" s="15"/>
      <c r="B475" s="17"/>
      <c r="C475">
        <v>15</v>
      </c>
      <c r="D475" s="3">
        <v>285</v>
      </c>
      <c r="E475" s="3">
        <v>57</v>
      </c>
      <c r="F475">
        <v>700</v>
      </c>
      <c r="G475">
        <v>1180</v>
      </c>
      <c r="H475">
        <v>0</v>
      </c>
      <c r="I475">
        <v>182</v>
      </c>
      <c r="J475">
        <v>7</v>
      </c>
      <c r="K475" s="10">
        <v>26</v>
      </c>
      <c r="L475" s="2">
        <f t="shared" si="14"/>
        <v>306.14199999999994</v>
      </c>
      <c r="M475" s="2">
        <f t="shared" si="15"/>
        <v>137.69999999999999</v>
      </c>
      <c r="N475">
        <v>0</v>
      </c>
    </row>
    <row r="476" spans="1:14" x14ac:dyDescent="0.25">
      <c r="A476" s="15"/>
      <c r="B476" s="17"/>
      <c r="C476">
        <v>15</v>
      </c>
      <c r="D476" s="3">
        <v>285</v>
      </c>
      <c r="E476" s="3">
        <v>57</v>
      </c>
      <c r="F476">
        <v>700</v>
      </c>
      <c r="G476">
        <v>1180</v>
      </c>
      <c r="H476">
        <v>0</v>
      </c>
      <c r="I476">
        <v>182</v>
      </c>
      <c r="J476">
        <v>28</v>
      </c>
      <c r="K476" s="10">
        <v>36</v>
      </c>
      <c r="L476" s="2">
        <f t="shared" si="14"/>
        <v>306.14199999999994</v>
      </c>
      <c r="M476" s="2">
        <f t="shared" si="15"/>
        <v>137.69999999999999</v>
      </c>
      <c r="N476">
        <v>0</v>
      </c>
    </row>
    <row r="477" spans="1:14" x14ac:dyDescent="0.25">
      <c r="A477" s="15"/>
      <c r="B477" s="17"/>
      <c r="C477">
        <v>15</v>
      </c>
      <c r="D477" s="3">
        <v>285</v>
      </c>
      <c r="E477" s="3">
        <v>57</v>
      </c>
      <c r="F477">
        <v>700</v>
      </c>
      <c r="G477">
        <v>1180</v>
      </c>
      <c r="H477">
        <v>0</v>
      </c>
      <c r="I477">
        <v>182</v>
      </c>
      <c r="J477">
        <v>56</v>
      </c>
      <c r="K477" s="10">
        <v>40</v>
      </c>
      <c r="L477" s="2">
        <f t="shared" si="14"/>
        <v>306.14199999999994</v>
      </c>
      <c r="M477" s="2">
        <f t="shared" si="15"/>
        <v>137.69999999999999</v>
      </c>
      <c r="N477">
        <v>0</v>
      </c>
    </row>
    <row r="478" spans="1:14" x14ac:dyDescent="0.25">
      <c r="A478" s="15"/>
      <c r="B478" s="17"/>
      <c r="C478">
        <v>10</v>
      </c>
      <c r="D478" s="3">
        <v>285</v>
      </c>
      <c r="E478" s="3">
        <v>38</v>
      </c>
      <c r="F478">
        <v>700</v>
      </c>
      <c r="G478">
        <v>1180</v>
      </c>
      <c r="H478">
        <v>0</v>
      </c>
      <c r="I478">
        <v>182</v>
      </c>
      <c r="J478">
        <v>7</v>
      </c>
      <c r="K478" s="10">
        <v>27</v>
      </c>
      <c r="L478" s="2">
        <f t="shared" si="14"/>
        <v>304.24199999999996</v>
      </c>
      <c r="M478" s="2">
        <f t="shared" si="15"/>
        <v>137.69999999999999</v>
      </c>
      <c r="N478">
        <v>0</v>
      </c>
    </row>
    <row r="479" spans="1:14" x14ac:dyDescent="0.25">
      <c r="A479" s="15"/>
      <c r="B479" s="17"/>
      <c r="C479">
        <v>10</v>
      </c>
      <c r="D479" s="3">
        <v>285</v>
      </c>
      <c r="E479" s="3">
        <v>38</v>
      </c>
      <c r="F479">
        <v>700</v>
      </c>
      <c r="G479">
        <v>1180</v>
      </c>
      <c r="H479">
        <v>0</v>
      </c>
      <c r="I479">
        <v>182</v>
      </c>
      <c r="J479">
        <v>28</v>
      </c>
      <c r="K479" s="10">
        <v>38</v>
      </c>
      <c r="L479" s="2">
        <f t="shared" si="14"/>
        <v>304.24199999999996</v>
      </c>
      <c r="M479" s="2">
        <f t="shared" si="15"/>
        <v>137.69999999999999</v>
      </c>
      <c r="N479">
        <v>0</v>
      </c>
    </row>
    <row r="480" spans="1:14" x14ac:dyDescent="0.25">
      <c r="A480" s="15"/>
      <c r="B480" s="17"/>
      <c r="C480">
        <v>10</v>
      </c>
      <c r="D480" s="3">
        <v>285</v>
      </c>
      <c r="E480" s="3">
        <v>38</v>
      </c>
      <c r="F480">
        <v>700</v>
      </c>
      <c r="G480">
        <v>1180</v>
      </c>
      <c r="H480">
        <v>0</v>
      </c>
      <c r="I480">
        <v>182</v>
      </c>
      <c r="J480">
        <v>56</v>
      </c>
      <c r="K480" s="10">
        <v>43</v>
      </c>
      <c r="L480" s="2">
        <f t="shared" si="14"/>
        <v>304.24199999999996</v>
      </c>
      <c r="M480" s="2">
        <f t="shared" si="15"/>
        <v>137.69999999999999</v>
      </c>
      <c r="N480">
        <v>0</v>
      </c>
    </row>
    <row r="481" spans="1:14" x14ac:dyDescent="0.25">
      <c r="A481" s="15"/>
      <c r="B481" s="17"/>
      <c r="C481">
        <v>5</v>
      </c>
      <c r="D481" s="3">
        <v>285</v>
      </c>
      <c r="E481" s="3">
        <v>19</v>
      </c>
      <c r="F481">
        <v>700</v>
      </c>
      <c r="G481">
        <v>1180</v>
      </c>
      <c r="H481">
        <v>0</v>
      </c>
      <c r="I481">
        <v>182</v>
      </c>
      <c r="J481">
        <v>7</v>
      </c>
      <c r="K481" s="10">
        <v>26</v>
      </c>
      <c r="L481" s="2">
        <f t="shared" ref="L481:L482" si="16">SUM((D481*0.83)+(E481*0.1)+(F481*0.0139)+(G481*0.0459)+(H481*2))</f>
        <v>302.34199999999998</v>
      </c>
      <c r="M481" s="2">
        <f t="shared" si="15"/>
        <v>137.69999999999999</v>
      </c>
      <c r="N481">
        <v>0</v>
      </c>
    </row>
    <row r="482" spans="1:14" x14ac:dyDescent="0.25">
      <c r="A482" s="15"/>
      <c r="B482" s="17"/>
      <c r="C482">
        <v>5</v>
      </c>
      <c r="D482" s="3">
        <v>285</v>
      </c>
      <c r="E482" s="3">
        <v>19</v>
      </c>
      <c r="F482">
        <v>700</v>
      </c>
      <c r="G482">
        <v>1180</v>
      </c>
      <c r="H482">
        <v>0</v>
      </c>
      <c r="I482">
        <v>182</v>
      </c>
      <c r="J482">
        <v>28</v>
      </c>
      <c r="K482" s="10">
        <v>36</v>
      </c>
      <c r="L482" s="2">
        <f t="shared" si="16"/>
        <v>302.34199999999998</v>
      </c>
      <c r="M482" s="2">
        <f t="shared" si="15"/>
        <v>137.69999999999999</v>
      </c>
      <c r="N482">
        <v>0</v>
      </c>
    </row>
    <row r="483" spans="1:14" x14ac:dyDescent="0.25">
      <c r="A483" s="15"/>
      <c r="B483" s="17"/>
      <c r="C483">
        <v>5</v>
      </c>
      <c r="D483" s="3">
        <v>285</v>
      </c>
      <c r="E483" s="3">
        <v>19</v>
      </c>
      <c r="F483">
        <v>700</v>
      </c>
      <c r="G483">
        <v>1180</v>
      </c>
      <c r="H483">
        <v>0</v>
      </c>
      <c r="I483">
        <v>182</v>
      </c>
      <c r="J483">
        <v>56</v>
      </c>
      <c r="K483" s="10">
        <v>41</v>
      </c>
      <c r="L483" s="2">
        <f t="shared" ref="L483:L546" si="17">SUM((D483*0.83)+(E483*0.1)+(F483*0.0139)+(G483*0.0459)+(H483*2))</f>
        <v>302.34199999999998</v>
      </c>
      <c r="M483" s="2">
        <f t="shared" si="15"/>
        <v>137.69999999999999</v>
      </c>
      <c r="N483">
        <v>0</v>
      </c>
    </row>
    <row r="484" spans="1:14" x14ac:dyDescent="0.25">
      <c r="A484" s="15" t="s">
        <v>369</v>
      </c>
      <c r="B484" s="15" t="s">
        <v>367</v>
      </c>
      <c r="C484">
        <v>0</v>
      </c>
      <c r="D484" s="3">
        <v>300</v>
      </c>
      <c r="E484" s="3">
        <v>0</v>
      </c>
      <c r="F484">
        <v>770</v>
      </c>
      <c r="G484">
        <v>1200</v>
      </c>
      <c r="H484">
        <v>0</v>
      </c>
      <c r="I484">
        <v>165</v>
      </c>
      <c r="J484">
        <v>7</v>
      </c>
      <c r="K484" s="10">
        <v>22.7</v>
      </c>
      <c r="L484" s="2">
        <f t="shared" si="17"/>
        <v>314.78299999999996</v>
      </c>
      <c r="M484" s="2">
        <f t="shared" si="15"/>
        <v>144.9375</v>
      </c>
      <c r="N484">
        <v>0</v>
      </c>
    </row>
    <row r="485" spans="1:14" x14ac:dyDescent="0.25">
      <c r="A485" s="15"/>
      <c r="B485" s="15"/>
      <c r="C485">
        <v>0</v>
      </c>
      <c r="D485" s="3">
        <v>300</v>
      </c>
      <c r="E485" s="3">
        <v>0</v>
      </c>
      <c r="F485">
        <v>770</v>
      </c>
      <c r="G485">
        <v>1200</v>
      </c>
      <c r="H485">
        <v>0</v>
      </c>
      <c r="I485">
        <v>165</v>
      </c>
      <c r="J485">
        <v>14</v>
      </c>
      <c r="K485" s="10">
        <v>29.8</v>
      </c>
      <c r="L485" s="2">
        <f t="shared" si="17"/>
        <v>314.78299999999996</v>
      </c>
      <c r="M485" s="2">
        <f t="shared" si="15"/>
        <v>144.9375</v>
      </c>
      <c r="N485">
        <v>0</v>
      </c>
    </row>
    <row r="486" spans="1:14" x14ac:dyDescent="0.25">
      <c r="A486" s="15"/>
      <c r="B486" s="15"/>
      <c r="C486">
        <v>0</v>
      </c>
      <c r="D486" s="3">
        <v>300</v>
      </c>
      <c r="E486" s="3">
        <v>0</v>
      </c>
      <c r="F486">
        <v>770</v>
      </c>
      <c r="G486">
        <v>1200</v>
      </c>
      <c r="H486">
        <v>0</v>
      </c>
      <c r="I486">
        <v>165</v>
      </c>
      <c r="J486">
        <v>28</v>
      </c>
      <c r="K486" s="10">
        <v>35</v>
      </c>
      <c r="L486" s="2">
        <f t="shared" si="17"/>
        <v>314.78299999999996</v>
      </c>
      <c r="M486" s="2">
        <f t="shared" si="15"/>
        <v>144.9375</v>
      </c>
      <c r="N486">
        <v>0</v>
      </c>
    </row>
    <row r="487" spans="1:14" x14ac:dyDescent="0.25">
      <c r="A487" s="15"/>
      <c r="B487" s="15"/>
      <c r="C487">
        <v>3</v>
      </c>
      <c r="D487" s="3">
        <v>290</v>
      </c>
      <c r="E487" s="3">
        <v>10</v>
      </c>
      <c r="F487">
        <v>770</v>
      </c>
      <c r="G487">
        <v>1200</v>
      </c>
      <c r="H487">
        <v>0</v>
      </c>
      <c r="I487">
        <v>131</v>
      </c>
      <c r="J487">
        <v>7</v>
      </c>
      <c r="K487" s="10">
        <v>29.1</v>
      </c>
      <c r="L487" s="2">
        <f t="shared" si="17"/>
        <v>307.483</v>
      </c>
      <c r="M487" s="2">
        <f t="shared" si="15"/>
        <v>141.1875</v>
      </c>
      <c r="N487">
        <v>0</v>
      </c>
    </row>
    <row r="488" spans="1:14" x14ac:dyDescent="0.25">
      <c r="A488" s="15"/>
      <c r="B488" s="15"/>
      <c r="C488">
        <v>3</v>
      </c>
      <c r="D488" s="3">
        <v>290</v>
      </c>
      <c r="E488" s="3">
        <v>10</v>
      </c>
      <c r="F488">
        <v>770</v>
      </c>
      <c r="G488">
        <v>1200</v>
      </c>
      <c r="H488">
        <v>0</v>
      </c>
      <c r="I488">
        <v>131</v>
      </c>
      <c r="J488">
        <v>14</v>
      </c>
      <c r="K488" s="10">
        <v>38.1</v>
      </c>
      <c r="L488" s="2">
        <f t="shared" si="17"/>
        <v>307.483</v>
      </c>
      <c r="M488" s="2">
        <f t="shared" si="15"/>
        <v>141.1875</v>
      </c>
      <c r="N488">
        <v>0</v>
      </c>
    </row>
    <row r="489" spans="1:14" x14ac:dyDescent="0.25">
      <c r="A489" s="15"/>
      <c r="B489" s="15"/>
      <c r="C489">
        <v>3</v>
      </c>
      <c r="D489" s="3">
        <v>290</v>
      </c>
      <c r="E489" s="3">
        <v>10</v>
      </c>
      <c r="F489">
        <v>770</v>
      </c>
      <c r="G489">
        <v>1200</v>
      </c>
      <c r="H489">
        <v>0</v>
      </c>
      <c r="I489">
        <v>131</v>
      </c>
      <c r="J489">
        <v>28</v>
      </c>
      <c r="K489" s="10">
        <v>44.8</v>
      </c>
      <c r="L489" s="2">
        <f t="shared" si="17"/>
        <v>307.483</v>
      </c>
      <c r="M489" s="2">
        <f t="shared" si="15"/>
        <v>141.1875</v>
      </c>
      <c r="N489">
        <v>0</v>
      </c>
    </row>
    <row r="490" spans="1:14" x14ac:dyDescent="0.25">
      <c r="A490" s="15"/>
      <c r="B490" s="15"/>
      <c r="C490">
        <v>7.5</v>
      </c>
      <c r="D490" s="3">
        <v>275</v>
      </c>
      <c r="E490" s="3">
        <v>25</v>
      </c>
      <c r="F490">
        <v>770</v>
      </c>
      <c r="G490">
        <v>1200</v>
      </c>
      <c r="H490">
        <v>0</v>
      </c>
      <c r="I490">
        <v>165</v>
      </c>
      <c r="J490">
        <v>7</v>
      </c>
      <c r="K490" s="10">
        <v>21.6</v>
      </c>
      <c r="L490" s="2">
        <f t="shared" si="17"/>
        <v>296.53300000000002</v>
      </c>
      <c r="M490" s="2">
        <f t="shared" si="15"/>
        <v>135.5625</v>
      </c>
      <c r="N490">
        <v>0</v>
      </c>
    </row>
    <row r="491" spans="1:14" x14ac:dyDescent="0.25">
      <c r="A491" s="15"/>
      <c r="B491" s="15"/>
      <c r="C491">
        <v>7.5</v>
      </c>
      <c r="D491" s="3">
        <v>275</v>
      </c>
      <c r="E491" s="3">
        <v>25</v>
      </c>
      <c r="F491">
        <v>770</v>
      </c>
      <c r="G491">
        <v>1200</v>
      </c>
      <c r="H491">
        <v>0</v>
      </c>
      <c r="I491">
        <v>165</v>
      </c>
      <c r="J491">
        <v>14</v>
      </c>
      <c r="K491" s="10">
        <v>28.3</v>
      </c>
      <c r="L491" s="2">
        <f t="shared" si="17"/>
        <v>296.53300000000002</v>
      </c>
      <c r="M491" s="2">
        <f t="shared" si="15"/>
        <v>135.5625</v>
      </c>
      <c r="N491">
        <v>0</v>
      </c>
    </row>
    <row r="492" spans="1:14" x14ac:dyDescent="0.25">
      <c r="A492" s="15"/>
      <c r="B492" s="15"/>
      <c r="C492">
        <v>7.5</v>
      </c>
      <c r="D492" s="3">
        <v>275</v>
      </c>
      <c r="E492" s="3">
        <v>25</v>
      </c>
      <c r="F492">
        <v>770</v>
      </c>
      <c r="G492">
        <v>1200</v>
      </c>
      <c r="H492">
        <v>0</v>
      </c>
      <c r="I492">
        <v>165</v>
      </c>
      <c r="J492">
        <v>28</v>
      </c>
      <c r="K492" s="10">
        <v>33.299999999999997</v>
      </c>
      <c r="L492" s="2">
        <f t="shared" si="17"/>
        <v>296.53300000000002</v>
      </c>
      <c r="M492" s="2">
        <f t="shared" si="15"/>
        <v>135.5625</v>
      </c>
      <c r="N492">
        <v>0</v>
      </c>
    </row>
    <row r="493" spans="1:14" x14ac:dyDescent="0.25">
      <c r="A493" s="15"/>
      <c r="B493" s="15"/>
      <c r="C493">
        <v>7.5</v>
      </c>
      <c r="D493" s="3">
        <v>275</v>
      </c>
      <c r="E493" s="3">
        <v>25</v>
      </c>
      <c r="F493">
        <v>770</v>
      </c>
      <c r="G493">
        <v>1200</v>
      </c>
      <c r="H493">
        <v>0</v>
      </c>
      <c r="I493">
        <v>165</v>
      </c>
      <c r="J493">
        <v>7</v>
      </c>
      <c r="K493" s="10">
        <v>18.7</v>
      </c>
      <c r="L493" s="2">
        <f t="shared" si="17"/>
        <v>296.53300000000002</v>
      </c>
      <c r="M493" s="2">
        <f t="shared" si="15"/>
        <v>135.5625</v>
      </c>
      <c r="N493">
        <v>0</v>
      </c>
    </row>
    <row r="494" spans="1:14" x14ac:dyDescent="0.25">
      <c r="A494" s="15"/>
      <c r="B494" s="15"/>
      <c r="C494">
        <v>7.5</v>
      </c>
      <c r="D494" s="3">
        <v>275</v>
      </c>
      <c r="E494" s="3">
        <v>25</v>
      </c>
      <c r="F494">
        <v>770</v>
      </c>
      <c r="G494">
        <v>1200</v>
      </c>
      <c r="H494">
        <v>0</v>
      </c>
      <c r="I494">
        <v>165</v>
      </c>
      <c r="J494">
        <v>14</v>
      </c>
      <c r="K494" s="10">
        <v>24.5</v>
      </c>
      <c r="L494" s="2">
        <f t="shared" si="17"/>
        <v>296.53300000000002</v>
      </c>
      <c r="M494" s="2">
        <f t="shared" si="15"/>
        <v>135.5625</v>
      </c>
      <c r="N494">
        <v>0</v>
      </c>
    </row>
    <row r="495" spans="1:14" x14ac:dyDescent="0.25">
      <c r="A495" s="15"/>
      <c r="B495" s="15"/>
      <c r="C495">
        <v>7.5</v>
      </c>
      <c r="D495" s="3">
        <v>275</v>
      </c>
      <c r="E495" s="3">
        <v>25</v>
      </c>
      <c r="F495">
        <v>770</v>
      </c>
      <c r="G495">
        <v>1200</v>
      </c>
      <c r="H495">
        <v>0</v>
      </c>
      <c r="I495">
        <v>165</v>
      </c>
      <c r="J495">
        <v>28</v>
      </c>
      <c r="K495" s="10">
        <v>28.8</v>
      </c>
      <c r="L495" s="2">
        <f t="shared" si="17"/>
        <v>296.53300000000002</v>
      </c>
      <c r="M495" s="2">
        <f t="shared" si="15"/>
        <v>135.5625</v>
      </c>
      <c r="N495">
        <v>0</v>
      </c>
    </row>
    <row r="496" spans="1:14" x14ac:dyDescent="0.25">
      <c r="A496" s="15"/>
      <c r="B496" s="15"/>
      <c r="C496">
        <v>3</v>
      </c>
      <c r="D496" s="3">
        <v>290</v>
      </c>
      <c r="E496" s="3">
        <v>10</v>
      </c>
      <c r="F496">
        <v>770</v>
      </c>
      <c r="G496">
        <v>1200</v>
      </c>
      <c r="H496">
        <v>0</v>
      </c>
      <c r="I496">
        <v>197</v>
      </c>
      <c r="J496">
        <v>7</v>
      </c>
      <c r="K496" s="10">
        <v>31.1</v>
      </c>
      <c r="L496" s="2">
        <f t="shared" si="17"/>
        <v>307.483</v>
      </c>
      <c r="M496" s="2">
        <f t="shared" si="15"/>
        <v>141.1875</v>
      </c>
      <c r="N496">
        <v>0</v>
      </c>
    </row>
    <row r="497" spans="1:14" x14ac:dyDescent="0.25">
      <c r="A497" s="15"/>
      <c r="B497" s="15"/>
      <c r="C497">
        <v>3</v>
      </c>
      <c r="D497" s="3">
        <v>290</v>
      </c>
      <c r="E497" s="3">
        <v>10</v>
      </c>
      <c r="F497">
        <v>770</v>
      </c>
      <c r="G497">
        <v>1200</v>
      </c>
      <c r="H497">
        <v>0</v>
      </c>
      <c r="I497">
        <v>197</v>
      </c>
      <c r="J497">
        <v>14</v>
      </c>
      <c r="K497" s="10">
        <v>40.700000000000003</v>
      </c>
      <c r="L497" s="2">
        <f t="shared" si="17"/>
        <v>307.483</v>
      </c>
      <c r="M497" s="2">
        <f t="shared" si="15"/>
        <v>141.1875</v>
      </c>
      <c r="N497">
        <v>0</v>
      </c>
    </row>
    <row r="498" spans="1:14" x14ac:dyDescent="0.25">
      <c r="A498" s="15"/>
      <c r="B498" s="15"/>
      <c r="C498">
        <v>3</v>
      </c>
      <c r="D498" s="3">
        <v>290</v>
      </c>
      <c r="E498" s="3">
        <v>10</v>
      </c>
      <c r="F498">
        <v>770</v>
      </c>
      <c r="G498">
        <v>1200</v>
      </c>
      <c r="H498">
        <v>0</v>
      </c>
      <c r="I498">
        <v>197</v>
      </c>
      <c r="J498">
        <v>28</v>
      </c>
      <c r="K498" s="10">
        <v>47.8</v>
      </c>
      <c r="L498" s="2">
        <f t="shared" si="17"/>
        <v>307.483</v>
      </c>
      <c r="M498" s="2">
        <f t="shared" si="15"/>
        <v>141.1875</v>
      </c>
      <c r="N498">
        <v>0</v>
      </c>
    </row>
    <row r="499" spans="1:14" x14ac:dyDescent="0.25">
      <c r="A499" s="15"/>
      <c r="B499" s="15"/>
      <c r="C499">
        <v>7.5</v>
      </c>
      <c r="D499" s="3">
        <v>275</v>
      </c>
      <c r="E499" s="3">
        <v>25</v>
      </c>
      <c r="F499">
        <v>770</v>
      </c>
      <c r="G499">
        <v>1200</v>
      </c>
      <c r="H499">
        <v>0</v>
      </c>
      <c r="I499">
        <v>120</v>
      </c>
      <c r="J499">
        <v>7</v>
      </c>
      <c r="K499" s="10">
        <v>17.8</v>
      </c>
      <c r="L499" s="2">
        <f t="shared" si="17"/>
        <v>296.53300000000002</v>
      </c>
      <c r="M499" s="2">
        <f t="shared" si="15"/>
        <v>135.5625</v>
      </c>
      <c r="N499">
        <v>0</v>
      </c>
    </row>
    <row r="500" spans="1:14" x14ac:dyDescent="0.25">
      <c r="A500" s="15"/>
      <c r="B500" s="15"/>
      <c r="C500">
        <v>7.5</v>
      </c>
      <c r="D500" s="3">
        <v>275</v>
      </c>
      <c r="E500" s="3">
        <v>25</v>
      </c>
      <c r="F500">
        <v>770</v>
      </c>
      <c r="G500">
        <v>1200</v>
      </c>
      <c r="H500">
        <v>0</v>
      </c>
      <c r="I500">
        <v>120</v>
      </c>
      <c r="J500">
        <v>14</v>
      </c>
      <c r="K500" s="10">
        <v>23.3</v>
      </c>
      <c r="L500" s="2">
        <f t="shared" si="17"/>
        <v>296.53300000000002</v>
      </c>
      <c r="M500" s="2">
        <f t="shared" si="15"/>
        <v>135.5625</v>
      </c>
      <c r="N500">
        <v>0</v>
      </c>
    </row>
    <row r="501" spans="1:14" x14ac:dyDescent="0.25">
      <c r="A501" s="15"/>
      <c r="B501" s="15"/>
      <c r="C501">
        <v>7.5</v>
      </c>
      <c r="D501" s="3">
        <v>275</v>
      </c>
      <c r="E501" s="3">
        <v>25</v>
      </c>
      <c r="F501">
        <v>770</v>
      </c>
      <c r="G501">
        <v>1200</v>
      </c>
      <c r="H501">
        <v>0</v>
      </c>
      <c r="I501">
        <v>120</v>
      </c>
      <c r="J501">
        <v>28</v>
      </c>
      <c r="K501" s="10">
        <v>27.4</v>
      </c>
      <c r="L501" s="2">
        <f t="shared" si="17"/>
        <v>296.53300000000002</v>
      </c>
      <c r="M501" s="2">
        <f t="shared" si="15"/>
        <v>135.5625</v>
      </c>
      <c r="N501">
        <v>0</v>
      </c>
    </row>
    <row r="502" spans="1:14" x14ac:dyDescent="0.25">
      <c r="A502" s="15"/>
      <c r="B502" s="15"/>
      <c r="C502">
        <v>12</v>
      </c>
      <c r="D502" s="3">
        <v>260</v>
      </c>
      <c r="E502" s="3">
        <v>40</v>
      </c>
      <c r="F502">
        <v>770</v>
      </c>
      <c r="G502">
        <v>1200</v>
      </c>
      <c r="H502">
        <v>0</v>
      </c>
      <c r="I502">
        <v>198</v>
      </c>
      <c r="J502">
        <v>7</v>
      </c>
      <c r="K502" s="10">
        <v>21.6</v>
      </c>
      <c r="L502" s="2">
        <f t="shared" si="17"/>
        <v>285.58299999999997</v>
      </c>
      <c r="M502" s="2">
        <f t="shared" si="15"/>
        <v>129.9375</v>
      </c>
      <c r="N502">
        <v>0</v>
      </c>
    </row>
    <row r="503" spans="1:14" x14ac:dyDescent="0.25">
      <c r="A503" s="15"/>
      <c r="B503" s="15"/>
      <c r="C503">
        <v>12</v>
      </c>
      <c r="D503" s="3">
        <v>260</v>
      </c>
      <c r="E503" s="3">
        <v>40</v>
      </c>
      <c r="F503">
        <v>770</v>
      </c>
      <c r="G503">
        <v>1200</v>
      </c>
      <c r="H503">
        <v>0</v>
      </c>
      <c r="I503">
        <v>198</v>
      </c>
      <c r="J503">
        <v>14</v>
      </c>
      <c r="K503" s="10">
        <v>28.3</v>
      </c>
      <c r="L503" s="2">
        <f t="shared" si="17"/>
        <v>285.58299999999997</v>
      </c>
      <c r="M503" s="2">
        <f t="shared" si="15"/>
        <v>129.9375</v>
      </c>
      <c r="N503">
        <v>0</v>
      </c>
    </row>
    <row r="504" spans="1:14" x14ac:dyDescent="0.25">
      <c r="A504" s="15"/>
      <c r="B504" s="15"/>
      <c r="C504">
        <v>12</v>
      </c>
      <c r="D504" s="3">
        <v>260</v>
      </c>
      <c r="E504" s="3">
        <v>40</v>
      </c>
      <c r="F504">
        <v>770</v>
      </c>
      <c r="G504">
        <v>1200</v>
      </c>
      <c r="H504">
        <v>0</v>
      </c>
      <c r="I504">
        <v>198</v>
      </c>
      <c r="J504">
        <v>28</v>
      </c>
      <c r="K504" s="10">
        <v>33.299999999999997</v>
      </c>
      <c r="L504" s="2">
        <f t="shared" si="17"/>
        <v>285.58299999999997</v>
      </c>
      <c r="M504" s="2">
        <f t="shared" si="15"/>
        <v>129.9375</v>
      </c>
      <c r="N504">
        <v>0</v>
      </c>
    </row>
    <row r="505" spans="1:14" x14ac:dyDescent="0.25">
      <c r="A505" s="15"/>
      <c r="B505" s="15"/>
      <c r="C505">
        <v>7.5</v>
      </c>
      <c r="D505" s="3">
        <v>275</v>
      </c>
      <c r="E505" s="3">
        <v>25</v>
      </c>
      <c r="F505">
        <v>770</v>
      </c>
      <c r="G505">
        <v>1200</v>
      </c>
      <c r="H505">
        <v>0</v>
      </c>
      <c r="I505">
        <v>165</v>
      </c>
      <c r="J505">
        <v>7</v>
      </c>
      <c r="K505" s="10">
        <v>19.5</v>
      </c>
      <c r="L505" s="2">
        <f t="shared" si="17"/>
        <v>296.53300000000002</v>
      </c>
      <c r="M505" s="2">
        <f t="shared" si="15"/>
        <v>135.5625</v>
      </c>
      <c r="N505">
        <v>0</v>
      </c>
    </row>
    <row r="506" spans="1:14" x14ac:dyDescent="0.25">
      <c r="A506" s="15"/>
      <c r="B506" s="15"/>
      <c r="C506">
        <v>7.5</v>
      </c>
      <c r="D506" s="3">
        <v>275</v>
      </c>
      <c r="E506" s="3">
        <v>25</v>
      </c>
      <c r="F506">
        <v>770</v>
      </c>
      <c r="G506">
        <v>1200</v>
      </c>
      <c r="H506">
        <v>0</v>
      </c>
      <c r="I506">
        <v>165</v>
      </c>
      <c r="J506">
        <v>14</v>
      </c>
      <c r="K506" s="10">
        <v>25.4</v>
      </c>
      <c r="L506" s="2">
        <f t="shared" si="17"/>
        <v>296.53300000000002</v>
      </c>
      <c r="M506" s="2">
        <f t="shared" si="15"/>
        <v>135.5625</v>
      </c>
      <c r="N506">
        <v>0</v>
      </c>
    </row>
    <row r="507" spans="1:14" x14ac:dyDescent="0.25">
      <c r="A507" s="15"/>
      <c r="B507" s="15"/>
      <c r="C507">
        <v>7.5</v>
      </c>
      <c r="D507" s="3">
        <v>275</v>
      </c>
      <c r="E507" s="3">
        <v>25</v>
      </c>
      <c r="F507">
        <v>770</v>
      </c>
      <c r="G507">
        <v>1200</v>
      </c>
      <c r="H507">
        <v>0</v>
      </c>
      <c r="I507">
        <v>165</v>
      </c>
      <c r="J507">
        <v>28</v>
      </c>
      <c r="K507" s="10">
        <v>29.5</v>
      </c>
      <c r="L507" s="2">
        <f t="shared" si="17"/>
        <v>296.53300000000002</v>
      </c>
      <c r="M507" s="2">
        <f t="shared" si="15"/>
        <v>135.5625</v>
      </c>
      <c r="N507">
        <v>0</v>
      </c>
    </row>
    <row r="508" spans="1:14" x14ac:dyDescent="0.25">
      <c r="A508" s="15"/>
      <c r="B508" s="15"/>
      <c r="C508">
        <v>7.5</v>
      </c>
      <c r="D508" s="3">
        <v>275</v>
      </c>
      <c r="E508" s="3">
        <v>25</v>
      </c>
      <c r="F508">
        <v>770</v>
      </c>
      <c r="G508">
        <v>1200</v>
      </c>
      <c r="H508">
        <v>0</v>
      </c>
      <c r="I508">
        <v>165</v>
      </c>
      <c r="J508">
        <v>7</v>
      </c>
      <c r="K508" s="10">
        <v>24.6</v>
      </c>
      <c r="L508" s="2">
        <f t="shared" si="17"/>
        <v>296.53300000000002</v>
      </c>
      <c r="M508" s="2">
        <f t="shared" si="15"/>
        <v>135.5625</v>
      </c>
      <c r="N508">
        <v>0</v>
      </c>
    </row>
    <row r="509" spans="1:14" x14ac:dyDescent="0.25">
      <c r="A509" s="15"/>
      <c r="B509" s="15"/>
      <c r="C509">
        <v>7.5</v>
      </c>
      <c r="D509" s="3">
        <v>275</v>
      </c>
      <c r="E509" s="3">
        <v>25</v>
      </c>
      <c r="F509">
        <v>770</v>
      </c>
      <c r="G509">
        <v>1200</v>
      </c>
      <c r="H509">
        <v>0</v>
      </c>
      <c r="I509">
        <v>165</v>
      </c>
      <c r="J509">
        <v>14</v>
      </c>
      <c r="K509" s="10">
        <v>32.200000000000003</v>
      </c>
      <c r="L509" s="2">
        <f t="shared" si="17"/>
        <v>296.53300000000002</v>
      </c>
      <c r="M509" s="2">
        <f t="shared" si="15"/>
        <v>135.5625</v>
      </c>
      <c r="N509">
        <v>0</v>
      </c>
    </row>
    <row r="510" spans="1:14" x14ac:dyDescent="0.25">
      <c r="A510" s="15"/>
      <c r="B510" s="15"/>
      <c r="C510">
        <v>7.5</v>
      </c>
      <c r="D510" s="3">
        <v>275</v>
      </c>
      <c r="E510" s="3">
        <v>25</v>
      </c>
      <c r="F510">
        <v>770</v>
      </c>
      <c r="G510">
        <v>1200</v>
      </c>
      <c r="H510">
        <v>0</v>
      </c>
      <c r="I510">
        <v>165</v>
      </c>
      <c r="J510">
        <v>28</v>
      </c>
      <c r="K510" s="10">
        <v>37.9</v>
      </c>
      <c r="L510" s="2">
        <f t="shared" si="17"/>
        <v>296.53300000000002</v>
      </c>
      <c r="M510" s="2">
        <f t="shared" si="15"/>
        <v>135.5625</v>
      </c>
      <c r="N510">
        <v>0</v>
      </c>
    </row>
    <row r="511" spans="1:14" x14ac:dyDescent="0.25">
      <c r="A511" s="15"/>
      <c r="B511" s="15"/>
      <c r="C511">
        <v>13.86</v>
      </c>
      <c r="D511" s="3">
        <v>254</v>
      </c>
      <c r="E511" s="3">
        <v>46</v>
      </c>
      <c r="F511">
        <v>770</v>
      </c>
      <c r="G511">
        <v>1200</v>
      </c>
      <c r="H511">
        <v>0</v>
      </c>
      <c r="I511">
        <v>165</v>
      </c>
      <c r="J511">
        <v>7</v>
      </c>
      <c r="K511" s="10">
        <v>21.6</v>
      </c>
      <c r="L511" s="2">
        <f t="shared" si="17"/>
        <v>281.20299999999997</v>
      </c>
      <c r="M511" s="2">
        <f t="shared" si="15"/>
        <v>127.6875</v>
      </c>
      <c r="N511">
        <v>0</v>
      </c>
    </row>
    <row r="512" spans="1:14" x14ac:dyDescent="0.25">
      <c r="A512" s="15"/>
      <c r="B512" s="15"/>
      <c r="C512">
        <v>13.86</v>
      </c>
      <c r="D512" s="3">
        <v>254</v>
      </c>
      <c r="E512" s="3">
        <v>46</v>
      </c>
      <c r="F512">
        <v>770</v>
      </c>
      <c r="G512">
        <v>1200</v>
      </c>
      <c r="H512">
        <v>0</v>
      </c>
      <c r="I512">
        <v>165</v>
      </c>
      <c r="J512">
        <v>14</v>
      </c>
      <c r="K512" s="10">
        <v>28.3</v>
      </c>
      <c r="L512" s="2">
        <f t="shared" si="17"/>
        <v>281.20299999999997</v>
      </c>
      <c r="M512" s="2">
        <f t="shared" si="15"/>
        <v>127.6875</v>
      </c>
      <c r="N512">
        <v>0</v>
      </c>
    </row>
    <row r="513" spans="1:14" x14ac:dyDescent="0.25">
      <c r="A513" s="15"/>
      <c r="B513" s="15"/>
      <c r="C513">
        <v>13.86</v>
      </c>
      <c r="D513" s="3">
        <v>254</v>
      </c>
      <c r="E513" s="3">
        <v>46</v>
      </c>
      <c r="F513">
        <v>770</v>
      </c>
      <c r="G513">
        <v>1200</v>
      </c>
      <c r="H513">
        <v>0</v>
      </c>
      <c r="I513">
        <v>165</v>
      </c>
      <c r="J513">
        <v>28</v>
      </c>
      <c r="K513" s="10">
        <v>33.299999999999997</v>
      </c>
      <c r="L513" s="2">
        <f t="shared" si="17"/>
        <v>281.20299999999997</v>
      </c>
      <c r="M513" s="2">
        <f t="shared" si="15"/>
        <v>127.6875</v>
      </c>
      <c r="N513">
        <v>0</v>
      </c>
    </row>
    <row r="514" spans="1:14" x14ac:dyDescent="0.25">
      <c r="A514" s="15"/>
      <c r="B514" s="15"/>
      <c r="C514">
        <v>1.1399999999999999</v>
      </c>
      <c r="D514" s="3">
        <v>296</v>
      </c>
      <c r="E514" s="3">
        <v>4</v>
      </c>
      <c r="F514">
        <v>770</v>
      </c>
      <c r="G514">
        <v>1200</v>
      </c>
      <c r="H514">
        <v>0</v>
      </c>
      <c r="I514">
        <v>165</v>
      </c>
      <c r="J514">
        <v>7</v>
      </c>
      <c r="K514" s="10">
        <v>24.5</v>
      </c>
      <c r="L514" s="2">
        <f t="shared" si="17"/>
        <v>311.86299999999994</v>
      </c>
      <c r="M514" s="2">
        <f t="shared" si="15"/>
        <v>143.4375</v>
      </c>
      <c r="N514">
        <v>0</v>
      </c>
    </row>
    <row r="515" spans="1:14" x14ac:dyDescent="0.25">
      <c r="A515" s="15"/>
      <c r="B515" s="15"/>
      <c r="C515">
        <v>1.1399999999999999</v>
      </c>
      <c r="D515" s="3">
        <v>296</v>
      </c>
      <c r="E515" s="3">
        <v>4</v>
      </c>
      <c r="F515">
        <v>770</v>
      </c>
      <c r="G515">
        <v>1200</v>
      </c>
      <c r="H515">
        <v>0</v>
      </c>
      <c r="I515">
        <v>165</v>
      </c>
      <c r="J515">
        <v>14</v>
      </c>
      <c r="K515" s="10">
        <v>32</v>
      </c>
      <c r="L515" s="2">
        <f t="shared" si="17"/>
        <v>311.86299999999994</v>
      </c>
      <c r="M515" s="2">
        <f t="shared" ref="M515:M549" si="18">SUM((D515*5)+((F515*0.25)+(G515*0.2)+(H515*20)))*0.075</f>
        <v>143.4375</v>
      </c>
      <c r="N515">
        <v>0</v>
      </c>
    </row>
    <row r="516" spans="1:14" x14ac:dyDescent="0.25">
      <c r="A516" s="15"/>
      <c r="B516" s="15"/>
      <c r="C516">
        <v>1.1399999999999999</v>
      </c>
      <c r="D516" s="3">
        <v>296</v>
      </c>
      <c r="E516" s="3">
        <v>4</v>
      </c>
      <c r="F516">
        <v>770</v>
      </c>
      <c r="G516">
        <v>1200</v>
      </c>
      <c r="H516">
        <v>0</v>
      </c>
      <c r="I516">
        <v>165</v>
      </c>
      <c r="J516">
        <v>28</v>
      </c>
      <c r="K516" s="10">
        <v>37</v>
      </c>
      <c r="L516" s="2">
        <f t="shared" si="17"/>
        <v>311.86299999999994</v>
      </c>
      <c r="M516" s="2">
        <f t="shared" si="18"/>
        <v>143.4375</v>
      </c>
      <c r="N516">
        <v>0</v>
      </c>
    </row>
    <row r="517" spans="1:14" x14ac:dyDescent="0.25">
      <c r="A517" s="15"/>
      <c r="B517" s="15"/>
      <c r="C517">
        <v>7.5</v>
      </c>
      <c r="D517" s="3">
        <v>275</v>
      </c>
      <c r="E517" s="3">
        <v>25</v>
      </c>
      <c r="F517">
        <v>770</v>
      </c>
      <c r="G517">
        <v>1200</v>
      </c>
      <c r="H517">
        <v>0</v>
      </c>
      <c r="I517">
        <v>165</v>
      </c>
      <c r="J517">
        <v>7</v>
      </c>
      <c r="K517" s="10">
        <v>16.899999999999999</v>
      </c>
      <c r="L517" s="2">
        <f t="shared" si="17"/>
        <v>296.53300000000002</v>
      </c>
      <c r="M517" s="2">
        <f t="shared" si="18"/>
        <v>135.5625</v>
      </c>
      <c r="N517">
        <v>0</v>
      </c>
    </row>
    <row r="518" spans="1:14" x14ac:dyDescent="0.25">
      <c r="A518" s="15"/>
      <c r="B518" s="15"/>
      <c r="C518">
        <v>7.5</v>
      </c>
      <c r="D518" s="3">
        <v>275</v>
      </c>
      <c r="E518" s="3">
        <v>25</v>
      </c>
      <c r="F518">
        <v>770</v>
      </c>
      <c r="G518">
        <v>1200</v>
      </c>
      <c r="H518">
        <v>0</v>
      </c>
      <c r="I518">
        <v>165</v>
      </c>
      <c r="J518">
        <v>14</v>
      </c>
      <c r="K518" s="10">
        <v>22</v>
      </c>
      <c r="L518" s="2">
        <f t="shared" si="17"/>
        <v>296.53300000000002</v>
      </c>
      <c r="M518" s="2">
        <f t="shared" si="18"/>
        <v>135.5625</v>
      </c>
      <c r="N518">
        <v>0</v>
      </c>
    </row>
    <row r="519" spans="1:14" x14ac:dyDescent="0.25">
      <c r="A519" s="15"/>
      <c r="B519" s="15"/>
      <c r="C519">
        <v>7.5</v>
      </c>
      <c r="D519" s="3">
        <v>275</v>
      </c>
      <c r="E519" s="3">
        <v>25</v>
      </c>
      <c r="F519">
        <v>770</v>
      </c>
      <c r="G519">
        <v>1200</v>
      </c>
      <c r="H519">
        <v>0</v>
      </c>
      <c r="I519">
        <v>165</v>
      </c>
      <c r="J519">
        <v>28</v>
      </c>
      <c r="K519" s="10">
        <v>26</v>
      </c>
      <c r="L519" s="2">
        <f t="shared" si="17"/>
        <v>296.53300000000002</v>
      </c>
      <c r="M519" s="2">
        <f t="shared" si="18"/>
        <v>135.5625</v>
      </c>
      <c r="N519">
        <v>0</v>
      </c>
    </row>
    <row r="520" spans="1:14" x14ac:dyDescent="0.25">
      <c r="A520" s="15"/>
      <c r="B520" s="15"/>
      <c r="C520">
        <v>12</v>
      </c>
      <c r="D520" s="3">
        <v>260</v>
      </c>
      <c r="E520" s="3">
        <v>40</v>
      </c>
      <c r="F520">
        <v>770</v>
      </c>
      <c r="G520">
        <v>1200</v>
      </c>
      <c r="H520">
        <v>0</v>
      </c>
      <c r="I520">
        <v>132</v>
      </c>
      <c r="J520">
        <v>7</v>
      </c>
      <c r="K520" s="10">
        <v>22</v>
      </c>
      <c r="L520" s="2">
        <f t="shared" si="17"/>
        <v>285.58299999999997</v>
      </c>
      <c r="M520" s="2">
        <f t="shared" si="18"/>
        <v>129.9375</v>
      </c>
      <c r="N520">
        <v>0</v>
      </c>
    </row>
    <row r="521" spans="1:14" x14ac:dyDescent="0.25">
      <c r="A521" s="15"/>
      <c r="B521" s="15"/>
      <c r="C521">
        <v>12</v>
      </c>
      <c r="D521" s="3">
        <v>260</v>
      </c>
      <c r="E521" s="3">
        <v>40</v>
      </c>
      <c r="F521">
        <v>770</v>
      </c>
      <c r="G521">
        <v>1200</v>
      </c>
      <c r="H521">
        <v>0</v>
      </c>
      <c r="I521">
        <v>132</v>
      </c>
      <c r="J521">
        <v>14</v>
      </c>
      <c r="K521" s="10">
        <v>28</v>
      </c>
      <c r="L521" s="2">
        <f t="shared" si="17"/>
        <v>285.58299999999997</v>
      </c>
      <c r="M521" s="2">
        <f t="shared" si="18"/>
        <v>129.9375</v>
      </c>
      <c r="N521">
        <v>0</v>
      </c>
    </row>
    <row r="522" spans="1:14" x14ac:dyDescent="0.25">
      <c r="A522" s="15"/>
      <c r="B522" s="15"/>
      <c r="C522">
        <v>12</v>
      </c>
      <c r="D522" s="3">
        <v>260</v>
      </c>
      <c r="E522" s="3">
        <v>40</v>
      </c>
      <c r="F522">
        <v>770</v>
      </c>
      <c r="G522">
        <v>1200</v>
      </c>
      <c r="H522">
        <v>0</v>
      </c>
      <c r="I522">
        <v>132</v>
      </c>
      <c r="J522">
        <v>28</v>
      </c>
      <c r="K522" s="10">
        <v>33</v>
      </c>
      <c r="L522" s="2">
        <f t="shared" si="17"/>
        <v>285.58299999999997</v>
      </c>
      <c r="M522" s="2">
        <f t="shared" si="18"/>
        <v>129.9375</v>
      </c>
      <c r="N522">
        <v>0</v>
      </c>
    </row>
    <row r="523" spans="1:14" x14ac:dyDescent="0.25">
      <c r="A523" s="15"/>
      <c r="B523" s="15"/>
      <c r="C523">
        <v>7.5</v>
      </c>
      <c r="D523" s="3">
        <v>275</v>
      </c>
      <c r="E523" s="3">
        <v>25</v>
      </c>
      <c r="F523">
        <v>770</v>
      </c>
      <c r="G523">
        <v>1200</v>
      </c>
      <c r="H523">
        <v>0</v>
      </c>
      <c r="I523">
        <v>210</v>
      </c>
      <c r="J523">
        <v>7</v>
      </c>
      <c r="K523" s="10">
        <v>19</v>
      </c>
      <c r="L523" s="2">
        <f t="shared" si="17"/>
        <v>296.53300000000002</v>
      </c>
      <c r="M523" s="2">
        <f t="shared" si="18"/>
        <v>135.5625</v>
      </c>
      <c r="N523">
        <v>0</v>
      </c>
    </row>
    <row r="524" spans="1:14" x14ac:dyDescent="0.25">
      <c r="A524" s="15"/>
      <c r="B524" s="15"/>
      <c r="C524">
        <v>7.5</v>
      </c>
      <c r="D524" s="3">
        <v>275</v>
      </c>
      <c r="E524" s="3">
        <v>25</v>
      </c>
      <c r="F524">
        <v>770</v>
      </c>
      <c r="G524">
        <v>1200</v>
      </c>
      <c r="H524">
        <v>0</v>
      </c>
      <c r="I524">
        <v>210</v>
      </c>
      <c r="J524">
        <v>14</v>
      </c>
      <c r="K524" s="10">
        <v>25</v>
      </c>
      <c r="L524" s="2">
        <f t="shared" si="17"/>
        <v>296.53300000000002</v>
      </c>
      <c r="M524" s="2">
        <f t="shared" si="18"/>
        <v>135.5625</v>
      </c>
      <c r="N524">
        <v>0</v>
      </c>
    </row>
    <row r="525" spans="1:14" x14ac:dyDescent="0.25">
      <c r="A525" s="15"/>
      <c r="B525" s="15"/>
      <c r="C525">
        <v>7.5</v>
      </c>
      <c r="D525" s="3">
        <v>275</v>
      </c>
      <c r="E525" s="3">
        <v>25</v>
      </c>
      <c r="F525">
        <v>770</v>
      </c>
      <c r="G525">
        <v>1200</v>
      </c>
      <c r="H525">
        <v>0</v>
      </c>
      <c r="I525">
        <v>210</v>
      </c>
      <c r="J525">
        <v>28</v>
      </c>
      <c r="K525" s="10">
        <v>29</v>
      </c>
      <c r="L525" s="2">
        <f t="shared" si="17"/>
        <v>296.53300000000002</v>
      </c>
      <c r="M525" s="2">
        <f t="shared" si="18"/>
        <v>135.5625</v>
      </c>
      <c r="N525" t="s">
        <v>316</v>
      </c>
    </row>
    <row r="526" spans="1:14" x14ac:dyDescent="0.25">
      <c r="A526" s="15" t="s">
        <v>368</v>
      </c>
      <c r="B526" s="15" t="s">
        <v>367</v>
      </c>
      <c r="C526">
        <v>0</v>
      </c>
      <c r="D526" s="3">
        <v>391.77</v>
      </c>
      <c r="E526" s="3">
        <v>0</v>
      </c>
      <c r="F526">
        <v>784</v>
      </c>
      <c r="G526">
        <v>1568</v>
      </c>
      <c r="H526">
        <v>0</v>
      </c>
      <c r="I526">
        <v>235</v>
      </c>
      <c r="J526">
        <v>7</v>
      </c>
      <c r="K526" s="10">
        <v>13.6</v>
      </c>
      <c r="L526" s="2">
        <f t="shared" si="17"/>
        <v>408.03789999999998</v>
      </c>
      <c r="M526" s="2">
        <f t="shared" si="18"/>
        <v>185.13374999999999</v>
      </c>
      <c r="N526">
        <v>0</v>
      </c>
    </row>
    <row r="527" spans="1:14" x14ac:dyDescent="0.25">
      <c r="A527" s="15"/>
      <c r="B527" s="15"/>
      <c r="C527">
        <v>0</v>
      </c>
      <c r="D527" s="3">
        <v>391.77</v>
      </c>
      <c r="E527" s="3">
        <v>0</v>
      </c>
      <c r="F527">
        <v>784</v>
      </c>
      <c r="G527">
        <v>1568</v>
      </c>
      <c r="H527">
        <v>0</v>
      </c>
      <c r="I527">
        <v>235</v>
      </c>
      <c r="J527">
        <v>14</v>
      </c>
      <c r="K527" s="10">
        <v>15</v>
      </c>
      <c r="L527" s="2">
        <f t="shared" si="17"/>
        <v>408.03789999999998</v>
      </c>
      <c r="M527" s="2">
        <f t="shared" si="18"/>
        <v>185.13374999999999</v>
      </c>
      <c r="N527">
        <v>0</v>
      </c>
    </row>
    <row r="528" spans="1:14" x14ac:dyDescent="0.25">
      <c r="A528" s="15"/>
      <c r="B528" s="15"/>
      <c r="C528">
        <v>0</v>
      </c>
      <c r="D528" s="3">
        <v>391.77</v>
      </c>
      <c r="E528" s="3">
        <v>0</v>
      </c>
      <c r="F528">
        <v>784</v>
      </c>
      <c r="G528">
        <v>1568</v>
      </c>
      <c r="H528">
        <v>0</v>
      </c>
      <c r="I528">
        <v>235</v>
      </c>
      <c r="J528">
        <v>28</v>
      </c>
      <c r="K528" s="10">
        <v>17.3</v>
      </c>
      <c r="L528" s="2">
        <f t="shared" si="17"/>
        <v>408.03789999999998</v>
      </c>
      <c r="M528" s="2">
        <f t="shared" si="18"/>
        <v>185.13374999999999</v>
      </c>
      <c r="N528">
        <v>0</v>
      </c>
    </row>
    <row r="529" spans="1:14" x14ac:dyDescent="0.25">
      <c r="A529" s="15"/>
      <c r="B529" s="15"/>
      <c r="C529">
        <v>5</v>
      </c>
      <c r="D529" s="3">
        <v>369</v>
      </c>
      <c r="E529" s="3">
        <v>23</v>
      </c>
      <c r="F529">
        <v>784</v>
      </c>
      <c r="G529">
        <v>1568</v>
      </c>
      <c r="H529">
        <v>0</v>
      </c>
      <c r="I529">
        <v>223</v>
      </c>
      <c r="J529">
        <v>7</v>
      </c>
      <c r="K529" s="10">
        <v>13.7</v>
      </c>
      <c r="L529" s="2">
        <f t="shared" si="17"/>
        <v>391.43880000000001</v>
      </c>
      <c r="M529" s="2">
        <f t="shared" si="18"/>
        <v>176.595</v>
      </c>
      <c r="N529">
        <v>0</v>
      </c>
    </row>
    <row r="530" spans="1:14" x14ac:dyDescent="0.25">
      <c r="A530" s="15"/>
      <c r="B530" s="15"/>
      <c r="C530">
        <v>5</v>
      </c>
      <c r="D530" s="3">
        <v>369</v>
      </c>
      <c r="E530" s="3">
        <v>23</v>
      </c>
      <c r="F530">
        <v>784</v>
      </c>
      <c r="G530">
        <v>1568</v>
      </c>
      <c r="H530">
        <v>0</v>
      </c>
      <c r="I530">
        <v>223</v>
      </c>
      <c r="J530">
        <v>14</v>
      </c>
      <c r="K530" s="10">
        <v>15.1</v>
      </c>
      <c r="L530" s="2">
        <f t="shared" si="17"/>
        <v>391.43880000000001</v>
      </c>
      <c r="M530" s="2">
        <f t="shared" si="18"/>
        <v>176.595</v>
      </c>
      <c r="N530">
        <v>0</v>
      </c>
    </row>
    <row r="531" spans="1:14" x14ac:dyDescent="0.25">
      <c r="A531" s="15"/>
      <c r="B531" s="15"/>
      <c r="C531">
        <v>5</v>
      </c>
      <c r="D531" s="3">
        <v>369</v>
      </c>
      <c r="E531" s="3">
        <v>23</v>
      </c>
      <c r="F531">
        <v>784</v>
      </c>
      <c r="G531">
        <v>1568</v>
      </c>
      <c r="H531">
        <v>0</v>
      </c>
      <c r="I531">
        <v>223</v>
      </c>
      <c r="J531">
        <v>28</v>
      </c>
      <c r="K531" s="10">
        <v>18.100000000000001</v>
      </c>
      <c r="L531" s="2">
        <f t="shared" si="17"/>
        <v>391.43880000000001</v>
      </c>
      <c r="M531" s="2">
        <f t="shared" si="18"/>
        <v>176.595</v>
      </c>
      <c r="N531">
        <v>0</v>
      </c>
    </row>
    <row r="532" spans="1:14" x14ac:dyDescent="0.25">
      <c r="A532" s="15"/>
      <c r="B532" s="15"/>
      <c r="C532">
        <v>10</v>
      </c>
      <c r="D532" s="3">
        <v>353</v>
      </c>
      <c r="E532" s="3">
        <v>39</v>
      </c>
      <c r="F532">
        <v>784</v>
      </c>
      <c r="G532">
        <v>1568</v>
      </c>
      <c r="H532">
        <v>0</v>
      </c>
      <c r="I532">
        <v>211</v>
      </c>
      <c r="J532">
        <v>7</v>
      </c>
      <c r="K532" s="10">
        <v>15.6</v>
      </c>
      <c r="L532" s="2">
        <f t="shared" si="17"/>
        <v>379.75880000000001</v>
      </c>
      <c r="M532" s="2">
        <f t="shared" si="18"/>
        <v>170.595</v>
      </c>
      <c r="N532">
        <v>0</v>
      </c>
    </row>
    <row r="533" spans="1:14" x14ac:dyDescent="0.25">
      <c r="A533" s="15"/>
      <c r="B533" s="15"/>
      <c r="C533">
        <v>10</v>
      </c>
      <c r="D533" s="3">
        <v>353</v>
      </c>
      <c r="E533" s="3">
        <v>39</v>
      </c>
      <c r="F533">
        <v>784</v>
      </c>
      <c r="G533">
        <v>1568</v>
      </c>
      <c r="H533">
        <v>0</v>
      </c>
      <c r="I533">
        <v>211</v>
      </c>
      <c r="J533">
        <v>14</v>
      </c>
      <c r="K533" s="10">
        <v>16.600000000000001</v>
      </c>
      <c r="L533" s="2">
        <f t="shared" si="17"/>
        <v>379.75880000000001</v>
      </c>
      <c r="M533" s="2">
        <f t="shared" si="18"/>
        <v>170.595</v>
      </c>
      <c r="N533">
        <v>0</v>
      </c>
    </row>
    <row r="534" spans="1:14" x14ac:dyDescent="0.25">
      <c r="A534" s="15"/>
      <c r="B534" s="15"/>
      <c r="C534">
        <v>10</v>
      </c>
      <c r="D534" s="3">
        <v>353</v>
      </c>
      <c r="E534" s="3">
        <v>39</v>
      </c>
      <c r="F534">
        <v>784</v>
      </c>
      <c r="G534">
        <v>1568</v>
      </c>
      <c r="H534">
        <v>0</v>
      </c>
      <c r="I534">
        <v>211</v>
      </c>
      <c r="J534">
        <v>28</v>
      </c>
      <c r="K534" s="10">
        <v>23.2</v>
      </c>
      <c r="L534" s="2">
        <f t="shared" si="17"/>
        <v>379.75880000000001</v>
      </c>
      <c r="M534" s="2">
        <f t="shared" si="18"/>
        <v>170.595</v>
      </c>
      <c r="N534">
        <v>0</v>
      </c>
    </row>
    <row r="535" spans="1:14" x14ac:dyDescent="0.25">
      <c r="A535" s="15"/>
      <c r="B535" s="15"/>
      <c r="C535">
        <v>15</v>
      </c>
      <c r="D535" s="3">
        <v>332</v>
      </c>
      <c r="E535" s="3">
        <v>60</v>
      </c>
      <c r="F535">
        <v>784</v>
      </c>
      <c r="G535">
        <v>1568</v>
      </c>
      <c r="H535">
        <v>0</v>
      </c>
      <c r="I535">
        <v>199</v>
      </c>
      <c r="J535">
        <v>7</v>
      </c>
      <c r="K535" s="10">
        <v>12.8</v>
      </c>
      <c r="L535" s="2">
        <f t="shared" si="17"/>
        <v>364.42880000000002</v>
      </c>
      <c r="M535" s="2">
        <f t="shared" si="18"/>
        <v>162.72</v>
      </c>
      <c r="N535">
        <v>0</v>
      </c>
    </row>
    <row r="536" spans="1:14" x14ac:dyDescent="0.25">
      <c r="A536" s="15"/>
      <c r="B536" s="15"/>
      <c r="C536">
        <v>15</v>
      </c>
      <c r="D536" s="3">
        <v>332</v>
      </c>
      <c r="E536" s="3">
        <v>60</v>
      </c>
      <c r="F536">
        <v>784</v>
      </c>
      <c r="G536">
        <v>1568</v>
      </c>
      <c r="H536">
        <v>0</v>
      </c>
      <c r="I536">
        <v>199</v>
      </c>
      <c r="J536">
        <v>14</v>
      </c>
      <c r="K536" s="10">
        <v>13.2</v>
      </c>
      <c r="L536" s="2">
        <f t="shared" si="17"/>
        <v>364.42880000000002</v>
      </c>
      <c r="M536" s="2">
        <f t="shared" si="18"/>
        <v>162.72</v>
      </c>
      <c r="N536">
        <v>0</v>
      </c>
    </row>
    <row r="537" spans="1:14" x14ac:dyDescent="0.25">
      <c r="A537" s="15"/>
      <c r="B537" s="15"/>
      <c r="C537">
        <v>15</v>
      </c>
      <c r="D537" s="3">
        <v>332</v>
      </c>
      <c r="E537" s="3">
        <v>60</v>
      </c>
      <c r="F537">
        <v>784</v>
      </c>
      <c r="G537">
        <v>1568</v>
      </c>
      <c r="H537">
        <v>0</v>
      </c>
      <c r="I537">
        <v>199</v>
      </c>
      <c r="J537">
        <v>28</v>
      </c>
      <c r="K537" s="10">
        <v>18.2</v>
      </c>
      <c r="L537" s="2">
        <f t="shared" si="17"/>
        <v>364.42880000000002</v>
      </c>
      <c r="M537" s="2">
        <f t="shared" si="18"/>
        <v>162.72</v>
      </c>
      <c r="N537">
        <v>0</v>
      </c>
    </row>
    <row r="538" spans="1:14" x14ac:dyDescent="0.25">
      <c r="A538" s="15"/>
      <c r="B538" s="15"/>
      <c r="C538">
        <v>20</v>
      </c>
      <c r="D538" s="3">
        <v>313</v>
      </c>
      <c r="E538" s="3">
        <v>79</v>
      </c>
      <c r="F538">
        <v>784</v>
      </c>
      <c r="G538">
        <v>1568</v>
      </c>
      <c r="H538">
        <v>0</v>
      </c>
      <c r="I538">
        <v>188</v>
      </c>
      <c r="J538">
        <v>7</v>
      </c>
      <c r="K538" s="10">
        <v>11.5</v>
      </c>
      <c r="L538" s="2">
        <f t="shared" si="17"/>
        <v>350.55879999999996</v>
      </c>
      <c r="M538" s="2">
        <f t="shared" si="18"/>
        <v>155.595</v>
      </c>
      <c r="N538">
        <v>0</v>
      </c>
    </row>
    <row r="539" spans="1:14" x14ac:dyDescent="0.25">
      <c r="A539" s="15"/>
      <c r="B539" s="15"/>
      <c r="C539">
        <v>20</v>
      </c>
      <c r="D539" s="3">
        <v>313</v>
      </c>
      <c r="E539" s="3">
        <v>79</v>
      </c>
      <c r="F539">
        <v>784</v>
      </c>
      <c r="G539">
        <v>1568</v>
      </c>
      <c r="H539">
        <v>0</v>
      </c>
      <c r="I539">
        <v>188</v>
      </c>
      <c r="J539">
        <v>14</v>
      </c>
      <c r="K539" s="10">
        <v>12.7</v>
      </c>
      <c r="L539" s="2">
        <f t="shared" si="17"/>
        <v>350.55879999999996</v>
      </c>
      <c r="M539" s="2">
        <f t="shared" si="18"/>
        <v>155.595</v>
      </c>
      <c r="N539">
        <v>0</v>
      </c>
    </row>
    <row r="540" spans="1:14" x14ac:dyDescent="0.25">
      <c r="A540" s="15"/>
      <c r="B540" s="15"/>
      <c r="C540">
        <v>20</v>
      </c>
      <c r="D540" s="3">
        <v>313</v>
      </c>
      <c r="E540" s="3">
        <v>79</v>
      </c>
      <c r="F540">
        <v>784</v>
      </c>
      <c r="G540">
        <v>1568</v>
      </c>
      <c r="H540">
        <v>0</v>
      </c>
      <c r="I540">
        <v>188</v>
      </c>
      <c r="J540">
        <v>28</v>
      </c>
      <c r="K540" s="10">
        <v>15.3</v>
      </c>
      <c r="L540" s="2">
        <f t="shared" si="17"/>
        <v>350.55879999999996</v>
      </c>
      <c r="M540" s="2">
        <f t="shared" si="18"/>
        <v>155.595</v>
      </c>
      <c r="N540">
        <v>0</v>
      </c>
    </row>
    <row r="541" spans="1:14" x14ac:dyDescent="0.25">
      <c r="A541" s="15"/>
      <c r="B541" s="15"/>
      <c r="C541">
        <v>25</v>
      </c>
      <c r="D541" s="3">
        <v>294</v>
      </c>
      <c r="E541" s="3">
        <v>98</v>
      </c>
      <c r="F541">
        <v>784</v>
      </c>
      <c r="G541">
        <v>1568</v>
      </c>
      <c r="H541">
        <v>0</v>
      </c>
      <c r="I541">
        <v>176</v>
      </c>
      <c r="J541">
        <v>7</v>
      </c>
      <c r="K541" s="10">
        <v>10.4</v>
      </c>
      <c r="L541" s="2">
        <f t="shared" si="17"/>
        <v>336.68880000000001</v>
      </c>
      <c r="M541" s="2">
        <f t="shared" si="18"/>
        <v>148.47</v>
      </c>
      <c r="N541">
        <v>0</v>
      </c>
    </row>
    <row r="542" spans="1:14" x14ac:dyDescent="0.25">
      <c r="A542" s="15"/>
      <c r="B542" s="15"/>
      <c r="C542">
        <v>25</v>
      </c>
      <c r="D542" s="3">
        <v>294</v>
      </c>
      <c r="E542" s="3">
        <v>98</v>
      </c>
      <c r="F542">
        <v>784</v>
      </c>
      <c r="G542">
        <v>1568</v>
      </c>
      <c r="H542">
        <v>0</v>
      </c>
      <c r="I542">
        <v>176</v>
      </c>
      <c r="J542">
        <v>14</v>
      </c>
      <c r="K542" s="10">
        <v>11</v>
      </c>
      <c r="L542" s="2">
        <f t="shared" si="17"/>
        <v>336.68880000000001</v>
      </c>
      <c r="M542" s="2">
        <f t="shared" si="18"/>
        <v>148.47</v>
      </c>
      <c r="N542">
        <v>0</v>
      </c>
    </row>
    <row r="543" spans="1:14" x14ac:dyDescent="0.25">
      <c r="A543" s="15"/>
      <c r="B543" s="15"/>
      <c r="C543">
        <v>25</v>
      </c>
      <c r="D543" s="3">
        <v>294</v>
      </c>
      <c r="E543" s="3">
        <v>98</v>
      </c>
      <c r="F543">
        <v>784</v>
      </c>
      <c r="G543">
        <v>1568</v>
      </c>
      <c r="H543">
        <v>0</v>
      </c>
      <c r="I543">
        <v>176</v>
      </c>
      <c r="J543">
        <v>28</v>
      </c>
      <c r="K543" s="10">
        <v>13</v>
      </c>
      <c r="L543" s="2">
        <f t="shared" si="17"/>
        <v>336.68880000000001</v>
      </c>
      <c r="M543" s="2">
        <f t="shared" si="18"/>
        <v>148.47</v>
      </c>
      <c r="N543">
        <v>0</v>
      </c>
    </row>
    <row r="544" spans="1:14" x14ac:dyDescent="0.25">
      <c r="A544" s="15"/>
      <c r="B544" s="15"/>
      <c r="C544">
        <v>30</v>
      </c>
      <c r="D544" s="3">
        <v>273</v>
      </c>
      <c r="E544" s="3">
        <v>119</v>
      </c>
      <c r="F544">
        <v>784</v>
      </c>
      <c r="G544">
        <v>1568</v>
      </c>
      <c r="H544">
        <v>0</v>
      </c>
      <c r="I544">
        <v>164</v>
      </c>
      <c r="J544">
        <v>7</v>
      </c>
      <c r="K544" s="10">
        <v>8.1999999999999993</v>
      </c>
      <c r="L544" s="2">
        <f t="shared" si="17"/>
        <v>321.35879999999997</v>
      </c>
      <c r="M544" s="2">
        <f t="shared" si="18"/>
        <v>140.595</v>
      </c>
      <c r="N544">
        <v>0</v>
      </c>
    </row>
    <row r="545" spans="1:14" x14ac:dyDescent="0.25">
      <c r="A545" s="15"/>
      <c r="B545" s="15"/>
      <c r="C545">
        <v>30</v>
      </c>
      <c r="D545" s="3">
        <v>273</v>
      </c>
      <c r="E545" s="3">
        <v>119</v>
      </c>
      <c r="F545">
        <v>784</v>
      </c>
      <c r="G545">
        <v>1568</v>
      </c>
      <c r="H545">
        <v>0</v>
      </c>
      <c r="I545">
        <v>164</v>
      </c>
      <c r="J545">
        <v>14</v>
      </c>
      <c r="K545" s="10">
        <v>9.6999999999999993</v>
      </c>
      <c r="L545" s="2">
        <f t="shared" si="17"/>
        <v>321.35879999999997</v>
      </c>
      <c r="M545" s="2">
        <f t="shared" si="18"/>
        <v>140.595</v>
      </c>
      <c r="N545">
        <v>0</v>
      </c>
    </row>
    <row r="546" spans="1:14" x14ac:dyDescent="0.25">
      <c r="A546" s="15"/>
      <c r="B546" s="15"/>
      <c r="C546">
        <v>30</v>
      </c>
      <c r="D546" s="3">
        <v>273</v>
      </c>
      <c r="E546" s="3">
        <v>119</v>
      </c>
      <c r="F546">
        <v>784</v>
      </c>
      <c r="G546">
        <v>1568</v>
      </c>
      <c r="H546">
        <v>0</v>
      </c>
      <c r="I546">
        <v>164</v>
      </c>
      <c r="J546">
        <v>28</v>
      </c>
      <c r="K546" s="10">
        <v>10.7</v>
      </c>
      <c r="L546" s="2">
        <f t="shared" si="17"/>
        <v>321.35879999999997</v>
      </c>
      <c r="M546" s="2">
        <f t="shared" si="18"/>
        <v>140.595</v>
      </c>
      <c r="N546">
        <v>0</v>
      </c>
    </row>
    <row r="547" spans="1:14" x14ac:dyDescent="0.25">
      <c r="A547" s="15"/>
      <c r="B547" s="15"/>
      <c r="C547">
        <v>35</v>
      </c>
      <c r="D547" s="3">
        <v>254</v>
      </c>
      <c r="E547" s="3">
        <v>138</v>
      </c>
      <c r="F547">
        <v>784</v>
      </c>
      <c r="G547">
        <v>1568</v>
      </c>
      <c r="H547">
        <v>0</v>
      </c>
      <c r="I547">
        <v>153</v>
      </c>
      <c r="J547">
        <v>7</v>
      </c>
      <c r="K547" s="10">
        <v>5.9</v>
      </c>
      <c r="L547" s="2">
        <f t="shared" ref="L547:L549" si="19">SUM((D547*0.83)+(E547*0.1)+(F547*0.0139)+(G547*0.0459)+(H547*2))</f>
        <v>307.48880000000003</v>
      </c>
      <c r="M547" s="2">
        <f t="shared" si="18"/>
        <v>133.47</v>
      </c>
      <c r="N547">
        <v>0</v>
      </c>
    </row>
    <row r="548" spans="1:14" x14ac:dyDescent="0.25">
      <c r="A548" s="15"/>
      <c r="B548" s="15"/>
      <c r="C548">
        <v>35</v>
      </c>
      <c r="D548" s="3">
        <v>254</v>
      </c>
      <c r="E548" s="3">
        <v>138</v>
      </c>
      <c r="F548">
        <v>784</v>
      </c>
      <c r="G548">
        <v>1568</v>
      </c>
      <c r="H548">
        <v>0</v>
      </c>
      <c r="I548">
        <v>153</v>
      </c>
      <c r="J548">
        <v>14</v>
      </c>
      <c r="K548" s="10">
        <v>7.6</v>
      </c>
      <c r="L548" s="2">
        <f t="shared" si="19"/>
        <v>307.48880000000003</v>
      </c>
      <c r="M548" s="2">
        <f t="shared" si="18"/>
        <v>133.47</v>
      </c>
      <c r="N548">
        <v>0</v>
      </c>
    </row>
    <row r="549" spans="1:14" x14ac:dyDescent="0.25">
      <c r="A549" s="15"/>
      <c r="B549" s="15"/>
      <c r="C549">
        <v>35</v>
      </c>
      <c r="D549" s="3">
        <v>254</v>
      </c>
      <c r="E549" s="3">
        <v>138</v>
      </c>
      <c r="F549">
        <v>784</v>
      </c>
      <c r="G549">
        <v>1568</v>
      </c>
      <c r="H549">
        <v>0</v>
      </c>
      <c r="I549">
        <v>153</v>
      </c>
      <c r="J549">
        <v>28</v>
      </c>
      <c r="K549" s="10">
        <v>8.8000000000000007</v>
      </c>
      <c r="L549" s="2">
        <f t="shared" si="19"/>
        <v>307.48880000000003</v>
      </c>
      <c r="M549" s="2">
        <f t="shared" si="18"/>
        <v>133.47</v>
      </c>
      <c r="N549">
        <v>0</v>
      </c>
    </row>
  </sheetData>
  <mergeCells count="28">
    <mergeCell ref="A255:A298"/>
    <mergeCell ref="A299:A331"/>
    <mergeCell ref="A464:A468"/>
    <mergeCell ref="A420:A463"/>
    <mergeCell ref="A376:A419"/>
    <mergeCell ref="A332:A375"/>
    <mergeCell ref="A2:A45"/>
    <mergeCell ref="A46:A133"/>
    <mergeCell ref="A134:A166"/>
    <mergeCell ref="A167:A210"/>
    <mergeCell ref="A211:A254"/>
    <mergeCell ref="A526:A549"/>
    <mergeCell ref="B526:B549"/>
    <mergeCell ref="B484:B525"/>
    <mergeCell ref="A484:A525"/>
    <mergeCell ref="A469:A483"/>
    <mergeCell ref="B469:B483"/>
    <mergeCell ref="B464:B468"/>
    <mergeCell ref="B420:B463"/>
    <mergeCell ref="B376:B419"/>
    <mergeCell ref="B332:B375"/>
    <mergeCell ref="B299:B331"/>
    <mergeCell ref="B2:B45"/>
    <mergeCell ref="B255:B298"/>
    <mergeCell ref="B211:B254"/>
    <mergeCell ref="B167:B210"/>
    <mergeCell ref="B134:B166"/>
    <mergeCell ref="B46:B133"/>
  </mergeCells>
  <hyperlinks>
    <hyperlink ref="B469" r:id="rId1" xr:uid="{5AB9DE45-2233-4067-934C-416E890A27A9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08"/>
  <sheetViews>
    <sheetView topLeftCell="A502" workbookViewId="0">
      <selection activeCell="N1" sqref="N1"/>
    </sheetView>
  </sheetViews>
  <sheetFormatPr defaultRowHeight="15" x14ac:dyDescent="0.25"/>
  <cols>
    <col min="2" max="2" width="18.140625" customWidth="1"/>
    <col min="3" max="3" width="17.7109375" customWidth="1"/>
    <col min="4" max="4" width="16.28515625" customWidth="1"/>
    <col min="8" max="10" width="16.85546875" customWidth="1"/>
    <col min="11" max="11" width="16.28515625" customWidth="1"/>
    <col min="12" max="12" width="15.42578125" customWidth="1"/>
    <col min="13" max="13" width="27.140625" style="10" customWidth="1"/>
    <col min="14" max="15" width="16.5703125" customWidth="1"/>
    <col min="16" max="16" width="14.71093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4" t="s">
        <v>377</v>
      </c>
      <c r="J1" s="14" t="s">
        <v>401</v>
      </c>
      <c r="K1" s="1" t="s">
        <v>8</v>
      </c>
      <c r="L1" s="1" t="s">
        <v>9</v>
      </c>
      <c r="M1" s="11" t="s">
        <v>10</v>
      </c>
      <c r="N1" s="14" t="s">
        <v>407</v>
      </c>
      <c r="O1" s="1" t="s">
        <v>406</v>
      </c>
      <c r="P1" s="1" t="s">
        <v>11</v>
      </c>
    </row>
    <row r="2" spans="1:16" x14ac:dyDescent="0.25">
      <c r="A2" s="19" t="s">
        <v>99</v>
      </c>
      <c r="B2" s="19" t="s">
        <v>100</v>
      </c>
      <c r="C2">
        <v>0</v>
      </c>
      <c r="D2">
        <v>350</v>
      </c>
      <c r="E2">
        <v>0</v>
      </c>
      <c r="F2">
        <v>655</v>
      </c>
      <c r="G2">
        <v>1055</v>
      </c>
      <c r="H2">
        <v>25</v>
      </c>
      <c r="I2">
        <v>0</v>
      </c>
      <c r="J2">
        <v>0</v>
      </c>
      <c r="K2">
        <v>192.5</v>
      </c>
      <c r="L2">
        <v>7</v>
      </c>
      <c r="M2" s="10">
        <v>21.43</v>
      </c>
      <c r="N2" s="2">
        <f t="shared" ref="N2:N45" si="0">SUM((D2*0.83)+(E2*0.05)+(F2*0.0139)+(G2*0.0459)+(H2*2))</f>
        <v>398.029</v>
      </c>
      <c r="O2" s="2">
        <f>SUM((D2*5)+((F2*0.25)+(G2*0.2)+(H2*20)))*0.0755</f>
        <v>198.16862499999999</v>
      </c>
      <c r="P2">
        <v>0</v>
      </c>
    </row>
    <row r="3" spans="1:16" x14ac:dyDescent="0.25">
      <c r="A3" s="15"/>
      <c r="B3" s="15"/>
      <c r="C3">
        <v>0</v>
      </c>
      <c r="D3">
        <v>350</v>
      </c>
      <c r="E3">
        <v>0</v>
      </c>
      <c r="F3">
        <v>655</v>
      </c>
      <c r="G3">
        <v>1055</v>
      </c>
      <c r="H3">
        <v>25</v>
      </c>
      <c r="I3">
        <v>0</v>
      </c>
      <c r="J3">
        <v>0</v>
      </c>
      <c r="K3">
        <v>192.5</v>
      </c>
      <c r="L3">
        <v>14</v>
      </c>
      <c r="M3" s="10">
        <v>25.05</v>
      </c>
      <c r="N3" s="2">
        <f t="shared" si="0"/>
        <v>398.029</v>
      </c>
      <c r="O3" s="2">
        <f t="shared" ref="O3:O66" si="1">SUM((D3*5)+((F3*0.25)+(G3*0.2)+(H3*20)))*0.0755</f>
        <v>198.16862499999999</v>
      </c>
      <c r="P3">
        <v>0</v>
      </c>
    </row>
    <row r="4" spans="1:16" x14ac:dyDescent="0.25">
      <c r="A4" s="15"/>
      <c r="B4" s="15"/>
      <c r="C4">
        <v>0</v>
      </c>
      <c r="D4">
        <v>350</v>
      </c>
      <c r="E4">
        <v>0</v>
      </c>
      <c r="F4">
        <v>655</v>
      </c>
      <c r="G4">
        <v>1055</v>
      </c>
      <c r="H4">
        <v>25</v>
      </c>
      <c r="I4">
        <v>0</v>
      </c>
      <c r="J4">
        <v>0</v>
      </c>
      <c r="K4">
        <v>192.5</v>
      </c>
      <c r="L4">
        <v>56</v>
      </c>
      <c r="M4" s="10">
        <v>28.86</v>
      </c>
      <c r="N4" s="2">
        <f t="shared" si="0"/>
        <v>398.029</v>
      </c>
      <c r="O4" s="2">
        <f t="shared" si="1"/>
        <v>198.16862499999999</v>
      </c>
      <c r="P4">
        <v>0</v>
      </c>
    </row>
    <row r="5" spans="1:16" x14ac:dyDescent="0.25">
      <c r="A5" s="15"/>
      <c r="B5" s="15"/>
      <c r="C5">
        <v>0</v>
      </c>
      <c r="D5">
        <v>350</v>
      </c>
      <c r="E5">
        <v>0</v>
      </c>
      <c r="F5">
        <v>655</v>
      </c>
      <c r="G5">
        <v>1055</v>
      </c>
      <c r="H5">
        <v>25</v>
      </c>
      <c r="I5">
        <v>0</v>
      </c>
      <c r="J5">
        <v>0</v>
      </c>
      <c r="K5">
        <v>192.5</v>
      </c>
      <c r="L5">
        <v>90</v>
      </c>
      <c r="M5" s="10">
        <v>28.17</v>
      </c>
      <c r="N5" s="2">
        <f t="shared" si="0"/>
        <v>398.029</v>
      </c>
      <c r="O5" s="2">
        <f t="shared" si="1"/>
        <v>198.16862499999999</v>
      </c>
      <c r="P5">
        <v>0</v>
      </c>
    </row>
    <row r="6" spans="1:16" x14ac:dyDescent="0.25">
      <c r="A6" s="15"/>
      <c r="B6" s="15"/>
      <c r="C6">
        <v>5</v>
      </c>
      <c r="D6">
        <v>332.5</v>
      </c>
      <c r="E6">
        <v>17.5</v>
      </c>
      <c r="F6">
        <v>655</v>
      </c>
      <c r="G6">
        <v>1055</v>
      </c>
      <c r="H6">
        <v>25</v>
      </c>
      <c r="I6">
        <v>0</v>
      </c>
      <c r="J6">
        <v>0</v>
      </c>
      <c r="K6">
        <v>192.5</v>
      </c>
      <c r="L6">
        <v>7</v>
      </c>
      <c r="M6" s="10">
        <v>20.09</v>
      </c>
      <c r="N6" s="2">
        <f t="shared" si="0"/>
        <v>384.37899999999996</v>
      </c>
      <c r="O6" s="2">
        <f t="shared" si="1"/>
        <v>191.562375</v>
      </c>
      <c r="P6">
        <v>0</v>
      </c>
    </row>
    <row r="7" spans="1:16" x14ac:dyDescent="0.25">
      <c r="A7" s="15"/>
      <c r="B7" s="15"/>
      <c r="C7">
        <v>5</v>
      </c>
      <c r="D7">
        <v>332.5</v>
      </c>
      <c r="E7">
        <v>17.5</v>
      </c>
      <c r="F7">
        <v>655</v>
      </c>
      <c r="G7">
        <v>1055</v>
      </c>
      <c r="H7">
        <v>25</v>
      </c>
      <c r="I7">
        <v>0</v>
      </c>
      <c r="J7">
        <v>0</v>
      </c>
      <c r="K7">
        <v>192.5</v>
      </c>
      <c r="L7">
        <v>14</v>
      </c>
      <c r="M7" s="10">
        <v>23.07</v>
      </c>
      <c r="N7" s="2">
        <f t="shared" si="0"/>
        <v>384.37899999999996</v>
      </c>
      <c r="O7" s="2">
        <f t="shared" si="1"/>
        <v>191.562375</v>
      </c>
      <c r="P7">
        <v>0</v>
      </c>
    </row>
    <row r="8" spans="1:16" x14ac:dyDescent="0.25">
      <c r="A8" s="15"/>
      <c r="B8" s="15"/>
      <c r="C8">
        <v>5</v>
      </c>
      <c r="D8">
        <v>332.5</v>
      </c>
      <c r="E8">
        <v>17.5</v>
      </c>
      <c r="F8">
        <v>655</v>
      </c>
      <c r="G8">
        <v>1055</v>
      </c>
      <c r="H8">
        <v>25</v>
      </c>
      <c r="I8">
        <v>0</v>
      </c>
      <c r="J8">
        <v>0</v>
      </c>
      <c r="K8">
        <v>192.5</v>
      </c>
      <c r="L8">
        <v>56</v>
      </c>
      <c r="M8" s="10">
        <v>30.65</v>
      </c>
      <c r="N8" s="2">
        <f t="shared" si="0"/>
        <v>384.37899999999996</v>
      </c>
      <c r="O8" s="2">
        <f t="shared" si="1"/>
        <v>191.562375</v>
      </c>
      <c r="P8">
        <v>0</v>
      </c>
    </row>
    <row r="9" spans="1:16" x14ac:dyDescent="0.25">
      <c r="A9" s="15"/>
      <c r="B9" s="15"/>
      <c r="C9">
        <v>5</v>
      </c>
      <c r="D9">
        <v>332.5</v>
      </c>
      <c r="E9">
        <v>17.5</v>
      </c>
      <c r="F9">
        <v>655</v>
      </c>
      <c r="G9">
        <v>1055</v>
      </c>
      <c r="H9">
        <v>25</v>
      </c>
      <c r="I9">
        <v>0</v>
      </c>
      <c r="J9">
        <v>0</v>
      </c>
      <c r="K9">
        <v>192.5</v>
      </c>
      <c r="L9">
        <v>90</v>
      </c>
      <c r="M9" s="10">
        <v>27.64</v>
      </c>
      <c r="N9" s="2">
        <f t="shared" si="0"/>
        <v>384.37899999999996</v>
      </c>
      <c r="O9" s="2">
        <f t="shared" si="1"/>
        <v>191.562375</v>
      </c>
      <c r="P9">
        <v>0</v>
      </c>
    </row>
    <row r="10" spans="1:16" x14ac:dyDescent="0.25">
      <c r="A10" s="15"/>
      <c r="B10" s="15"/>
      <c r="C10">
        <v>10</v>
      </c>
      <c r="D10">
        <v>315</v>
      </c>
      <c r="E10">
        <v>35</v>
      </c>
      <c r="F10">
        <v>655</v>
      </c>
      <c r="G10">
        <v>1055</v>
      </c>
      <c r="H10">
        <v>25</v>
      </c>
      <c r="I10">
        <v>0</v>
      </c>
      <c r="J10">
        <v>0</v>
      </c>
      <c r="K10">
        <v>192.5</v>
      </c>
      <c r="L10">
        <v>7</v>
      </c>
      <c r="M10" s="10">
        <v>19.29</v>
      </c>
      <c r="N10" s="2">
        <f t="shared" si="0"/>
        <v>370.72899999999998</v>
      </c>
      <c r="O10" s="2">
        <f t="shared" si="1"/>
        <v>184.95612499999999</v>
      </c>
      <c r="P10">
        <v>0</v>
      </c>
    </row>
    <row r="11" spans="1:16" x14ac:dyDescent="0.25">
      <c r="A11" s="15"/>
      <c r="B11" s="15"/>
      <c r="C11">
        <v>10</v>
      </c>
      <c r="D11">
        <v>315</v>
      </c>
      <c r="E11">
        <v>35</v>
      </c>
      <c r="F11">
        <v>655</v>
      </c>
      <c r="G11">
        <v>1055</v>
      </c>
      <c r="H11">
        <v>25</v>
      </c>
      <c r="I11">
        <v>0</v>
      </c>
      <c r="J11">
        <v>0</v>
      </c>
      <c r="K11">
        <v>192.5</v>
      </c>
      <c r="L11">
        <v>14</v>
      </c>
      <c r="M11" s="10">
        <v>19.37</v>
      </c>
      <c r="N11" s="2">
        <f t="shared" si="0"/>
        <v>370.72899999999998</v>
      </c>
      <c r="O11" s="2">
        <f t="shared" si="1"/>
        <v>184.95612499999999</v>
      </c>
      <c r="P11">
        <v>0</v>
      </c>
    </row>
    <row r="12" spans="1:16" x14ac:dyDescent="0.25">
      <c r="A12" s="15"/>
      <c r="B12" s="15"/>
      <c r="C12">
        <v>10</v>
      </c>
      <c r="D12">
        <v>315</v>
      </c>
      <c r="E12">
        <v>35</v>
      </c>
      <c r="F12">
        <v>655</v>
      </c>
      <c r="G12">
        <v>1055</v>
      </c>
      <c r="H12">
        <v>25</v>
      </c>
      <c r="I12">
        <v>0</v>
      </c>
      <c r="J12">
        <v>0</v>
      </c>
      <c r="K12">
        <v>192.5</v>
      </c>
      <c r="L12">
        <v>56</v>
      </c>
      <c r="M12" s="10">
        <v>25.7</v>
      </c>
      <c r="N12" s="2">
        <f t="shared" si="0"/>
        <v>370.72899999999998</v>
      </c>
      <c r="O12" s="2">
        <f t="shared" si="1"/>
        <v>184.95612499999999</v>
      </c>
      <c r="P12">
        <v>0</v>
      </c>
    </row>
    <row r="13" spans="1:16" x14ac:dyDescent="0.25">
      <c r="A13" s="15"/>
      <c r="B13" s="15"/>
      <c r="C13">
        <v>10</v>
      </c>
      <c r="D13">
        <v>315</v>
      </c>
      <c r="E13">
        <v>35</v>
      </c>
      <c r="F13">
        <v>655</v>
      </c>
      <c r="G13">
        <v>1055</v>
      </c>
      <c r="H13">
        <v>25</v>
      </c>
      <c r="I13">
        <v>0</v>
      </c>
      <c r="J13">
        <v>0</v>
      </c>
      <c r="K13">
        <v>192.5</v>
      </c>
      <c r="L13">
        <v>90</v>
      </c>
      <c r="M13" s="10">
        <v>25.79</v>
      </c>
      <c r="N13" s="2">
        <f t="shared" si="0"/>
        <v>370.72899999999998</v>
      </c>
      <c r="O13" s="2">
        <f t="shared" si="1"/>
        <v>184.95612499999999</v>
      </c>
      <c r="P13">
        <v>0</v>
      </c>
    </row>
    <row r="14" spans="1:16" x14ac:dyDescent="0.25">
      <c r="A14" s="15"/>
      <c r="B14" s="15"/>
      <c r="C14">
        <v>15</v>
      </c>
      <c r="D14">
        <v>297.5</v>
      </c>
      <c r="E14">
        <v>52.5</v>
      </c>
      <c r="F14">
        <v>655</v>
      </c>
      <c r="G14">
        <v>1055</v>
      </c>
      <c r="H14">
        <v>25</v>
      </c>
      <c r="I14">
        <v>0</v>
      </c>
      <c r="J14">
        <v>0</v>
      </c>
      <c r="K14">
        <v>192.5</v>
      </c>
      <c r="L14">
        <v>7</v>
      </c>
      <c r="M14" s="10">
        <v>18.2</v>
      </c>
      <c r="N14" s="2">
        <f t="shared" si="0"/>
        <v>357.07900000000001</v>
      </c>
      <c r="O14" s="2">
        <f t="shared" si="1"/>
        <v>178.349875</v>
      </c>
      <c r="P14">
        <v>0</v>
      </c>
    </row>
    <row r="15" spans="1:16" x14ac:dyDescent="0.25">
      <c r="A15" s="15"/>
      <c r="B15" s="15"/>
      <c r="C15">
        <v>15</v>
      </c>
      <c r="D15">
        <v>297.5</v>
      </c>
      <c r="E15">
        <v>52.5</v>
      </c>
      <c r="F15">
        <v>655</v>
      </c>
      <c r="G15">
        <v>1055</v>
      </c>
      <c r="H15">
        <v>25</v>
      </c>
      <c r="I15">
        <v>0</v>
      </c>
      <c r="J15">
        <v>0</v>
      </c>
      <c r="K15">
        <v>192.5</v>
      </c>
      <c r="L15">
        <v>14</v>
      </c>
      <c r="M15" s="10">
        <v>23.45</v>
      </c>
      <c r="N15" s="2">
        <f t="shared" si="0"/>
        <v>357.07900000000001</v>
      </c>
      <c r="O15" s="2">
        <f t="shared" si="1"/>
        <v>178.349875</v>
      </c>
      <c r="P15">
        <v>0</v>
      </c>
    </row>
    <row r="16" spans="1:16" x14ac:dyDescent="0.25">
      <c r="A16" s="15"/>
      <c r="B16" s="15"/>
      <c r="C16">
        <v>15</v>
      </c>
      <c r="D16">
        <v>297.5</v>
      </c>
      <c r="E16">
        <v>52.5</v>
      </c>
      <c r="F16">
        <v>655</v>
      </c>
      <c r="G16">
        <v>1055</v>
      </c>
      <c r="H16">
        <v>25</v>
      </c>
      <c r="I16">
        <v>0</v>
      </c>
      <c r="J16">
        <v>0</v>
      </c>
      <c r="K16">
        <v>192.5</v>
      </c>
      <c r="L16">
        <v>56</v>
      </c>
      <c r="M16" s="10">
        <v>25.58</v>
      </c>
      <c r="N16" s="2">
        <f t="shared" si="0"/>
        <v>357.07900000000001</v>
      </c>
      <c r="O16" s="2">
        <f t="shared" si="1"/>
        <v>178.349875</v>
      </c>
      <c r="P16">
        <v>0</v>
      </c>
    </row>
    <row r="17" spans="1:16" x14ac:dyDescent="0.25">
      <c r="A17" s="15"/>
      <c r="B17" s="15"/>
      <c r="C17">
        <v>15</v>
      </c>
      <c r="D17">
        <v>297.5</v>
      </c>
      <c r="E17">
        <v>52.5</v>
      </c>
      <c r="F17">
        <v>655</v>
      </c>
      <c r="G17">
        <v>1055</v>
      </c>
      <c r="H17">
        <v>25</v>
      </c>
      <c r="I17">
        <v>0</v>
      </c>
      <c r="J17">
        <v>0</v>
      </c>
      <c r="K17">
        <v>192.5</v>
      </c>
      <c r="L17">
        <v>90</v>
      </c>
      <c r="M17" s="10">
        <v>32.96</v>
      </c>
      <c r="N17" s="2">
        <f t="shared" si="0"/>
        <v>357.07900000000001</v>
      </c>
      <c r="O17" s="2">
        <f t="shared" si="1"/>
        <v>178.349875</v>
      </c>
      <c r="P17">
        <v>0</v>
      </c>
    </row>
    <row r="18" spans="1:16" x14ac:dyDescent="0.25">
      <c r="A18" s="15"/>
      <c r="B18" s="15"/>
      <c r="C18">
        <v>20</v>
      </c>
      <c r="D18">
        <v>280</v>
      </c>
      <c r="E18">
        <v>70</v>
      </c>
      <c r="F18">
        <v>655</v>
      </c>
      <c r="G18">
        <v>1055</v>
      </c>
      <c r="H18">
        <v>25</v>
      </c>
      <c r="I18">
        <v>0</v>
      </c>
      <c r="J18">
        <v>0</v>
      </c>
      <c r="K18">
        <v>192.5</v>
      </c>
      <c r="L18">
        <v>7</v>
      </c>
      <c r="M18" s="10">
        <v>20.52</v>
      </c>
      <c r="N18" s="2">
        <f t="shared" si="0"/>
        <v>343.42899999999997</v>
      </c>
      <c r="O18" s="2">
        <f t="shared" si="1"/>
        <v>171.74362500000001</v>
      </c>
      <c r="P18">
        <v>0</v>
      </c>
    </row>
    <row r="19" spans="1:16" x14ac:dyDescent="0.25">
      <c r="A19" s="15"/>
      <c r="B19" s="15"/>
      <c r="C19">
        <v>20</v>
      </c>
      <c r="D19">
        <v>280</v>
      </c>
      <c r="E19">
        <v>70</v>
      </c>
      <c r="F19">
        <v>655</v>
      </c>
      <c r="G19">
        <v>1055</v>
      </c>
      <c r="H19">
        <v>25</v>
      </c>
      <c r="I19">
        <v>0</v>
      </c>
      <c r="J19">
        <v>0</v>
      </c>
      <c r="K19">
        <v>192.5</v>
      </c>
      <c r="L19">
        <v>14</v>
      </c>
      <c r="M19" s="10">
        <v>20.75</v>
      </c>
      <c r="N19" s="2">
        <f t="shared" si="0"/>
        <v>343.42899999999997</v>
      </c>
      <c r="O19" s="2">
        <f t="shared" si="1"/>
        <v>171.74362500000001</v>
      </c>
      <c r="P19">
        <v>0</v>
      </c>
    </row>
    <row r="20" spans="1:16" x14ac:dyDescent="0.25">
      <c r="A20" s="15"/>
      <c r="B20" s="15"/>
      <c r="C20">
        <v>20</v>
      </c>
      <c r="D20">
        <v>280</v>
      </c>
      <c r="E20">
        <v>70</v>
      </c>
      <c r="F20">
        <v>655</v>
      </c>
      <c r="G20">
        <v>1055</v>
      </c>
      <c r="H20">
        <v>25</v>
      </c>
      <c r="I20">
        <v>0</v>
      </c>
      <c r="J20">
        <v>0</v>
      </c>
      <c r="K20">
        <v>192.5</v>
      </c>
      <c r="L20">
        <v>56</v>
      </c>
      <c r="M20" s="10">
        <v>27.31</v>
      </c>
      <c r="N20" s="2">
        <f t="shared" si="0"/>
        <v>343.42899999999997</v>
      </c>
      <c r="O20" s="2">
        <f t="shared" si="1"/>
        <v>171.74362500000001</v>
      </c>
      <c r="P20">
        <v>0</v>
      </c>
    </row>
    <row r="21" spans="1:16" x14ac:dyDescent="0.25">
      <c r="A21" s="15"/>
      <c r="B21" s="15"/>
      <c r="C21">
        <v>20</v>
      </c>
      <c r="D21">
        <v>280</v>
      </c>
      <c r="E21">
        <v>70</v>
      </c>
      <c r="F21">
        <v>655</v>
      </c>
      <c r="G21">
        <v>1055</v>
      </c>
      <c r="H21">
        <v>25</v>
      </c>
      <c r="I21">
        <v>0</v>
      </c>
      <c r="J21">
        <v>0</v>
      </c>
      <c r="K21">
        <v>192.5</v>
      </c>
      <c r="L21">
        <v>90</v>
      </c>
      <c r="M21" s="10">
        <v>24.52</v>
      </c>
      <c r="N21" s="2">
        <f t="shared" si="0"/>
        <v>343.42899999999997</v>
      </c>
      <c r="O21" s="2">
        <f t="shared" si="1"/>
        <v>171.74362500000001</v>
      </c>
      <c r="P21">
        <v>0</v>
      </c>
    </row>
    <row r="22" spans="1:16" x14ac:dyDescent="0.25">
      <c r="A22" s="15"/>
      <c r="B22" s="15"/>
      <c r="C22">
        <v>25</v>
      </c>
      <c r="D22">
        <v>262.5</v>
      </c>
      <c r="E22">
        <v>87.5</v>
      </c>
      <c r="F22">
        <v>655</v>
      </c>
      <c r="G22">
        <v>1055</v>
      </c>
      <c r="H22">
        <v>25</v>
      </c>
      <c r="I22">
        <v>0</v>
      </c>
      <c r="J22">
        <v>0</v>
      </c>
      <c r="K22">
        <v>192.5</v>
      </c>
      <c r="L22">
        <v>7</v>
      </c>
      <c r="M22" s="10">
        <v>20.67</v>
      </c>
      <c r="N22" s="2">
        <f t="shared" si="0"/>
        <v>329.779</v>
      </c>
      <c r="O22" s="2">
        <f t="shared" si="1"/>
        <v>165.13737499999999</v>
      </c>
      <c r="P22">
        <v>0</v>
      </c>
    </row>
    <row r="23" spans="1:16" x14ac:dyDescent="0.25">
      <c r="A23" s="15"/>
      <c r="B23" s="15"/>
      <c r="C23">
        <v>25</v>
      </c>
      <c r="D23">
        <v>262.5</v>
      </c>
      <c r="E23">
        <v>87.5</v>
      </c>
      <c r="F23">
        <v>655</v>
      </c>
      <c r="G23">
        <v>1055</v>
      </c>
      <c r="H23">
        <v>25</v>
      </c>
      <c r="I23">
        <v>0</v>
      </c>
      <c r="J23">
        <v>0</v>
      </c>
      <c r="K23">
        <v>192.5</v>
      </c>
      <c r="L23">
        <v>14</v>
      </c>
      <c r="M23" s="10">
        <v>23.32</v>
      </c>
      <c r="N23" s="2">
        <f t="shared" si="0"/>
        <v>329.779</v>
      </c>
      <c r="O23" s="2">
        <f t="shared" si="1"/>
        <v>165.13737499999999</v>
      </c>
      <c r="P23">
        <v>0</v>
      </c>
    </row>
    <row r="24" spans="1:16" x14ac:dyDescent="0.25">
      <c r="A24" s="15"/>
      <c r="B24" s="15"/>
      <c r="C24">
        <v>25</v>
      </c>
      <c r="D24">
        <v>262.5</v>
      </c>
      <c r="E24">
        <v>87.5</v>
      </c>
      <c r="F24">
        <v>655</v>
      </c>
      <c r="G24">
        <v>1055</v>
      </c>
      <c r="H24">
        <v>25</v>
      </c>
      <c r="I24">
        <v>0</v>
      </c>
      <c r="J24">
        <v>0</v>
      </c>
      <c r="K24">
        <v>192.5</v>
      </c>
      <c r="L24">
        <v>56</v>
      </c>
      <c r="M24" s="10">
        <v>23.43</v>
      </c>
      <c r="N24" s="2">
        <f t="shared" si="0"/>
        <v>329.779</v>
      </c>
      <c r="O24" s="2">
        <f t="shared" si="1"/>
        <v>165.13737499999999</v>
      </c>
      <c r="P24">
        <v>0</v>
      </c>
    </row>
    <row r="25" spans="1:16" x14ac:dyDescent="0.25">
      <c r="A25" s="15"/>
      <c r="B25" s="15"/>
      <c r="C25">
        <v>25</v>
      </c>
      <c r="D25">
        <v>262.5</v>
      </c>
      <c r="E25">
        <v>87.5</v>
      </c>
      <c r="F25">
        <v>655</v>
      </c>
      <c r="G25">
        <v>1055</v>
      </c>
      <c r="H25">
        <v>25</v>
      </c>
      <c r="I25">
        <v>0</v>
      </c>
      <c r="J25">
        <v>0</v>
      </c>
      <c r="K25">
        <v>192.5</v>
      </c>
      <c r="L25">
        <v>90</v>
      </c>
      <c r="M25" s="10">
        <v>25.79</v>
      </c>
      <c r="N25" s="2">
        <f t="shared" si="0"/>
        <v>329.779</v>
      </c>
      <c r="O25" s="2">
        <f t="shared" si="1"/>
        <v>165.13737499999999</v>
      </c>
      <c r="P25">
        <v>0</v>
      </c>
    </row>
    <row r="26" spans="1:16" x14ac:dyDescent="0.25">
      <c r="A26" s="15"/>
      <c r="B26" s="15"/>
      <c r="C26">
        <v>30</v>
      </c>
      <c r="D26">
        <v>245</v>
      </c>
      <c r="E26">
        <v>105</v>
      </c>
      <c r="F26">
        <v>655</v>
      </c>
      <c r="G26">
        <v>1055</v>
      </c>
      <c r="H26">
        <v>25</v>
      </c>
      <c r="I26">
        <v>0</v>
      </c>
      <c r="J26">
        <v>0</v>
      </c>
      <c r="K26">
        <v>192.5</v>
      </c>
      <c r="L26">
        <v>7</v>
      </c>
      <c r="M26" s="10">
        <v>18.05</v>
      </c>
      <c r="N26" s="2">
        <f t="shared" si="0"/>
        <v>316.12900000000002</v>
      </c>
      <c r="O26" s="2">
        <f t="shared" si="1"/>
        <v>158.531125</v>
      </c>
      <c r="P26">
        <v>0</v>
      </c>
    </row>
    <row r="27" spans="1:16" x14ac:dyDescent="0.25">
      <c r="A27" s="15"/>
      <c r="B27" s="15"/>
      <c r="C27">
        <v>30</v>
      </c>
      <c r="D27">
        <v>245</v>
      </c>
      <c r="E27">
        <v>105</v>
      </c>
      <c r="F27">
        <v>655</v>
      </c>
      <c r="G27">
        <v>1055</v>
      </c>
      <c r="H27">
        <v>25</v>
      </c>
      <c r="I27">
        <v>0</v>
      </c>
      <c r="J27">
        <v>0</v>
      </c>
      <c r="K27">
        <v>192.5</v>
      </c>
      <c r="L27">
        <v>14</v>
      </c>
      <c r="M27" s="10">
        <v>16.89</v>
      </c>
      <c r="N27" s="2">
        <f t="shared" si="0"/>
        <v>316.12900000000002</v>
      </c>
      <c r="O27" s="2">
        <f t="shared" si="1"/>
        <v>158.531125</v>
      </c>
      <c r="P27">
        <v>0</v>
      </c>
    </row>
    <row r="28" spans="1:16" x14ac:dyDescent="0.25">
      <c r="A28" s="15"/>
      <c r="B28" s="15"/>
      <c r="C28">
        <v>30</v>
      </c>
      <c r="D28">
        <v>245</v>
      </c>
      <c r="E28">
        <v>105</v>
      </c>
      <c r="F28">
        <v>655</v>
      </c>
      <c r="G28">
        <v>1055</v>
      </c>
      <c r="H28">
        <v>25</v>
      </c>
      <c r="I28">
        <v>0</v>
      </c>
      <c r="J28">
        <v>0</v>
      </c>
      <c r="K28">
        <v>192.5</v>
      </c>
      <c r="L28">
        <v>56</v>
      </c>
      <c r="M28" s="10">
        <v>24.36</v>
      </c>
      <c r="N28" s="2">
        <f t="shared" si="0"/>
        <v>316.12900000000002</v>
      </c>
      <c r="O28" s="2">
        <f t="shared" si="1"/>
        <v>158.531125</v>
      </c>
      <c r="P28">
        <v>0</v>
      </c>
    </row>
    <row r="29" spans="1:16" x14ac:dyDescent="0.25">
      <c r="A29" s="15"/>
      <c r="B29" s="15"/>
      <c r="C29">
        <v>30</v>
      </c>
      <c r="D29">
        <v>245</v>
      </c>
      <c r="E29">
        <v>105</v>
      </c>
      <c r="F29">
        <v>655</v>
      </c>
      <c r="G29">
        <v>1055</v>
      </c>
      <c r="H29">
        <v>25</v>
      </c>
      <c r="I29">
        <v>0</v>
      </c>
      <c r="J29">
        <v>0</v>
      </c>
      <c r="K29">
        <v>192.5</v>
      </c>
      <c r="L29">
        <v>90</v>
      </c>
      <c r="M29" s="10">
        <v>26.2</v>
      </c>
      <c r="N29" s="2">
        <f t="shared" si="0"/>
        <v>316.12900000000002</v>
      </c>
      <c r="O29" s="2">
        <f t="shared" si="1"/>
        <v>158.531125</v>
      </c>
      <c r="P29">
        <v>0</v>
      </c>
    </row>
    <row r="30" spans="1:16" x14ac:dyDescent="0.25">
      <c r="A30" s="15"/>
      <c r="B30" s="15"/>
      <c r="C30">
        <v>35</v>
      </c>
      <c r="D30">
        <v>227.5</v>
      </c>
      <c r="E30">
        <v>122.5</v>
      </c>
      <c r="F30">
        <v>655</v>
      </c>
      <c r="G30">
        <v>1055</v>
      </c>
      <c r="H30">
        <v>25</v>
      </c>
      <c r="I30">
        <v>0</v>
      </c>
      <c r="J30">
        <v>0</v>
      </c>
      <c r="K30">
        <v>192.5</v>
      </c>
      <c r="L30">
        <v>7</v>
      </c>
      <c r="M30" s="10">
        <v>16.3</v>
      </c>
      <c r="N30" s="2">
        <f t="shared" si="0"/>
        <v>302.47899999999998</v>
      </c>
      <c r="O30" s="2">
        <f t="shared" si="1"/>
        <v>151.92487499999999</v>
      </c>
      <c r="P30">
        <v>0</v>
      </c>
    </row>
    <row r="31" spans="1:16" x14ac:dyDescent="0.25">
      <c r="A31" s="15"/>
      <c r="B31" s="15"/>
      <c r="C31">
        <v>35</v>
      </c>
      <c r="D31">
        <v>227.5</v>
      </c>
      <c r="E31">
        <v>122.5</v>
      </c>
      <c r="F31">
        <v>655</v>
      </c>
      <c r="G31">
        <v>1055</v>
      </c>
      <c r="H31">
        <v>25</v>
      </c>
      <c r="I31">
        <v>0</v>
      </c>
      <c r="J31">
        <v>0</v>
      </c>
      <c r="K31">
        <v>192.5</v>
      </c>
      <c r="L31">
        <v>14</v>
      </c>
      <c r="M31" s="10">
        <v>19.010000000000002</v>
      </c>
      <c r="N31" s="2">
        <f t="shared" si="0"/>
        <v>302.47899999999998</v>
      </c>
      <c r="O31" s="2">
        <f t="shared" si="1"/>
        <v>151.92487499999999</v>
      </c>
      <c r="P31">
        <v>0</v>
      </c>
    </row>
    <row r="32" spans="1:16" x14ac:dyDescent="0.25">
      <c r="A32" s="15"/>
      <c r="B32" s="15"/>
      <c r="C32">
        <v>35</v>
      </c>
      <c r="D32">
        <v>227.5</v>
      </c>
      <c r="E32">
        <v>122.5</v>
      </c>
      <c r="F32">
        <v>655</v>
      </c>
      <c r="G32">
        <v>1055</v>
      </c>
      <c r="H32">
        <v>25</v>
      </c>
      <c r="I32">
        <v>0</v>
      </c>
      <c r="J32">
        <v>0</v>
      </c>
      <c r="K32">
        <v>192.5</v>
      </c>
      <c r="L32">
        <v>56</v>
      </c>
      <c r="M32" s="10">
        <v>24.24</v>
      </c>
      <c r="N32" s="2">
        <f t="shared" si="0"/>
        <v>302.47899999999998</v>
      </c>
      <c r="O32" s="2">
        <f t="shared" si="1"/>
        <v>151.92487499999999</v>
      </c>
      <c r="P32">
        <v>0</v>
      </c>
    </row>
    <row r="33" spans="1:16" x14ac:dyDescent="0.25">
      <c r="A33" s="15"/>
      <c r="B33" s="15"/>
      <c r="C33">
        <v>35</v>
      </c>
      <c r="D33">
        <v>227.5</v>
      </c>
      <c r="E33">
        <v>122.5</v>
      </c>
      <c r="F33">
        <v>655</v>
      </c>
      <c r="G33">
        <v>1055</v>
      </c>
      <c r="H33">
        <v>25</v>
      </c>
      <c r="I33">
        <v>0</v>
      </c>
      <c r="J33">
        <v>0</v>
      </c>
      <c r="K33">
        <v>192.5</v>
      </c>
      <c r="L33">
        <v>90</v>
      </c>
      <c r="M33" s="10">
        <v>27.57</v>
      </c>
      <c r="N33" s="2">
        <f t="shared" si="0"/>
        <v>302.47899999999998</v>
      </c>
      <c r="O33" s="2">
        <f t="shared" si="1"/>
        <v>151.92487499999999</v>
      </c>
      <c r="P33">
        <v>0</v>
      </c>
    </row>
    <row r="34" spans="1:16" x14ac:dyDescent="0.25">
      <c r="A34" s="15"/>
      <c r="B34" s="15"/>
      <c r="C34">
        <v>40</v>
      </c>
      <c r="D34">
        <v>210</v>
      </c>
      <c r="E34">
        <v>140</v>
      </c>
      <c r="F34">
        <v>655</v>
      </c>
      <c r="G34">
        <v>1055</v>
      </c>
      <c r="H34">
        <v>25</v>
      </c>
      <c r="I34">
        <v>0</v>
      </c>
      <c r="J34">
        <v>0</v>
      </c>
      <c r="K34">
        <v>192.5</v>
      </c>
      <c r="L34">
        <v>7</v>
      </c>
      <c r="M34" s="10">
        <v>16.63</v>
      </c>
      <c r="N34" s="2">
        <f t="shared" si="0"/>
        <v>288.82899999999995</v>
      </c>
      <c r="O34" s="2">
        <f t="shared" si="1"/>
        <v>145.318625</v>
      </c>
      <c r="P34">
        <v>0</v>
      </c>
    </row>
    <row r="35" spans="1:16" x14ac:dyDescent="0.25">
      <c r="A35" s="15"/>
      <c r="B35" s="15"/>
      <c r="C35">
        <v>40</v>
      </c>
      <c r="D35">
        <v>210</v>
      </c>
      <c r="E35">
        <v>140</v>
      </c>
      <c r="F35">
        <v>655</v>
      </c>
      <c r="G35">
        <v>1055</v>
      </c>
      <c r="H35">
        <v>25</v>
      </c>
      <c r="I35">
        <v>0</v>
      </c>
      <c r="J35">
        <v>0</v>
      </c>
      <c r="K35">
        <v>192.5</v>
      </c>
      <c r="L35">
        <v>14</v>
      </c>
      <c r="M35" s="10">
        <v>20.59</v>
      </c>
      <c r="N35" s="2">
        <f t="shared" si="0"/>
        <v>288.82899999999995</v>
      </c>
      <c r="O35" s="2">
        <f t="shared" si="1"/>
        <v>145.318625</v>
      </c>
      <c r="P35">
        <v>0</v>
      </c>
    </row>
    <row r="36" spans="1:16" x14ac:dyDescent="0.25">
      <c r="A36" s="15"/>
      <c r="B36" s="15"/>
      <c r="C36">
        <v>40</v>
      </c>
      <c r="D36">
        <v>210</v>
      </c>
      <c r="E36">
        <v>140</v>
      </c>
      <c r="F36">
        <v>655</v>
      </c>
      <c r="G36">
        <v>1055</v>
      </c>
      <c r="H36">
        <v>25</v>
      </c>
      <c r="I36">
        <v>0</v>
      </c>
      <c r="J36">
        <v>0</v>
      </c>
      <c r="K36">
        <v>192.5</v>
      </c>
      <c r="L36">
        <v>56</v>
      </c>
      <c r="M36" s="10">
        <v>19.8</v>
      </c>
      <c r="N36" s="2">
        <f t="shared" si="0"/>
        <v>288.82899999999995</v>
      </c>
      <c r="O36" s="2">
        <f t="shared" si="1"/>
        <v>145.318625</v>
      </c>
      <c r="P36">
        <v>0</v>
      </c>
    </row>
    <row r="37" spans="1:16" x14ac:dyDescent="0.25">
      <c r="A37" s="15"/>
      <c r="B37" s="15"/>
      <c r="C37">
        <v>40</v>
      </c>
      <c r="D37">
        <v>210</v>
      </c>
      <c r="E37">
        <v>140</v>
      </c>
      <c r="F37">
        <v>655</v>
      </c>
      <c r="G37">
        <v>1055</v>
      </c>
      <c r="H37">
        <v>25</v>
      </c>
      <c r="I37">
        <v>0</v>
      </c>
      <c r="J37">
        <v>0</v>
      </c>
      <c r="K37">
        <v>192.5</v>
      </c>
      <c r="L37">
        <v>90</v>
      </c>
      <c r="M37" s="10">
        <v>21.64</v>
      </c>
      <c r="N37" s="2">
        <f t="shared" si="0"/>
        <v>288.82899999999995</v>
      </c>
      <c r="O37" s="2">
        <f t="shared" si="1"/>
        <v>145.318625</v>
      </c>
      <c r="P37">
        <v>0</v>
      </c>
    </row>
    <row r="38" spans="1:16" x14ac:dyDescent="0.25">
      <c r="A38" s="15"/>
      <c r="B38" s="15"/>
      <c r="C38">
        <v>45</v>
      </c>
      <c r="D38">
        <v>192.5</v>
      </c>
      <c r="E38">
        <v>157.5</v>
      </c>
      <c r="F38">
        <v>655</v>
      </c>
      <c r="G38">
        <v>1055</v>
      </c>
      <c r="H38">
        <v>25</v>
      </c>
      <c r="I38">
        <v>0</v>
      </c>
      <c r="J38">
        <v>0</v>
      </c>
      <c r="K38">
        <v>192.5</v>
      </c>
      <c r="L38">
        <v>7</v>
      </c>
      <c r="M38" s="10">
        <v>12.7</v>
      </c>
      <c r="N38" s="2">
        <f t="shared" si="0"/>
        <v>275.17899999999997</v>
      </c>
      <c r="O38" s="2">
        <f t="shared" si="1"/>
        <v>138.71237500000001</v>
      </c>
      <c r="P38">
        <v>0</v>
      </c>
    </row>
    <row r="39" spans="1:16" x14ac:dyDescent="0.25">
      <c r="A39" s="15"/>
      <c r="B39" s="15"/>
      <c r="C39">
        <v>45</v>
      </c>
      <c r="D39">
        <v>192.5</v>
      </c>
      <c r="E39">
        <v>157.5</v>
      </c>
      <c r="F39">
        <v>655</v>
      </c>
      <c r="G39">
        <v>1055</v>
      </c>
      <c r="H39">
        <v>25</v>
      </c>
      <c r="I39">
        <v>0</v>
      </c>
      <c r="J39">
        <v>0</v>
      </c>
      <c r="K39">
        <v>192.5</v>
      </c>
      <c r="L39">
        <v>14</v>
      </c>
      <c r="M39" s="10">
        <v>18.09</v>
      </c>
      <c r="N39" s="2">
        <f t="shared" si="0"/>
        <v>275.17899999999997</v>
      </c>
      <c r="O39" s="2">
        <f t="shared" si="1"/>
        <v>138.71237500000001</v>
      </c>
      <c r="P39">
        <v>0</v>
      </c>
    </row>
    <row r="40" spans="1:16" x14ac:dyDescent="0.25">
      <c r="A40" s="15"/>
      <c r="B40" s="15"/>
      <c r="C40">
        <v>45</v>
      </c>
      <c r="D40">
        <v>192.5</v>
      </c>
      <c r="E40">
        <v>157.5</v>
      </c>
      <c r="F40">
        <v>655</v>
      </c>
      <c r="G40">
        <v>1055</v>
      </c>
      <c r="H40">
        <v>25</v>
      </c>
      <c r="I40">
        <v>0</v>
      </c>
      <c r="J40">
        <v>0</v>
      </c>
      <c r="K40">
        <v>192.5</v>
      </c>
      <c r="L40">
        <v>56</v>
      </c>
      <c r="M40" s="10">
        <v>21.84</v>
      </c>
      <c r="N40" s="2">
        <f t="shared" si="0"/>
        <v>275.17899999999997</v>
      </c>
      <c r="O40" s="2">
        <f t="shared" si="1"/>
        <v>138.71237500000001</v>
      </c>
      <c r="P40">
        <v>0</v>
      </c>
    </row>
    <row r="41" spans="1:16" x14ac:dyDescent="0.25">
      <c r="A41" s="15"/>
      <c r="B41" s="15"/>
      <c r="C41">
        <v>45</v>
      </c>
      <c r="D41">
        <v>192.5</v>
      </c>
      <c r="E41">
        <v>157.5</v>
      </c>
      <c r="F41">
        <v>655</v>
      </c>
      <c r="G41">
        <v>1055</v>
      </c>
      <c r="H41">
        <v>25</v>
      </c>
      <c r="I41">
        <v>0</v>
      </c>
      <c r="J41">
        <v>0</v>
      </c>
      <c r="K41">
        <v>192.5</v>
      </c>
      <c r="L41">
        <v>90</v>
      </c>
      <c r="M41" s="10">
        <v>19.68</v>
      </c>
      <c r="N41" s="2">
        <f t="shared" si="0"/>
        <v>275.17899999999997</v>
      </c>
      <c r="O41" s="2">
        <f t="shared" si="1"/>
        <v>138.71237500000001</v>
      </c>
      <c r="P41">
        <v>0</v>
      </c>
    </row>
    <row r="42" spans="1:16" x14ac:dyDescent="0.25">
      <c r="A42" s="15"/>
      <c r="B42" s="15"/>
      <c r="C42">
        <v>50</v>
      </c>
      <c r="D42">
        <v>175</v>
      </c>
      <c r="E42">
        <v>175</v>
      </c>
      <c r="F42">
        <v>655</v>
      </c>
      <c r="G42">
        <v>1055</v>
      </c>
      <c r="H42">
        <v>25</v>
      </c>
      <c r="I42">
        <v>0</v>
      </c>
      <c r="J42">
        <v>0</v>
      </c>
      <c r="K42">
        <v>192.5</v>
      </c>
      <c r="L42">
        <v>7</v>
      </c>
      <c r="M42" s="10">
        <v>15.65</v>
      </c>
      <c r="N42" s="2">
        <f t="shared" si="0"/>
        <v>261.529</v>
      </c>
      <c r="O42" s="2">
        <f t="shared" si="1"/>
        <v>132.10612499999999</v>
      </c>
      <c r="P42">
        <v>0</v>
      </c>
    </row>
    <row r="43" spans="1:16" x14ac:dyDescent="0.25">
      <c r="A43" s="15"/>
      <c r="B43" s="15"/>
      <c r="C43">
        <v>50</v>
      </c>
      <c r="D43">
        <v>175</v>
      </c>
      <c r="E43">
        <v>175</v>
      </c>
      <c r="F43">
        <v>655</v>
      </c>
      <c r="G43">
        <v>1055</v>
      </c>
      <c r="H43">
        <v>25</v>
      </c>
      <c r="I43">
        <v>0</v>
      </c>
      <c r="J43">
        <v>0</v>
      </c>
      <c r="K43">
        <v>192.5</v>
      </c>
      <c r="L43">
        <v>14</v>
      </c>
      <c r="M43" s="10">
        <v>12.59</v>
      </c>
      <c r="N43" s="2">
        <f t="shared" si="0"/>
        <v>261.529</v>
      </c>
      <c r="O43" s="2">
        <f t="shared" si="1"/>
        <v>132.10612499999999</v>
      </c>
      <c r="P43">
        <v>0</v>
      </c>
    </row>
    <row r="44" spans="1:16" x14ac:dyDescent="0.25">
      <c r="A44" s="15"/>
      <c r="B44" s="15"/>
      <c r="C44">
        <v>50</v>
      </c>
      <c r="D44">
        <v>175</v>
      </c>
      <c r="E44">
        <v>175</v>
      </c>
      <c r="F44">
        <v>655</v>
      </c>
      <c r="G44">
        <v>1055</v>
      </c>
      <c r="H44">
        <v>25</v>
      </c>
      <c r="I44">
        <v>0</v>
      </c>
      <c r="J44">
        <v>0</v>
      </c>
      <c r="K44">
        <v>192.5</v>
      </c>
      <c r="L44">
        <v>56</v>
      </c>
      <c r="M44" s="10">
        <v>17.05</v>
      </c>
      <c r="N44" s="2">
        <f t="shared" si="0"/>
        <v>261.529</v>
      </c>
      <c r="O44" s="2">
        <f t="shared" si="1"/>
        <v>132.10612499999999</v>
      </c>
      <c r="P44">
        <v>0</v>
      </c>
    </row>
    <row r="45" spans="1:16" x14ac:dyDescent="0.25">
      <c r="A45" s="15"/>
      <c r="B45" s="15"/>
      <c r="C45">
        <v>50</v>
      </c>
      <c r="D45">
        <v>175</v>
      </c>
      <c r="E45">
        <v>175</v>
      </c>
      <c r="F45">
        <v>655</v>
      </c>
      <c r="G45">
        <v>1055</v>
      </c>
      <c r="H45">
        <v>25</v>
      </c>
      <c r="I45">
        <v>0</v>
      </c>
      <c r="J45">
        <v>0</v>
      </c>
      <c r="K45">
        <v>192.5</v>
      </c>
      <c r="L45">
        <v>90</v>
      </c>
      <c r="M45" s="10">
        <v>22.68</v>
      </c>
      <c r="N45" s="2">
        <f t="shared" si="0"/>
        <v>261.529</v>
      </c>
      <c r="O45" s="2">
        <f t="shared" si="1"/>
        <v>132.10612499999999</v>
      </c>
      <c r="P45">
        <v>0</v>
      </c>
    </row>
    <row r="46" spans="1:16" x14ac:dyDescent="0.25">
      <c r="A46" s="15" t="s">
        <v>103</v>
      </c>
      <c r="B46" s="15" t="s">
        <v>104</v>
      </c>
      <c r="C46">
        <v>0</v>
      </c>
      <c r="D46">
        <v>408.2</v>
      </c>
      <c r="E46">
        <v>0</v>
      </c>
      <c r="F46">
        <v>761.5</v>
      </c>
      <c r="G46">
        <v>1141</v>
      </c>
      <c r="H46">
        <v>0</v>
      </c>
      <c r="I46">
        <v>0</v>
      </c>
      <c r="J46">
        <v>0</v>
      </c>
      <c r="K46">
        <v>142.5</v>
      </c>
      <c r="L46">
        <v>14</v>
      </c>
      <c r="M46" s="10">
        <v>31.07</v>
      </c>
      <c r="N46" s="2">
        <f t="shared" ref="N46:N85" si="2">SUM((D46*0.83)+(E46*0.05)+(F46*0.0139)+(G46*0.0459)+(H46*2))</f>
        <v>401.76274999999998</v>
      </c>
      <c r="O46" s="2">
        <f t="shared" si="1"/>
        <v>185.69791249999997</v>
      </c>
      <c r="P46">
        <v>0</v>
      </c>
    </row>
    <row r="47" spans="1:16" x14ac:dyDescent="0.25">
      <c r="A47" s="15"/>
      <c r="B47" s="15"/>
      <c r="C47">
        <v>0</v>
      </c>
      <c r="D47">
        <v>408.2</v>
      </c>
      <c r="E47">
        <v>0</v>
      </c>
      <c r="F47">
        <v>761.5</v>
      </c>
      <c r="G47">
        <v>1141</v>
      </c>
      <c r="H47">
        <v>0</v>
      </c>
      <c r="I47">
        <v>0</v>
      </c>
      <c r="J47">
        <v>0</v>
      </c>
      <c r="K47">
        <v>142.5</v>
      </c>
      <c r="L47">
        <v>56</v>
      </c>
      <c r="M47" s="10">
        <v>28.63</v>
      </c>
      <c r="N47" s="2">
        <f t="shared" si="2"/>
        <v>401.76274999999998</v>
      </c>
      <c r="O47" s="2">
        <f t="shared" si="1"/>
        <v>185.69791249999997</v>
      </c>
      <c r="P47">
        <v>0</v>
      </c>
    </row>
    <row r="48" spans="1:16" x14ac:dyDescent="0.25">
      <c r="A48" s="15"/>
      <c r="B48" s="15"/>
      <c r="C48">
        <v>0</v>
      </c>
      <c r="D48">
        <v>408.2</v>
      </c>
      <c r="E48">
        <v>0</v>
      </c>
      <c r="F48">
        <v>761.5</v>
      </c>
      <c r="G48">
        <v>1141</v>
      </c>
      <c r="H48">
        <v>0</v>
      </c>
      <c r="I48">
        <v>0</v>
      </c>
      <c r="J48">
        <v>0</v>
      </c>
      <c r="K48">
        <v>142.5</v>
      </c>
      <c r="L48">
        <v>90</v>
      </c>
      <c r="M48" s="10">
        <v>33.46</v>
      </c>
      <c r="N48" s="2">
        <f t="shared" si="2"/>
        <v>401.76274999999998</v>
      </c>
      <c r="O48" s="2">
        <f t="shared" si="1"/>
        <v>185.69791249999997</v>
      </c>
      <c r="P48">
        <v>0</v>
      </c>
    </row>
    <row r="49" spans="1:16" x14ac:dyDescent="0.25">
      <c r="A49" s="15"/>
      <c r="B49" s="15"/>
      <c r="C49">
        <v>5</v>
      </c>
      <c r="D49">
        <v>387.79</v>
      </c>
      <c r="E49">
        <v>20.41</v>
      </c>
      <c r="F49">
        <v>761.5</v>
      </c>
      <c r="G49">
        <v>1141</v>
      </c>
      <c r="H49">
        <v>0</v>
      </c>
      <c r="I49">
        <v>0</v>
      </c>
      <c r="J49">
        <v>0</v>
      </c>
      <c r="K49">
        <v>142.5</v>
      </c>
      <c r="L49">
        <v>14</v>
      </c>
      <c r="M49" s="10">
        <v>26.58</v>
      </c>
      <c r="N49" s="2">
        <f t="shared" si="2"/>
        <v>385.84295000000003</v>
      </c>
      <c r="O49" s="2">
        <f t="shared" si="1"/>
        <v>177.99313749999999</v>
      </c>
      <c r="P49">
        <v>0</v>
      </c>
    </row>
    <row r="50" spans="1:16" x14ac:dyDescent="0.25">
      <c r="A50" s="15"/>
      <c r="B50" s="15"/>
      <c r="C50">
        <v>5</v>
      </c>
      <c r="D50">
        <v>387.79</v>
      </c>
      <c r="E50">
        <v>20.41</v>
      </c>
      <c r="F50">
        <v>761.5</v>
      </c>
      <c r="G50">
        <v>1141</v>
      </c>
      <c r="H50">
        <v>0</v>
      </c>
      <c r="I50">
        <v>0</v>
      </c>
      <c r="J50">
        <v>0</v>
      </c>
      <c r="K50">
        <v>142.5</v>
      </c>
      <c r="L50">
        <v>56</v>
      </c>
      <c r="M50" s="10">
        <v>28.43</v>
      </c>
      <c r="N50" s="2">
        <f t="shared" si="2"/>
        <v>385.84295000000003</v>
      </c>
      <c r="O50" s="2">
        <f t="shared" si="1"/>
        <v>177.99313749999999</v>
      </c>
      <c r="P50">
        <v>0</v>
      </c>
    </row>
    <row r="51" spans="1:16" x14ac:dyDescent="0.25">
      <c r="A51" s="15"/>
      <c r="B51" s="15"/>
      <c r="C51">
        <v>5</v>
      </c>
      <c r="D51">
        <v>387.79</v>
      </c>
      <c r="E51">
        <v>20.41</v>
      </c>
      <c r="F51">
        <v>761.5</v>
      </c>
      <c r="G51">
        <v>1141</v>
      </c>
      <c r="H51">
        <v>0</v>
      </c>
      <c r="I51">
        <v>0</v>
      </c>
      <c r="J51">
        <v>0</v>
      </c>
      <c r="K51">
        <v>142.5</v>
      </c>
      <c r="L51">
        <v>90</v>
      </c>
      <c r="M51" s="10">
        <v>28.32</v>
      </c>
      <c r="N51" s="2">
        <f t="shared" si="2"/>
        <v>385.84295000000003</v>
      </c>
      <c r="O51" s="2">
        <f t="shared" si="1"/>
        <v>177.99313749999999</v>
      </c>
      <c r="P51">
        <v>0</v>
      </c>
    </row>
    <row r="52" spans="1:16" x14ac:dyDescent="0.25">
      <c r="A52" s="15"/>
      <c r="B52" s="15"/>
      <c r="C52">
        <v>10</v>
      </c>
      <c r="D52">
        <v>367.38</v>
      </c>
      <c r="E52">
        <v>40.82</v>
      </c>
      <c r="F52">
        <v>761.5</v>
      </c>
      <c r="G52">
        <v>1141</v>
      </c>
      <c r="H52">
        <v>0</v>
      </c>
      <c r="I52">
        <v>0</v>
      </c>
      <c r="J52">
        <v>0</v>
      </c>
      <c r="K52">
        <v>142.5</v>
      </c>
      <c r="L52">
        <v>14</v>
      </c>
      <c r="M52" s="10">
        <v>27.41</v>
      </c>
      <c r="N52" s="2">
        <f t="shared" si="2"/>
        <v>369.92314999999996</v>
      </c>
      <c r="O52" s="2">
        <f t="shared" si="1"/>
        <v>170.28836250000003</v>
      </c>
      <c r="P52">
        <v>0</v>
      </c>
    </row>
    <row r="53" spans="1:16" x14ac:dyDescent="0.25">
      <c r="A53" s="15"/>
      <c r="B53" s="15"/>
      <c r="C53">
        <v>10</v>
      </c>
      <c r="D53">
        <v>367.38</v>
      </c>
      <c r="E53">
        <v>40.82</v>
      </c>
      <c r="F53">
        <v>761.5</v>
      </c>
      <c r="G53">
        <v>1141</v>
      </c>
      <c r="H53">
        <v>0</v>
      </c>
      <c r="I53">
        <v>0</v>
      </c>
      <c r="J53">
        <v>0</v>
      </c>
      <c r="K53">
        <v>142.5</v>
      </c>
      <c r="L53">
        <v>56</v>
      </c>
      <c r="M53" s="10">
        <v>31.84</v>
      </c>
      <c r="N53" s="2">
        <f t="shared" si="2"/>
        <v>369.92314999999996</v>
      </c>
      <c r="O53" s="2">
        <f t="shared" si="1"/>
        <v>170.28836250000003</v>
      </c>
      <c r="P53">
        <v>0</v>
      </c>
    </row>
    <row r="54" spans="1:16" x14ac:dyDescent="0.25">
      <c r="A54" s="15"/>
      <c r="B54" s="15"/>
      <c r="C54">
        <v>10</v>
      </c>
      <c r="D54">
        <v>367.38</v>
      </c>
      <c r="E54">
        <v>40.82</v>
      </c>
      <c r="F54">
        <v>761.5</v>
      </c>
      <c r="G54">
        <v>1141</v>
      </c>
      <c r="H54">
        <v>0</v>
      </c>
      <c r="I54">
        <v>0</v>
      </c>
      <c r="J54">
        <v>0</v>
      </c>
      <c r="K54">
        <v>142.5</v>
      </c>
      <c r="L54">
        <v>90</v>
      </c>
      <c r="M54" s="10">
        <v>29.52</v>
      </c>
      <c r="N54" s="2">
        <f t="shared" si="2"/>
        <v>369.92314999999996</v>
      </c>
      <c r="O54" s="2">
        <f t="shared" si="1"/>
        <v>170.28836250000003</v>
      </c>
      <c r="P54">
        <v>0</v>
      </c>
    </row>
    <row r="55" spans="1:16" x14ac:dyDescent="0.25">
      <c r="A55" s="15"/>
      <c r="B55" s="15"/>
      <c r="C55">
        <v>15</v>
      </c>
      <c r="D55">
        <v>346.97</v>
      </c>
      <c r="E55">
        <v>61.23</v>
      </c>
      <c r="F55">
        <v>761.5</v>
      </c>
      <c r="G55">
        <v>1141</v>
      </c>
      <c r="H55">
        <v>0</v>
      </c>
      <c r="I55">
        <v>0</v>
      </c>
      <c r="J55">
        <v>0</v>
      </c>
      <c r="K55">
        <v>142.5</v>
      </c>
      <c r="L55">
        <v>14</v>
      </c>
      <c r="M55" s="10">
        <v>23.11</v>
      </c>
      <c r="N55" s="2">
        <f t="shared" si="2"/>
        <v>354.00335000000001</v>
      </c>
      <c r="O55" s="2">
        <f t="shared" si="1"/>
        <v>162.58358750000002</v>
      </c>
      <c r="P55">
        <v>0</v>
      </c>
    </row>
    <row r="56" spans="1:16" x14ac:dyDescent="0.25">
      <c r="A56" s="15"/>
      <c r="B56" s="15"/>
      <c r="C56">
        <v>15</v>
      </c>
      <c r="D56">
        <v>346.97</v>
      </c>
      <c r="E56">
        <v>61.23</v>
      </c>
      <c r="F56">
        <v>761.5</v>
      </c>
      <c r="G56">
        <v>1141</v>
      </c>
      <c r="H56">
        <v>0</v>
      </c>
      <c r="I56">
        <v>0</v>
      </c>
      <c r="J56">
        <v>0</v>
      </c>
      <c r="K56">
        <v>142.5</v>
      </c>
      <c r="L56">
        <v>56</v>
      </c>
      <c r="M56" s="10">
        <v>29.89</v>
      </c>
      <c r="N56" s="2">
        <f t="shared" si="2"/>
        <v>354.00335000000001</v>
      </c>
      <c r="O56" s="2">
        <f t="shared" si="1"/>
        <v>162.58358750000002</v>
      </c>
      <c r="P56">
        <v>0</v>
      </c>
    </row>
    <row r="57" spans="1:16" x14ac:dyDescent="0.25">
      <c r="A57" s="15"/>
      <c r="B57" s="15"/>
      <c r="C57">
        <v>15</v>
      </c>
      <c r="D57">
        <v>346.97</v>
      </c>
      <c r="E57">
        <v>61.23</v>
      </c>
      <c r="F57">
        <v>761.5</v>
      </c>
      <c r="G57">
        <v>1141</v>
      </c>
      <c r="H57">
        <v>0</v>
      </c>
      <c r="I57">
        <v>0</v>
      </c>
      <c r="J57">
        <v>0</v>
      </c>
      <c r="K57">
        <v>142.5</v>
      </c>
      <c r="L57">
        <v>90</v>
      </c>
      <c r="M57" s="10">
        <v>30.48</v>
      </c>
      <c r="N57" s="2">
        <f t="shared" si="2"/>
        <v>354.00335000000001</v>
      </c>
      <c r="O57" s="2">
        <f t="shared" si="1"/>
        <v>162.58358750000002</v>
      </c>
      <c r="P57">
        <v>0</v>
      </c>
    </row>
    <row r="58" spans="1:16" x14ac:dyDescent="0.25">
      <c r="A58" s="15"/>
      <c r="B58" s="15"/>
      <c r="C58">
        <v>20</v>
      </c>
      <c r="D58">
        <v>326.56</v>
      </c>
      <c r="E58">
        <v>81.64</v>
      </c>
      <c r="F58">
        <v>761.5</v>
      </c>
      <c r="G58">
        <v>1141</v>
      </c>
      <c r="H58">
        <v>0</v>
      </c>
      <c r="I58">
        <v>0</v>
      </c>
      <c r="J58">
        <v>0</v>
      </c>
      <c r="K58">
        <v>142.5</v>
      </c>
      <c r="L58">
        <v>14</v>
      </c>
      <c r="M58" s="10">
        <v>23.37</v>
      </c>
      <c r="N58" s="2">
        <f t="shared" si="2"/>
        <v>338.08355</v>
      </c>
      <c r="O58" s="2">
        <f t="shared" si="1"/>
        <v>154.87881250000001</v>
      </c>
      <c r="P58">
        <v>0</v>
      </c>
    </row>
    <row r="59" spans="1:16" x14ac:dyDescent="0.25">
      <c r="A59" s="15"/>
      <c r="B59" s="15"/>
      <c r="C59">
        <v>20</v>
      </c>
      <c r="D59">
        <v>326.56</v>
      </c>
      <c r="E59">
        <v>81.64</v>
      </c>
      <c r="F59">
        <v>761.5</v>
      </c>
      <c r="G59">
        <v>1141</v>
      </c>
      <c r="H59">
        <v>0</v>
      </c>
      <c r="I59">
        <v>0</v>
      </c>
      <c r="J59">
        <v>0</v>
      </c>
      <c r="K59">
        <v>142.5</v>
      </c>
      <c r="L59">
        <v>56</v>
      </c>
      <c r="M59" s="10">
        <v>23.98</v>
      </c>
      <c r="N59" s="2">
        <f t="shared" si="2"/>
        <v>338.08355</v>
      </c>
      <c r="O59" s="2">
        <f t="shared" si="1"/>
        <v>154.87881250000001</v>
      </c>
      <c r="P59">
        <v>0</v>
      </c>
    </row>
    <row r="60" spans="1:16" x14ac:dyDescent="0.25">
      <c r="A60" s="15"/>
      <c r="B60" s="15"/>
      <c r="C60">
        <v>20</v>
      </c>
      <c r="D60">
        <v>326.56</v>
      </c>
      <c r="E60">
        <v>81.64</v>
      </c>
      <c r="F60">
        <v>761.5</v>
      </c>
      <c r="G60">
        <v>1141</v>
      </c>
      <c r="H60">
        <v>0</v>
      </c>
      <c r="I60">
        <v>0</v>
      </c>
      <c r="J60">
        <v>0</v>
      </c>
      <c r="K60">
        <v>142.5</v>
      </c>
      <c r="L60">
        <v>90</v>
      </c>
      <c r="M60" s="10">
        <v>27.75</v>
      </c>
      <c r="N60" s="2">
        <f t="shared" si="2"/>
        <v>338.08355</v>
      </c>
      <c r="O60" s="2">
        <f t="shared" si="1"/>
        <v>154.87881250000001</v>
      </c>
      <c r="P60">
        <v>0</v>
      </c>
    </row>
    <row r="61" spans="1:16" x14ac:dyDescent="0.25">
      <c r="A61" s="15"/>
      <c r="B61" s="15"/>
      <c r="C61">
        <v>25</v>
      </c>
      <c r="D61">
        <v>306.14999999999998</v>
      </c>
      <c r="E61">
        <v>102.05</v>
      </c>
      <c r="F61">
        <v>761.5</v>
      </c>
      <c r="G61">
        <v>1141</v>
      </c>
      <c r="H61">
        <v>0</v>
      </c>
      <c r="I61">
        <v>0</v>
      </c>
      <c r="J61">
        <v>0</v>
      </c>
      <c r="K61">
        <v>142.5</v>
      </c>
      <c r="L61">
        <v>14</v>
      </c>
      <c r="M61" s="10">
        <v>21.79</v>
      </c>
      <c r="N61" s="2">
        <f t="shared" si="2"/>
        <v>322.16374999999999</v>
      </c>
      <c r="O61" s="2">
        <f t="shared" si="1"/>
        <v>147.1740375</v>
      </c>
      <c r="P61">
        <v>0</v>
      </c>
    </row>
    <row r="62" spans="1:16" x14ac:dyDescent="0.25">
      <c r="A62" s="15"/>
      <c r="B62" s="15"/>
      <c r="C62">
        <v>25</v>
      </c>
      <c r="D62">
        <v>306.14999999999998</v>
      </c>
      <c r="E62">
        <v>102.05</v>
      </c>
      <c r="F62">
        <v>761.5</v>
      </c>
      <c r="G62">
        <v>1141</v>
      </c>
      <c r="H62">
        <v>0</v>
      </c>
      <c r="I62">
        <v>0</v>
      </c>
      <c r="J62">
        <v>0</v>
      </c>
      <c r="K62">
        <v>142.5</v>
      </c>
      <c r="L62">
        <v>56</v>
      </c>
      <c r="M62" s="10">
        <v>23.12</v>
      </c>
      <c r="N62" s="2">
        <f t="shared" si="2"/>
        <v>322.16374999999999</v>
      </c>
      <c r="O62" s="2">
        <f t="shared" si="1"/>
        <v>147.1740375</v>
      </c>
      <c r="P62">
        <v>0</v>
      </c>
    </row>
    <row r="63" spans="1:16" x14ac:dyDescent="0.25">
      <c r="A63" s="15"/>
      <c r="B63" s="15"/>
      <c r="C63">
        <v>25</v>
      </c>
      <c r="D63">
        <v>306.14999999999998</v>
      </c>
      <c r="E63">
        <v>102.05</v>
      </c>
      <c r="F63">
        <v>761.5</v>
      </c>
      <c r="G63">
        <v>1141</v>
      </c>
      <c r="H63">
        <v>0</v>
      </c>
      <c r="I63">
        <v>0</v>
      </c>
      <c r="J63">
        <v>0</v>
      </c>
      <c r="K63">
        <v>142.5</v>
      </c>
      <c r="L63">
        <v>90</v>
      </c>
      <c r="M63" s="10">
        <v>27.8</v>
      </c>
      <c r="N63" s="2">
        <f t="shared" si="2"/>
        <v>322.16374999999999</v>
      </c>
      <c r="O63" s="2">
        <f t="shared" si="1"/>
        <v>147.1740375</v>
      </c>
      <c r="P63">
        <v>0</v>
      </c>
    </row>
    <row r="64" spans="1:16" x14ac:dyDescent="0.25">
      <c r="A64" s="15"/>
      <c r="B64" s="15"/>
      <c r="C64">
        <v>30</v>
      </c>
      <c r="D64">
        <v>285.74</v>
      </c>
      <c r="E64">
        <v>122.46</v>
      </c>
      <c r="F64">
        <v>761.5</v>
      </c>
      <c r="G64">
        <v>1141</v>
      </c>
      <c r="H64">
        <v>0</v>
      </c>
      <c r="I64">
        <v>0</v>
      </c>
      <c r="J64">
        <v>0</v>
      </c>
      <c r="K64">
        <v>142.5</v>
      </c>
      <c r="L64">
        <v>14</v>
      </c>
      <c r="M64" s="10">
        <v>21.68</v>
      </c>
      <c r="N64" s="2">
        <f t="shared" si="2"/>
        <v>306.24394999999998</v>
      </c>
      <c r="O64" s="2">
        <f t="shared" si="1"/>
        <v>139.46926250000001</v>
      </c>
      <c r="P64">
        <v>0</v>
      </c>
    </row>
    <row r="65" spans="1:16" x14ac:dyDescent="0.25">
      <c r="A65" s="15"/>
      <c r="B65" s="15"/>
      <c r="C65">
        <v>30</v>
      </c>
      <c r="D65">
        <v>285.74</v>
      </c>
      <c r="E65">
        <v>122.46</v>
      </c>
      <c r="F65">
        <v>761.5</v>
      </c>
      <c r="G65">
        <v>1141</v>
      </c>
      <c r="H65">
        <v>0</v>
      </c>
      <c r="I65">
        <v>0</v>
      </c>
      <c r="J65">
        <v>0</v>
      </c>
      <c r="K65">
        <v>142.5</v>
      </c>
      <c r="L65">
        <v>56</v>
      </c>
      <c r="M65" s="10">
        <v>27.44</v>
      </c>
      <c r="N65" s="2">
        <f t="shared" si="2"/>
        <v>306.24394999999998</v>
      </c>
      <c r="O65" s="2">
        <f t="shared" si="1"/>
        <v>139.46926250000001</v>
      </c>
      <c r="P65">
        <v>0</v>
      </c>
    </row>
    <row r="66" spans="1:16" x14ac:dyDescent="0.25">
      <c r="A66" s="15"/>
      <c r="B66" s="15"/>
      <c r="C66">
        <v>30</v>
      </c>
      <c r="D66">
        <v>285.74</v>
      </c>
      <c r="E66">
        <v>122.46</v>
      </c>
      <c r="F66">
        <v>761.5</v>
      </c>
      <c r="G66">
        <v>1141</v>
      </c>
      <c r="H66">
        <v>0</v>
      </c>
      <c r="I66">
        <v>0</v>
      </c>
      <c r="J66">
        <v>0</v>
      </c>
      <c r="K66">
        <v>142.5</v>
      </c>
      <c r="L66">
        <v>90</v>
      </c>
      <c r="M66" s="10">
        <v>25.06</v>
      </c>
      <c r="N66" s="2">
        <f t="shared" si="2"/>
        <v>306.24394999999998</v>
      </c>
      <c r="O66" s="2">
        <f t="shared" si="1"/>
        <v>139.46926250000001</v>
      </c>
      <c r="P66">
        <v>0</v>
      </c>
    </row>
    <row r="67" spans="1:16" x14ac:dyDescent="0.25">
      <c r="A67" s="15"/>
      <c r="B67" s="15"/>
      <c r="C67">
        <v>35</v>
      </c>
      <c r="D67">
        <v>265.33</v>
      </c>
      <c r="E67">
        <v>142.87</v>
      </c>
      <c r="F67">
        <v>761.5</v>
      </c>
      <c r="G67">
        <v>1141</v>
      </c>
      <c r="H67">
        <v>0</v>
      </c>
      <c r="I67">
        <v>0</v>
      </c>
      <c r="J67">
        <v>0</v>
      </c>
      <c r="K67">
        <v>142.5</v>
      </c>
      <c r="L67">
        <v>14</v>
      </c>
      <c r="M67" s="10">
        <v>21.82</v>
      </c>
      <c r="N67" s="2">
        <f t="shared" si="2"/>
        <v>290.32414999999997</v>
      </c>
      <c r="O67" s="2">
        <f t="shared" ref="O67:O130" si="3">SUM((D67*5)+((F67*0.25)+(G67*0.2)+(H67*20)))*0.0755</f>
        <v>131.7644875</v>
      </c>
      <c r="P67">
        <v>0</v>
      </c>
    </row>
    <row r="68" spans="1:16" x14ac:dyDescent="0.25">
      <c r="A68" s="15"/>
      <c r="B68" s="15"/>
      <c r="C68">
        <v>35</v>
      </c>
      <c r="D68">
        <v>265.33</v>
      </c>
      <c r="E68">
        <v>142.87</v>
      </c>
      <c r="F68">
        <v>761.5</v>
      </c>
      <c r="G68">
        <v>1141</v>
      </c>
      <c r="H68">
        <v>0</v>
      </c>
      <c r="I68">
        <v>0</v>
      </c>
      <c r="J68">
        <v>0</v>
      </c>
      <c r="K68">
        <v>142.5</v>
      </c>
      <c r="L68">
        <v>56</v>
      </c>
      <c r="M68" s="10">
        <v>25.87</v>
      </c>
      <c r="N68" s="2">
        <f t="shared" si="2"/>
        <v>290.32414999999997</v>
      </c>
      <c r="O68" s="2">
        <f t="shared" si="3"/>
        <v>131.7644875</v>
      </c>
      <c r="P68">
        <v>0</v>
      </c>
    </row>
    <row r="69" spans="1:16" x14ac:dyDescent="0.25">
      <c r="A69" s="15"/>
      <c r="B69" s="15"/>
      <c r="C69">
        <v>35</v>
      </c>
      <c r="D69">
        <v>265.33</v>
      </c>
      <c r="E69">
        <v>142.87</v>
      </c>
      <c r="F69">
        <v>761.5</v>
      </c>
      <c r="G69">
        <v>1141</v>
      </c>
      <c r="H69">
        <v>0</v>
      </c>
      <c r="I69">
        <v>0</v>
      </c>
      <c r="J69">
        <v>0</v>
      </c>
      <c r="K69">
        <v>142.5</v>
      </c>
      <c r="L69">
        <v>90</v>
      </c>
      <c r="M69" s="10">
        <v>23.44</v>
      </c>
      <c r="N69" s="2">
        <f t="shared" si="2"/>
        <v>290.32414999999997</v>
      </c>
      <c r="O69" s="2">
        <f t="shared" si="3"/>
        <v>131.7644875</v>
      </c>
      <c r="P69">
        <v>0</v>
      </c>
    </row>
    <row r="70" spans="1:16" x14ac:dyDescent="0.25">
      <c r="A70" s="15"/>
      <c r="B70" s="15"/>
      <c r="C70">
        <v>40</v>
      </c>
      <c r="D70">
        <v>244.92</v>
      </c>
      <c r="E70">
        <v>163.28</v>
      </c>
      <c r="F70">
        <v>761.5</v>
      </c>
      <c r="G70">
        <v>1141</v>
      </c>
      <c r="H70">
        <v>0</v>
      </c>
      <c r="I70">
        <v>0</v>
      </c>
      <c r="J70">
        <v>0</v>
      </c>
      <c r="K70">
        <v>142.5</v>
      </c>
      <c r="L70">
        <v>14</v>
      </c>
      <c r="M70" s="10">
        <v>18.32</v>
      </c>
      <c r="N70" s="2">
        <f t="shared" si="2"/>
        <v>274.40434999999997</v>
      </c>
      <c r="O70" s="2">
        <f t="shared" si="3"/>
        <v>124.05971249999999</v>
      </c>
      <c r="P70">
        <v>0</v>
      </c>
    </row>
    <row r="71" spans="1:16" x14ac:dyDescent="0.25">
      <c r="A71" s="15"/>
      <c r="B71" s="15"/>
      <c r="C71">
        <v>40</v>
      </c>
      <c r="D71">
        <v>244.92</v>
      </c>
      <c r="E71">
        <v>163.28</v>
      </c>
      <c r="F71">
        <v>761.5</v>
      </c>
      <c r="G71">
        <v>1141</v>
      </c>
      <c r="H71">
        <v>0</v>
      </c>
      <c r="I71">
        <v>0</v>
      </c>
      <c r="J71">
        <v>0</v>
      </c>
      <c r="K71">
        <v>142.5</v>
      </c>
      <c r="L71">
        <v>56</v>
      </c>
      <c r="M71" s="10">
        <v>23.56</v>
      </c>
      <c r="N71" s="2">
        <f t="shared" si="2"/>
        <v>274.40434999999997</v>
      </c>
      <c r="O71" s="2">
        <f t="shared" si="3"/>
        <v>124.05971249999999</v>
      </c>
      <c r="P71">
        <v>0</v>
      </c>
    </row>
    <row r="72" spans="1:16" x14ac:dyDescent="0.25">
      <c r="A72" s="15"/>
      <c r="B72" s="15"/>
      <c r="C72">
        <v>40</v>
      </c>
      <c r="D72">
        <v>244.92</v>
      </c>
      <c r="E72">
        <v>163.28</v>
      </c>
      <c r="F72">
        <v>761.5</v>
      </c>
      <c r="G72">
        <v>1141</v>
      </c>
      <c r="H72">
        <v>0</v>
      </c>
      <c r="I72">
        <v>0</v>
      </c>
      <c r="J72">
        <v>0</v>
      </c>
      <c r="K72">
        <v>142.5</v>
      </c>
      <c r="L72">
        <v>90</v>
      </c>
      <c r="M72" s="10">
        <v>23.39</v>
      </c>
      <c r="N72" s="2">
        <f t="shared" si="2"/>
        <v>274.40434999999997</v>
      </c>
      <c r="O72" s="2">
        <f t="shared" si="3"/>
        <v>124.05971249999999</v>
      </c>
      <c r="P72">
        <v>0</v>
      </c>
    </row>
    <row r="73" spans="1:16" x14ac:dyDescent="0.25">
      <c r="A73" s="15"/>
      <c r="B73" s="15"/>
      <c r="C73">
        <v>45</v>
      </c>
      <c r="D73">
        <v>224.51</v>
      </c>
      <c r="E73">
        <v>183.69</v>
      </c>
      <c r="F73">
        <v>761.5</v>
      </c>
      <c r="G73">
        <v>1141</v>
      </c>
      <c r="H73">
        <v>0</v>
      </c>
      <c r="I73">
        <v>0</v>
      </c>
      <c r="J73">
        <v>0</v>
      </c>
      <c r="K73">
        <v>142.5</v>
      </c>
      <c r="L73">
        <v>14</v>
      </c>
      <c r="M73" s="10">
        <v>19.440000000000001</v>
      </c>
      <c r="N73" s="2">
        <f t="shared" si="2"/>
        <v>258.48454999999996</v>
      </c>
      <c r="O73" s="2">
        <f t="shared" si="3"/>
        <v>116.35493749999999</v>
      </c>
      <c r="P73">
        <v>0</v>
      </c>
    </row>
    <row r="74" spans="1:16" x14ac:dyDescent="0.25">
      <c r="A74" s="15"/>
      <c r="B74" s="15"/>
      <c r="C74">
        <v>45</v>
      </c>
      <c r="D74">
        <v>224.51</v>
      </c>
      <c r="E74">
        <v>183.69</v>
      </c>
      <c r="F74">
        <v>761.5</v>
      </c>
      <c r="G74">
        <v>1141</v>
      </c>
      <c r="H74">
        <v>0</v>
      </c>
      <c r="I74">
        <v>0</v>
      </c>
      <c r="J74">
        <v>0</v>
      </c>
      <c r="K74">
        <v>142.5</v>
      </c>
      <c r="L74">
        <v>56</v>
      </c>
      <c r="M74" s="10">
        <v>22.91</v>
      </c>
      <c r="N74" s="2">
        <f t="shared" si="2"/>
        <v>258.48454999999996</v>
      </c>
      <c r="O74" s="2">
        <f t="shared" si="3"/>
        <v>116.35493749999999</v>
      </c>
      <c r="P74">
        <v>0</v>
      </c>
    </row>
    <row r="75" spans="1:16" x14ac:dyDescent="0.25">
      <c r="A75" s="15"/>
      <c r="B75" s="15"/>
      <c r="C75">
        <v>45</v>
      </c>
      <c r="D75">
        <v>224.51</v>
      </c>
      <c r="E75">
        <v>183.69</v>
      </c>
      <c r="F75">
        <v>761.5</v>
      </c>
      <c r="G75">
        <v>1141</v>
      </c>
      <c r="H75">
        <v>0</v>
      </c>
      <c r="I75">
        <v>0</v>
      </c>
      <c r="J75">
        <v>0</v>
      </c>
      <c r="K75">
        <v>142.5</v>
      </c>
      <c r="L75">
        <v>90</v>
      </c>
      <c r="M75" s="10">
        <v>23.78</v>
      </c>
      <c r="N75" s="2">
        <f t="shared" si="2"/>
        <v>258.48454999999996</v>
      </c>
      <c r="O75" s="2">
        <f t="shared" si="3"/>
        <v>116.35493749999999</v>
      </c>
      <c r="P75">
        <v>0</v>
      </c>
    </row>
    <row r="76" spans="1:16" x14ac:dyDescent="0.25">
      <c r="A76" s="15"/>
      <c r="B76" s="15"/>
      <c r="C76">
        <v>50</v>
      </c>
      <c r="D76">
        <v>204.1</v>
      </c>
      <c r="E76">
        <v>204.1</v>
      </c>
      <c r="F76">
        <v>761.5</v>
      </c>
      <c r="G76">
        <v>1141</v>
      </c>
      <c r="H76">
        <v>0</v>
      </c>
      <c r="I76">
        <v>0</v>
      </c>
      <c r="J76">
        <v>0</v>
      </c>
      <c r="K76">
        <v>142.5</v>
      </c>
      <c r="L76">
        <v>14</v>
      </c>
      <c r="M76" s="10">
        <v>16.14</v>
      </c>
      <c r="N76" s="2">
        <f t="shared" si="2"/>
        <v>242.56475</v>
      </c>
      <c r="O76" s="2">
        <f t="shared" si="3"/>
        <v>108.65016249999999</v>
      </c>
      <c r="P76">
        <v>0</v>
      </c>
    </row>
    <row r="77" spans="1:16" x14ac:dyDescent="0.25">
      <c r="A77" s="15"/>
      <c r="B77" s="15"/>
      <c r="C77">
        <v>50</v>
      </c>
      <c r="D77">
        <v>204.1</v>
      </c>
      <c r="E77">
        <v>204.1</v>
      </c>
      <c r="F77">
        <v>761.5</v>
      </c>
      <c r="G77">
        <v>1141</v>
      </c>
      <c r="H77">
        <v>0</v>
      </c>
      <c r="I77">
        <v>0</v>
      </c>
      <c r="J77">
        <v>0</v>
      </c>
      <c r="K77">
        <v>142.5</v>
      </c>
      <c r="L77">
        <v>56</v>
      </c>
      <c r="M77" s="10">
        <v>16.350000000000001</v>
      </c>
      <c r="N77" s="2">
        <f t="shared" si="2"/>
        <v>242.56475</v>
      </c>
      <c r="O77" s="2">
        <f t="shared" si="3"/>
        <v>108.65016249999999</v>
      </c>
      <c r="P77">
        <v>0</v>
      </c>
    </row>
    <row r="78" spans="1:16" x14ac:dyDescent="0.25">
      <c r="A78" s="15"/>
      <c r="B78" s="15"/>
      <c r="C78">
        <v>50</v>
      </c>
      <c r="D78">
        <v>204.1</v>
      </c>
      <c r="E78">
        <v>204.1</v>
      </c>
      <c r="F78">
        <v>761.5</v>
      </c>
      <c r="G78">
        <v>1141</v>
      </c>
      <c r="H78">
        <v>0</v>
      </c>
      <c r="I78">
        <v>0</v>
      </c>
      <c r="J78">
        <v>0</v>
      </c>
      <c r="K78">
        <v>142.5</v>
      </c>
      <c r="L78">
        <v>90</v>
      </c>
      <c r="M78" s="10">
        <v>21.93</v>
      </c>
      <c r="N78" s="2">
        <f t="shared" si="2"/>
        <v>242.56475</v>
      </c>
      <c r="O78" s="2">
        <f t="shared" si="3"/>
        <v>108.65016249999999</v>
      </c>
      <c r="P78">
        <v>0</v>
      </c>
    </row>
    <row r="79" spans="1:16" x14ac:dyDescent="0.25">
      <c r="A79" s="15" t="s">
        <v>105</v>
      </c>
      <c r="B79" s="15" t="s">
        <v>104</v>
      </c>
      <c r="C79">
        <v>0</v>
      </c>
      <c r="D79">
        <v>407.1</v>
      </c>
      <c r="E79">
        <v>0</v>
      </c>
      <c r="F79">
        <v>733.4</v>
      </c>
      <c r="G79">
        <v>1178.3</v>
      </c>
      <c r="H79">
        <v>0</v>
      </c>
      <c r="I79">
        <v>0</v>
      </c>
      <c r="J79">
        <v>0</v>
      </c>
      <c r="K79">
        <v>134.30000000000001</v>
      </c>
      <c r="L79">
        <v>14</v>
      </c>
      <c r="M79" s="10">
        <v>23.81</v>
      </c>
      <c r="N79" s="2">
        <f t="shared" si="2"/>
        <v>402.17123000000004</v>
      </c>
      <c r="O79" s="2">
        <f t="shared" si="3"/>
        <v>185.315505</v>
      </c>
      <c r="P79">
        <v>0</v>
      </c>
    </row>
    <row r="80" spans="1:16" x14ac:dyDescent="0.25">
      <c r="A80" s="15"/>
      <c r="B80" s="15"/>
      <c r="C80">
        <v>0</v>
      </c>
      <c r="D80">
        <v>407.1</v>
      </c>
      <c r="E80">
        <v>0</v>
      </c>
      <c r="F80">
        <v>733.4</v>
      </c>
      <c r="G80">
        <v>1178.3</v>
      </c>
      <c r="H80">
        <v>0</v>
      </c>
      <c r="I80">
        <v>0</v>
      </c>
      <c r="J80">
        <v>0</v>
      </c>
      <c r="K80">
        <v>134.30000000000001</v>
      </c>
      <c r="L80">
        <v>56</v>
      </c>
      <c r="M80" s="10">
        <v>30.79</v>
      </c>
      <c r="N80" s="2">
        <f t="shared" si="2"/>
        <v>402.17123000000004</v>
      </c>
      <c r="O80" s="2">
        <f t="shared" si="3"/>
        <v>185.315505</v>
      </c>
      <c r="P80">
        <v>0</v>
      </c>
    </row>
    <row r="81" spans="1:16" x14ac:dyDescent="0.25">
      <c r="A81" s="15"/>
      <c r="B81" s="15"/>
      <c r="C81">
        <v>0</v>
      </c>
      <c r="D81">
        <v>407.1</v>
      </c>
      <c r="E81">
        <v>0</v>
      </c>
      <c r="F81">
        <v>733.4</v>
      </c>
      <c r="G81">
        <v>1178.3</v>
      </c>
      <c r="H81">
        <v>0</v>
      </c>
      <c r="I81">
        <v>0</v>
      </c>
      <c r="J81">
        <v>0</v>
      </c>
      <c r="K81">
        <v>134.30000000000001</v>
      </c>
      <c r="L81">
        <v>90</v>
      </c>
      <c r="M81" s="10">
        <v>32.54</v>
      </c>
      <c r="N81" s="2">
        <f t="shared" si="2"/>
        <v>402.17123000000004</v>
      </c>
      <c r="O81" s="2">
        <f t="shared" si="3"/>
        <v>185.315505</v>
      </c>
      <c r="P81">
        <v>0</v>
      </c>
    </row>
    <row r="82" spans="1:16" x14ac:dyDescent="0.25">
      <c r="A82" s="15"/>
      <c r="B82" s="15"/>
      <c r="C82">
        <v>5</v>
      </c>
      <c r="D82">
        <v>386.745</v>
      </c>
      <c r="E82">
        <v>20.355</v>
      </c>
      <c r="F82">
        <v>733.4</v>
      </c>
      <c r="G82">
        <v>1178.3</v>
      </c>
      <c r="H82">
        <v>0</v>
      </c>
      <c r="I82">
        <v>0</v>
      </c>
      <c r="J82">
        <v>0</v>
      </c>
      <c r="K82">
        <v>134.30000000000001</v>
      </c>
      <c r="L82">
        <v>14</v>
      </c>
      <c r="M82" s="10">
        <v>27.39</v>
      </c>
      <c r="N82" s="2">
        <f t="shared" si="2"/>
        <v>386.29433</v>
      </c>
      <c r="O82" s="2">
        <f t="shared" si="3"/>
        <v>177.63149249999998</v>
      </c>
      <c r="P82">
        <v>0</v>
      </c>
    </row>
    <row r="83" spans="1:16" x14ac:dyDescent="0.25">
      <c r="A83" s="15"/>
      <c r="B83" s="15"/>
      <c r="C83">
        <v>5</v>
      </c>
      <c r="D83">
        <v>386.745</v>
      </c>
      <c r="E83">
        <v>20.355</v>
      </c>
      <c r="F83">
        <v>733.4</v>
      </c>
      <c r="G83">
        <v>1178.3</v>
      </c>
      <c r="H83">
        <v>0</v>
      </c>
      <c r="I83">
        <v>0</v>
      </c>
      <c r="J83">
        <v>0</v>
      </c>
      <c r="K83">
        <v>134.30000000000001</v>
      </c>
      <c r="L83">
        <v>56</v>
      </c>
      <c r="M83" s="10">
        <v>26.5</v>
      </c>
      <c r="N83" s="2">
        <f t="shared" si="2"/>
        <v>386.29433</v>
      </c>
      <c r="O83" s="2">
        <f t="shared" si="3"/>
        <v>177.63149249999998</v>
      </c>
      <c r="P83">
        <v>0</v>
      </c>
    </row>
    <row r="84" spans="1:16" x14ac:dyDescent="0.25">
      <c r="A84" s="15"/>
      <c r="B84" s="15"/>
      <c r="C84">
        <v>5</v>
      </c>
      <c r="D84">
        <v>386.745</v>
      </c>
      <c r="E84">
        <v>20.355</v>
      </c>
      <c r="F84">
        <v>733.4</v>
      </c>
      <c r="G84">
        <v>1178.3</v>
      </c>
      <c r="H84">
        <v>0</v>
      </c>
      <c r="I84">
        <v>0</v>
      </c>
      <c r="J84">
        <v>0</v>
      </c>
      <c r="K84">
        <v>134.30000000000001</v>
      </c>
      <c r="L84">
        <v>90</v>
      </c>
      <c r="M84" s="10">
        <v>31.71</v>
      </c>
      <c r="N84" s="2">
        <f t="shared" si="2"/>
        <v>386.29433</v>
      </c>
      <c r="O84" s="2">
        <f t="shared" si="3"/>
        <v>177.63149249999998</v>
      </c>
      <c r="P84">
        <v>0</v>
      </c>
    </row>
    <row r="85" spans="1:16" x14ac:dyDescent="0.25">
      <c r="A85" s="15"/>
      <c r="B85" s="15"/>
      <c r="C85">
        <v>10</v>
      </c>
      <c r="D85">
        <v>366.39</v>
      </c>
      <c r="E85">
        <v>40.71</v>
      </c>
      <c r="F85">
        <v>733.4</v>
      </c>
      <c r="G85">
        <v>1178.3</v>
      </c>
      <c r="H85">
        <v>0</v>
      </c>
      <c r="I85">
        <v>0</v>
      </c>
      <c r="J85">
        <v>0</v>
      </c>
      <c r="K85">
        <v>134.30000000000001</v>
      </c>
      <c r="L85">
        <v>14</v>
      </c>
      <c r="M85" s="10">
        <v>21.62</v>
      </c>
      <c r="N85" s="2">
        <f t="shared" si="2"/>
        <v>370.41742999999997</v>
      </c>
      <c r="O85" s="2">
        <f t="shared" si="3"/>
        <v>169.94747999999998</v>
      </c>
      <c r="P85">
        <v>0</v>
      </c>
    </row>
    <row r="86" spans="1:16" x14ac:dyDescent="0.25">
      <c r="A86" s="15"/>
      <c r="B86" s="15"/>
      <c r="C86">
        <v>10</v>
      </c>
      <c r="D86">
        <v>366.39</v>
      </c>
      <c r="E86">
        <v>40.71</v>
      </c>
      <c r="F86">
        <v>733.4</v>
      </c>
      <c r="G86">
        <v>1178.3</v>
      </c>
      <c r="H86">
        <v>0</v>
      </c>
      <c r="I86">
        <v>0</v>
      </c>
      <c r="J86">
        <v>0</v>
      </c>
      <c r="K86">
        <v>134.30000000000001</v>
      </c>
      <c r="L86">
        <v>56</v>
      </c>
      <c r="M86" s="10">
        <v>28.27</v>
      </c>
      <c r="N86" s="2">
        <f t="shared" ref="N86:N149" si="4">SUM((D86*0.83)+(E86*0.05)+(F86*0.0139)+(G86*0.0459)+(H86*2))</f>
        <v>370.41742999999997</v>
      </c>
      <c r="O86" s="2">
        <f t="shared" si="3"/>
        <v>169.94747999999998</v>
      </c>
      <c r="P86">
        <v>0</v>
      </c>
    </row>
    <row r="87" spans="1:16" x14ac:dyDescent="0.25">
      <c r="A87" s="15"/>
      <c r="B87" s="15"/>
      <c r="C87">
        <v>10</v>
      </c>
      <c r="D87">
        <v>366.39</v>
      </c>
      <c r="E87">
        <v>40.71</v>
      </c>
      <c r="F87">
        <v>733.4</v>
      </c>
      <c r="G87">
        <v>1178.3</v>
      </c>
      <c r="H87">
        <v>0</v>
      </c>
      <c r="I87">
        <v>0</v>
      </c>
      <c r="J87">
        <v>0</v>
      </c>
      <c r="K87">
        <v>134.30000000000001</v>
      </c>
      <c r="L87">
        <v>90</v>
      </c>
      <c r="M87" s="10">
        <v>29.32</v>
      </c>
      <c r="N87" s="2">
        <f t="shared" si="4"/>
        <v>370.41742999999997</v>
      </c>
      <c r="O87" s="2">
        <f t="shared" si="3"/>
        <v>169.94747999999998</v>
      </c>
      <c r="P87">
        <v>0</v>
      </c>
    </row>
    <row r="88" spans="1:16" x14ac:dyDescent="0.25">
      <c r="A88" s="15"/>
      <c r="B88" s="15"/>
      <c r="C88">
        <v>15</v>
      </c>
      <c r="D88">
        <v>346.03500000000003</v>
      </c>
      <c r="E88">
        <v>61.064999999999998</v>
      </c>
      <c r="F88">
        <v>733.4</v>
      </c>
      <c r="G88">
        <v>1178.3</v>
      </c>
      <c r="H88">
        <v>0</v>
      </c>
      <c r="I88">
        <v>0</v>
      </c>
      <c r="J88">
        <v>0</v>
      </c>
      <c r="K88">
        <v>134.30000000000001</v>
      </c>
      <c r="L88">
        <v>14</v>
      </c>
      <c r="M88" s="10">
        <v>25.15</v>
      </c>
      <c r="N88" s="2">
        <f t="shared" si="4"/>
        <v>354.54052999999999</v>
      </c>
      <c r="O88" s="2">
        <f t="shared" si="3"/>
        <v>162.26346750000002</v>
      </c>
      <c r="P88">
        <v>0</v>
      </c>
    </row>
    <row r="89" spans="1:16" x14ac:dyDescent="0.25">
      <c r="A89" s="15"/>
      <c r="B89" s="15"/>
      <c r="C89">
        <v>15</v>
      </c>
      <c r="D89">
        <v>346.03500000000003</v>
      </c>
      <c r="E89">
        <v>61.064999999999998</v>
      </c>
      <c r="F89">
        <v>733.4</v>
      </c>
      <c r="G89">
        <v>1178.3</v>
      </c>
      <c r="H89">
        <v>0</v>
      </c>
      <c r="I89">
        <v>0</v>
      </c>
      <c r="J89">
        <v>0</v>
      </c>
      <c r="K89">
        <v>134.30000000000001</v>
      </c>
      <c r="L89">
        <v>56</v>
      </c>
      <c r="M89" s="10">
        <v>27.94</v>
      </c>
      <c r="N89" s="2">
        <f t="shared" si="4"/>
        <v>354.54052999999999</v>
      </c>
      <c r="O89" s="2">
        <f t="shared" si="3"/>
        <v>162.26346750000002</v>
      </c>
      <c r="P89">
        <v>0</v>
      </c>
    </row>
    <row r="90" spans="1:16" x14ac:dyDescent="0.25">
      <c r="A90" s="15"/>
      <c r="B90" s="15"/>
      <c r="C90">
        <v>15</v>
      </c>
      <c r="D90">
        <v>346.03500000000003</v>
      </c>
      <c r="E90">
        <v>61.064999999999998</v>
      </c>
      <c r="F90">
        <v>733.4</v>
      </c>
      <c r="G90">
        <v>1178.3</v>
      </c>
      <c r="H90">
        <v>0</v>
      </c>
      <c r="I90">
        <v>0</v>
      </c>
      <c r="J90">
        <v>0</v>
      </c>
      <c r="K90">
        <v>134.30000000000001</v>
      </c>
      <c r="L90">
        <v>90</v>
      </c>
      <c r="M90" s="10">
        <v>28.97</v>
      </c>
      <c r="N90" s="2">
        <f t="shared" si="4"/>
        <v>354.54052999999999</v>
      </c>
      <c r="O90" s="2">
        <f t="shared" si="3"/>
        <v>162.26346750000002</v>
      </c>
      <c r="P90">
        <v>0</v>
      </c>
    </row>
    <row r="91" spans="1:16" x14ac:dyDescent="0.25">
      <c r="A91" s="15"/>
      <c r="B91" s="15"/>
      <c r="C91">
        <v>20</v>
      </c>
      <c r="D91">
        <v>325.68</v>
      </c>
      <c r="E91">
        <v>81.42</v>
      </c>
      <c r="F91">
        <v>733.4</v>
      </c>
      <c r="G91">
        <v>1178.3</v>
      </c>
      <c r="H91">
        <v>0</v>
      </c>
      <c r="I91">
        <v>0</v>
      </c>
      <c r="J91">
        <v>0</v>
      </c>
      <c r="K91">
        <v>134.30000000000001</v>
      </c>
      <c r="L91">
        <v>14</v>
      </c>
      <c r="M91" s="10">
        <v>24.92</v>
      </c>
      <c r="N91" s="2">
        <f t="shared" si="4"/>
        <v>338.66363000000001</v>
      </c>
      <c r="O91" s="2">
        <f t="shared" si="3"/>
        <v>154.579455</v>
      </c>
      <c r="P91">
        <v>0</v>
      </c>
    </row>
    <row r="92" spans="1:16" x14ac:dyDescent="0.25">
      <c r="A92" s="15"/>
      <c r="B92" s="15"/>
      <c r="C92">
        <v>20</v>
      </c>
      <c r="D92">
        <v>325.68</v>
      </c>
      <c r="E92">
        <v>81.42</v>
      </c>
      <c r="F92">
        <v>733.4</v>
      </c>
      <c r="G92">
        <v>1178.3</v>
      </c>
      <c r="H92">
        <v>0</v>
      </c>
      <c r="I92">
        <v>0</v>
      </c>
      <c r="J92">
        <v>0</v>
      </c>
      <c r="K92">
        <v>134.30000000000001</v>
      </c>
      <c r="L92">
        <v>56</v>
      </c>
      <c r="M92" s="10">
        <v>26.35</v>
      </c>
      <c r="N92" s="2">
        <f t="shared" si="4"/>
        <v>338.66363000000001</v>
      </c>
      <c r="O92" s="2">
        <f t="shared" si="3"/>
        <v>154.579455</v>
      </c>
      <c r="P92">
        <v>0</v>
      </c>
    </row>
    <row r="93" spans="1:16" x14ac:dyDescent="0.25">
      <c r="A93" s="15"/>
      <c r="B93" s="15"/>
      <c r="C93">
        <v>20</v>
      </c>
      <c r="D93">
        <v>325.68</v>
      </c>
      <c r="E93">
        <v>81.42</v>
      </c>
      <c r="F93">
        <v>733.4</v>
      </c>
      <c r="G93">
        <v>1178.3</v>
      </c>
      <c r="H93">
        <v>0</v>
      </c>
      <c r="I93">
        <v>0</v>
      </c>
      <c r="J93">
        <v>0</v>
      </c>
      <c r="K93">
        <v>134.30000000000001</v>
      </c>
      <c r="L93">
        <v>90</v>
      </c>
      <c r="M93" s="10">
        <v>23.36</v>
      </c>
      <c r="N93" s="2">
        <f t="shared" si="4"/>
        <v>338.66363000000001</v>
      </c>
      <c r="O93" s="2">
        <f t="shared" si="3"/>
        <v>154.579455</v>
      </c>
      <c r="P93">
        <v>0</v>
      </c>
    </row>
    <row r="94" spans="1:16" x14ac:dyDescent="0.25">
      <c r="A94" s="15"/>
      <c r="B94" s="15"/>
      <c r="C94">
        <v>25</v>
      </c>
      <c r="D94">
        <v>305.32499999999999</v>
      </c>
      <c r="E94">
        <v>101.77500000000001</v>
      </c>
      <c r="F94">
        <v>733.4</v>
      </c>
      <c r="G94">
        <v>1178.3</v>
      </c>
      <c r="H94">
        <v>0</v>
      </c>
      <c r="I94">
        <v>0</v>
      </c>
      <c r="J94">
        <v>0</v>
      </c>
      <c r="K94">
        <v>134.30000000000001</v>
      </c>
      <c r="L94">
        <v>14</v>
      </c>
      <c r="M94" s="10">
        <v>18.41</v>
      </c>
      <c r="N94" s="2">
        <f t="shared" si="4"/>
        <v>322.78672999999998</v>
      </c>
      <c r="O94" s="2">
        <f t="shared" si="3"/>
        <v>146.8954425</v>
      </c>
      <c r="P94">
        <v>0</v>
      </c>
    </row>
    <row r="95" spans="1:16" x14ac:dyDescent="0.25">
      <c r="A95" s="15"/>
      <c r="B95" s="15"/>
      <c r="C95">
        <v>25</v>
      </c>
      <c r="D95">
        <v>305.32499999999999</v>
      </c>
      <c r="E95">
        <v>101.77500000000001</v>
      </c>
      <c r="F95">
        <v>733.4</v>
      </c>
      <c r="G95">
        <v>1178.3</v>
      </c>
      <c r="H95">
        <v>0</v>
      </c>
      <c r="I95">
        <v>0</v>
      </c>
      <c r="J95">
        <v>0</v>
      </c>
      <c r="K95">
        <v>134.30000000000001</v>
      </c>
      <c r="L95">
        <v>56</v>
      </c>
      <c r="M95" s="10">
        <v>25.7</v>
      </c>
      <c r="N95" s="2">
        <f t="shared" si="4"/>
        <v>322.78672999999998</v>
      </c>
      <c r="O95" s="2">
        <f t="shared" si="3"/>
        <v>146.8954425</v>
      </c>
      <c r="P95">
        <v>0</v>
      </c>
    </row>
    <row r="96" spans="1:16" x14ac:dyDescent="0.25">
      <c r="A96" s="15"/>
      <c r="B96" s="15"/>
      <c r="C96">
        <v>25</v>
      </c>
      <c r="D96">
        <v>305.32499999999999</v>
      </c>
      <c r="E96">
        <v>101.77500000000001</v>
      </c>
      <c r="F96">
        <v>733.4</v>
      </c>
      <c r="G96">
        <v>1178.3</v>
      </c>
      <c r="H96">
        <v>0</v>
      </c>
      <c r="I96">
        <v>0</v>
      </c>
      <c r="J96">
        <v>0</v>
      </c>
      <c r="K96">
        <v>134.30000000000001</v>
      </c>
      <c r="L96">
        <v>90</v>
      </c>
      <c r="M96" s="10">
        <v>29.15</v>
      </c>
      <c r="N96" s="2">
        <f t="shared" si="4"/>
        <v>322.78672999999998</v>
      </c>
      <c r="O96" s="2">
        <f t="shared" si="3"/>
        <v>146.8954425</v>
      </c>
      <c r="P96">
        <v>0</v>
      </c>
    </row>
    <row r="97" spans="1:16" x14ac:dyDescent="0.25">
      <c r="A97" s="15"/>
      <c r="B97" s="15"/>
      <c r="C97">
        <v>30</v>
      </c>
      <c r="D97">
        <v>284.97000000000003</v>
      </c>
      <c r="E97">
        <v>122.13</v>
      </c>
      <c r="F97">
        <v>733.4</v>
      </c>
      <c r="G97">
        <v>1178.3</v>
      </c>
      <c r="H97">
        <v>0</v>
      </c>
      <c r="I97">
        <v>0</v>
      </c>
      <c r="J97">
        <v>0</v>
      </c>
      <c r="K97">
        <v>134.30000000000001</v>
      </c>
      <c r="L97">
        <v>14</v>
      </c>
      <c r="M97" s="10">
        <v>21.57</v>
      </c>
      <c r="N97" s="2">
        <f t="shared" si="4"/>
        <v>306.90983000000006</v>
      </c>
      <c r="O97" s="2">
        <f t="shared" si="3"/>
        <v>139.21143000000001</v>
      </c>
      <c r="P97">
        <v>0</v>
      </c>
    </row>
    <row r="98" spans="1:16" x14ac:dyDescent="0.25">
      <c r="A98" s="15"/>
      <c r="B98" s="15"/>
      <c r="C98">
        <v>30</v>
      </c>
      <c r="D98">
        <v>284.97000000000003</v>
      </c>
      <c r="E98">
        <v>122.13</v>
      </c>
      <c r="F98">
        <v>733.4</v>
      </c>
      <c r="G98">
        <v>1178.3</v>
      </c>
      <c r="H98">
        <v>0</v>
      </c>
      <c r="I98">
        <v>0</v>
      </c>
      <c r="J98">
        <v>0</v>
      </c>
      <c r="K98">
        <v>134.30000000000001</v>
      </c>
      <c r="L98">
        <v>56</v>
      </c>
      <c r="M98" s="10">
        <v>25.46</v>
      </c>
      <c r="N98" s="2">
        <f t="shared" si="4"/>
        <v>306.90983000000006</v>
      </c>
      <c r="O98" s="2">
        <f t="shared" si="3"/>
        <v>139.21143000000001</v>
      </c>
      <c r="P98">
        <v>0</v>
      </c>
    </row>
    <row r="99" spans="1:16" x14ac:dyDescent="0.25">
      <c r="A99" s="15"/>
      <c r="B99" s="15"/>
      <c r="C99">
        <v>30</v>
      </c>
      <c r="D99">
        <v>284.97000000000003</v>
      </c>
      <c r="E99">
        <v>122.13</v>
      </c>
      <c r="F99">
        <v>733.4</v>
      </c>
      <c r="G99">
        <v>1178.3</v>
      </c>
      <c r="H99">
        <v>0</v>
      </c>
      <c r="I99">
        <v>0</v>
      </c>
      <c r="J99">
        <v>0</v>
      </c>
      <c r="K99">
        <v>134.30000000000001</v>
      </c>
      <c r="L99">
        <v>90</v>
      </c>
      <c r="M99" s="10">
        <v>26.36</v>
      </c>
      <c r="N99" s="2">
        <f t="shared" si="4"/>
        <v>306.90983000000006</v>
      </c>
      <c r="O99" s="2">
        <f t="shared" si="3"/>
        <v>139.21143000000001</v>
      </c>
      <c r="P99">
        <v>0</v>
      </c>
    </row>
    <row r="100" spans="1:16" x14ac:dyDescent="0.25">
      <c r="A100" s="15"/>
      <c r="B100" s="15"/>
      <c r="C100">
        <v>35</v>
      </c>
      <c r="D100">
        <v>264.61500000000001</v>
      </c>
      <c r="E100">
        <v>142.48500000000001</v>
      </c>
      <c r="F100">
        <v>733.4</v>
      </c>
      <c r="G100">
        <v>1178.3</v>
      </c>
      <c r="H100">
        <v>0</v>
      </c>
      <c r="I100">
        <v>0</v>
      </c>
      <c r="J100">
        <v>0</v>
      </c>
      <c r="K100">
        <v>134.30000000000001</v>
      </c>
      <c r="L100">
        <v>14</v>
      </c>
      <c r="M100" s="10">
        <v>19.260000000000002</v>
      </c>
      <c r="N100" s="2">
        <f t="shared" si="4"/>
        <v>291.03293000000002</v>
      </c>
      <c r="O100" s="2">
        <f t="shared" si="3"/>
        <v>131.52741750000001</v>
      </c>
      <c r="P100">
        <v>0</v>
      </c>
    </row>
    <row r="101" spans="1:16" x14ac:dyDescent="0.25">
      <c r="A101" s="15"/>
      <c r="B101" s="15"/>
      <c r="C101">
        <v>35</v>
      </c>
      <c r="D101">
        <v>264.61500000000001</v>
      </c>
      <c r="E101">
        <v>142.48500000000001</v>
      </c>
      <c r="F101">
        <v>733.4</v>
      </c>
      <c r="G101">
        <v>1178.3</v>
      </c>
      <c r="H101">
        <v>0</v>
      </c>
      <c r="I101">
        <v>0</v>
      </c>
      <c r="J101">
        <v>0</v>
      </c>
      <c r="K101">
        <v>134.30000000000001</v>
      </c>
      <c r="L101">
        <v>56</v>
      </c>
      <c r="M101" s="10">
        <v>25.85</v>
      </c>
      <c r="N101" s="2">
        <f t="shared" si="4"/>
        <v>291.03293000000002</v>
      </c>
      <c r="O101" s="2">
        <f t="shared" si="3"/>
        <v>131.52741750000001</v>
      </c>
      <c r="P101">
        <v>0</v>
      </c>
    </row>
    <row r="102" spans="1:16" x14ac:dyDescent="0.25">
      <c r="A102" s="15"/>
      <c r="B102" s="15"/>
      <c r="C102">
        <v>35</v>
      </c>
      <c r="D102">
        <v>264.61500000000001</v>
      </c>
      <c r="E102">
        <v>142.48500000000001</v>
      </c>
      <c r="F102">
        <v>733.4</v>
      </c>
      <c r="G102">
        <v>1178.3</v>
      </c>
      <c r="H102">
        <v>0</v>
      </c>
      <c r="I102">
        <v>0</v>
      </c>
      <c r="J102">
        <v>0</v>
      </c>
      <c r="K102">
        <v>134.30000000000001</v>
      </c>
      <c r="L102">
        <v>90</v>
      </c>
      <c r="M102" s="10">
        <v>23.48</v>
      </c>
      <c r="N102" s="2">
        <f t="shared" si="4"/>
        <v>291.03293000000002</v>
      </c>
      <c r="O102" s="2">
        <f t="shared" si="3"/>
        <v>131.52741750000001</v>
      </c>
      <c r="P102">
        <v>0</v>
      </c>
    </row>
    <row r="103" spans="1:16" x14ac:dyDescent="0.25">
      <c r="A103" s="15"/>
      <c r="B103" s="15"/>
      <c r="C103">
        <v>40</v>
      </c>
      <c r="D103">
        <v>244.26</v>
      </c>
      <c r="E103">
        <v>162.84</v>
      </c>
      <c r="F103">
        <v>733.4</v>
      </c>
      <c r="G103">
        <v>1178.3</v>
      </c>
      <c r="H103">
        <v>0</v>
      </c>
      <c r="I103">
        <v>0</v>
      </c>
      <c r="J103">
        <v>0</v>
      </c>
      <c r="K103">
        <v>134.30000000000001</v>
      </c>
      <c r="L103">
        <v>14</v>
      </c>
      <c r="M103" s="10">
        <v>19.440000000000001</v>
      </c>
      <c r="N103" s="2">
        <f t="shared" si="4"/>
        <v>275.15602999999999</v>
      </c>
      <c r="O103" s="2">
        <f t="shared" si="3"/>
        <v>123.84340499999999</v>
      </c>
      <c r="P103">
        <v>0</v>
      </c>
    </row>
    <row r="104" spans="1:16" x14ac:dyDescent="0.25">
      <c r="A104" s="15"/>
      <c r="B104" s="15"/>
      <c r="C104">
        <v>40</v>
      </c>
      <c r="D104">
        <v>244.26</v>
      </c>
      <c r="E104">
        <v>162.84</v>
      </c>
      <c r="F104">
        <v>733.4</v>
      </c>
      <c r="G104">
        <v>1178.3</v>
      </c>
      <c r="H104">
        <v>0</v>
      </c>
      <c r="I104">
        <v>0</v>
      </c>
      <c r="J104">
        <v>0</v>
      </c>
      <c r="K104">
        <v>134.30000000000001</v>
      </c>
      <c r="L104">
        <v>56</v>
      </c>
      <c r="M104" s="10">
        <v>21.24</v>
      </c>
      <c r="N104" s="2">
        <f t="shared" si="4"/>
        <v>275.15602999999999</v>
      </c>
      <c r="O104" s="2">
        <f t="shared" si="3"/>
        <v>123.84340499999999</v>
      </c>
      <c r="P104">
        <v>0</v>
      </c>
    </row>
    <row r="105" spans="1:16" x14ac:dyDescent="0.25">
      <c r="A105" s="15"/>
      <c r="B105" s="15"/>
      <c r="C105">
        <v>40</v>
      </c>
      <c r="D105">
        <v>244.26</v>
      </c>
      <c r="E105">
        <v>162.84</v>
      </c>
      <c r="F105">
        <v>733.4</v>
      </c>
      <c r="G105">
        <v>1178.3</v>
      </c>
      <c r="H105">
        <v>0</v>
      </c>
      <c r="I105">
        <v>0</v>
      </c>
      <c r="J105">
        <v>0</v>
      </c>
      <c r="K105">
        <v>134.30000000000001</v>
      </c>
      <c r="L105">
        <v>90</v>
      </c>
      <c r="M105" s="10">
        <v>23.2</v>
      </c>
      <c r="N105" s="2">
        <f t="shared" si="4"/>
        <v>275.15602999999999</v>
      </c>
      <c r="O105" s="2">
        <f t="shared" si="3"/>
        <v>123.84340499999999</v>
      </c>
      <c r="P105">
        <v>0</v>
      </c>
    </row>
    <row r="106" spans="1:16" x14ac:dyDescent="0.25">
      <c r="A106" s="15"/>
      <c r="B106" s="15"/>
      <c r="C106">
        <v>45</v>
      </c>
      <c r="D106">
        <v>223.905</v>
      </c>
      <c r="E106">
        <v>183.19499999999999</v>
      </c>
      <c r="F106">
        <v>733.4</v>
      </c>
      <c r="G106">
        <v>1178.3</v>
      </c>
      <c r="H106">
        <v>0</v>
      </c>
      <c r="I106">
        <v>0</v>
      </c>
      <c r="J106">
        <v>0</v>
      </c>
      <c r="K106">
        <v>134.30000000000001</v>
      </c>
      <c r="L106">
        <v>14</v>
      </c>
      <c r="M106" s="10">
        <v>18.579999999999998</v>
      </c>
      <c r="N106" s="2">
        <f t="shared" si="4"/>
        <v>259.27913000000001</v>
      </c>
      <c r="O106" s="2">
        <f t="shared" si="3"/>
        <v>116.1593925</v>
      </c>
      <c r="P106">
        <v>0</v>
      </c>
    </row>
    <row r="107" spans="1:16" x14ac:dyDescent="0.25">
      <c r="A107" s="15"/>
      <c r="B107" s="15"/>
      <c r="C107">
        <v>45</v>
      </c>
      <c r="D107">
        <v>223.905</v>
      </c>
      <c r="E107">
        <v>183.19499999999999</v>
      </c>
      <c r="F107">
        <v>733.4</v>
      </c>
      <c r="G107">
        <v>1178.3</v>
      </c>
      <c r="H107">
        <v>0</v>
      </c>
      <c r="I107">
        <v>0</v>
      </c>
      <c r="J107">
        <v>0</v>
      </c>
      <c r="K107">
        <v>134.30000000000001</v>
      </c>
      <c r="L107">
        <v>56</v>
      </c>
      <c r="M107" s="10">
        <v>23.62</v>
      </c>
      <c r="N107" s="2">
        <f t="shared" si="4"/>
        <v>259.27913000000001</v>
      </c>
      <c r="O107" s="2">
        <f t="shared" si="3"/>
        <v>116.1593925</v>
      </c>
      <c r="P107">
        <v>0</v>
      </c>
    </row>
    <row r="108" spans="1:16" x14ac:dyDescent="0.25">
      <c r="A108" s="15"/>
      <c r="B108" s="15"/>
      <c r="C108">
        <v>45</v>
      </c>
      <c r="D108">
        <v>223.905</v>
      </c>
      <c r="E108">
        <v>183.19499999999999</v>
      </c>
      <c r="F108">
        <v>733.4</v>
      </c>
      <c r="G108">
        <v>1178.3</v>
      </c>
      <c r="H108">
        <v>0</v>
      </c>
      <c r="I108">
        <v>0</v>
      </c>
      <c r="J108">
        <v>0</v>
      </c>
      <c r="K108">
        <v>134.30000000000001</v>
      </c>
      <c r="L108">
        <v>90</v>
      </c>
      <c r="M108" s="10">
        <v>23.6</v>
      </c>
      <c r="N108" s="2">
        <f t="shared" si="4"/>
        <v>259.27913000000001</v>
      </c>
      <c r="O108" s="2">
        <f t="shared" si="3"/>
        <v>116.1593925</v>
      </c>
      <c r="P108">
        <v>0</v>
      </c>
    </row>
    <row r="109" spans="1:16" x14ac:dyDescent="0.25">
      <c r="A109" s="15"/>
      <c r="B109" s="15"/>
      <c r="C109">
        <v>50</v>
      </c>
      <c r="D109">
        <v>203.55</v>
      </c>
      <c r="E109">
        <v>203.55</v>
      </c>
      <c r="F109">
        <v>733.4</v>
      </c>
      <c r="G109">
        <v>1178.3</v>
      </c>
      <c r="H109">
        <v>0</v>
      </c>
      <c r="I109">
        <v>0</v>
      </c>
      <c r="J109">
        <v>0</v>
      </c>
      <c r="K109">
        <v>134.30000000000001</v>
      </c>
      <c r="L109">
        <v>14</v>
      </c>
      <c r="M109" s="10">
        <v>18.36</v>
      </c>
      <c r="N109" s="2">
        <f t="shared" si="4"/>
        <v>243.40223</v>
      </c>
      <c r="O109" s="2">
        <f t="shared" si="3"/>
        <v>108.47538</v>
      </c>
      <c r="P109">
        <v>0</v>
      </c>
    </row>
    <row r="110" spans="1:16" x14ac:dyDescent="0.25">
      <c r="A110" s="15"/>
      <c r="B110" s="15"/>
      <c r="C110">
        <v>50</v>
      </c>
      <c r="D110">
        <v>203.55</v>
      </c>
      <c r="E110">
        <v>203.55</v>
      </c>
      <c r="F110">
        <v>733.4</v>
      </c>
      <c r="G110">
        <v>1178.3</v>
      </c>
      <c r="H110">
        <v>0</v>
      </c>
      <c r="I110">
        <v>0</v>
      </c>
      <c r="J110">
        <v>0</v>
      </c>
      <c r="K110">
        <v>134.30000000000001</v>
      </c>
      <c r="L110">
        <v>56</v>
      </c>
      <c r="M110" s="10">
        <v>22.25</v>
      </c>
      <c r="N110" s="2">
        <f t="shared" si="4"/>
        <v>243.40223</v>
      </c>
      <c r="O110" s="2">
        <f t="shared" si="3"/>
        <v>108.47538</v>
      </c>
      <c r="P110">
        <v>0</v>
      </c>
    </row>
    <row r="111" spans="1:16" x14ac:dyDescent="0.25">
      <c r="A111" s="15"/>
      <c r="B111" s="15"/>
      <c r="C111">
        <v>50</v>
      </c>
      <c r="D111">
        <v>203.55</v>
      </c>
      <c r="E111">
        <v>203.55</v>
      </c>
      <c r="F111">
        <v>733.4</v>
      </c>
      <c r="G111">
        <v>1178.3</v>
      </c>
      <c r="H111">
        <v>0</v>
      </c>
      <c r="I111">
        <v>0</v>
      </c>
      <c r="J111">
        <v>0</v>
      </c>
      <c r="K111">
        <v>134.30000000000001</v>
      </c>
      <c r="L111">
        <v>90</v>
      </c>
      <c r="M111" s="10">
        <v>25.15</v>
      </c>
      <c r="N111" s="2">
        <f t="shared" si="4"/>
        <v>243.40223</v>
      </c>
      <c r="O111" s="2">
        <f t="shared" si="3"/>
        <v>108.47538</v>
      </c>
      <c r="P111">
        <v>0</v>
      </c>
    </row>
    <row r="112" spans="1:16" x14ac:dyDescent="0.25">
      <c r="A112" s="15" t="s">
        <v>106</v>
      </c>
      <c r="B112" s="15" t="s">
        <v>107</v>
      </c>
      <c r="C112">
        <v>0</v>
      </c>
      <c r="D112">
        <v>426</v>
      </c>
      <c r="E112">
        <v>0</v>
      </c>
      <c r="F112">
        <v>911.22</v>
      </c>
      <c r="G112">
        <v>1146.1400000000001</v>
      </c>
      <c r="H112">
        <v>0</v>
      </c>
      <c r="I112">
        <v>0</v>
      </c>
      <c r="J112">
        <v>0</v>
      </c>
      <c r="K112">
        <v>212.29</v>
      </c>
      <c r="L112">
        <v>7</v>
      </c>
      <c r="M112" s="10">
        <v>9.0500000000000007</v>
      </c>
      <c r="N112" s="2">
        <f t="shared" si="4"/>
        <v>418.85378399999996</v>
      </c>
      <c r="O112" s="2">
        <f t="shared" si="3"/>
        <v>195.32099149999999</v>
      </c>
      <c r="P112">
        <v>0</v>
      </c>
    </row>
    <row r="113" spans="1:16" x14ac:dyDescent="0.25">
      <c r="A113" s="15"/>
      <c r="B113" s="15"/>
      <c r="C113">
        <v>0</v>
      </c>
      <c r="D113">
        <v>426</v>
      </c>
      <c r="E113">
        <v>0</v>
      </c>
      <c r="F113">
        <v>911.22</v>
      </c>
      <c r="G113">
        <v>1146.1400000000001</v>
      </c>
      <c r="H113">
        <v>0</v>
      </c>
      <c r="I113">
        <v>0</v>
      </c>
      <c r="J113">
        <v>0</v>
      </c>
      <c r="K113">
        <v>212.29</v>
      </c>
      <c r="L113">
        <v>14</v>
      </c>
      <c r="M113" s="10">
        <v>11.13</v>
      </c>
      <c r="N113" s="2">
        <f t="shared" si="4"/>
        <v>418.85378399999996</v>
      </c>
      <c r="O113" s="2">
        <f t="shared" si="3"/>
        <v>195.32099149999999</v>
      </c>
      <c r="P113">
        <v>0</v>
      </c>
    </row>
    <row r="114" spans="1:16" x14ac:dyDescent="0.25">
      <c r="A114" s="15"/>
      <c r="B114" s="15"/>
      <c r="C114">
        <v>0</v>
      </c>
      <c r="D114">
        <v>426</v>
      </c>
      <c r="E114">
        <v>0</v>
      </c>
      <c r="F114">
        <v>911.22</v>
      </c>
      <c r="G114">
        <v>1146.1400000000001</v>
      </c>
      <c r="H114">
        <v>0</v>
      </c>
      <c r="I114">
        <v>0</v>
      </c>
      <c r="J114">
        <v>0</v>
      </c>
      <c r="K114">
        <v>212.29</v>
      </c>
      <c r="L114">
        <v>56</v>
      </c>
      <c r="M114" s="10">
        <v>19.579999999999998</v>
      </c>
      <c r="N114" s="2">
        <f t="shared" si="4"/>
        <v>418.85378399999996</v>
      </c>
      <c r="O114" s="2">
        <f t="shared" si="3"/>
        <v>195.32099149999999</v>
      </c>
      <c r="P114">
        <v>0</v>
      </c>
    </row>
    <row r="115" spans="1:16" x14ac:dyDescent="0.25">
      <c r="A115" s="15"/>
      <c r="B115" s="15"/>
      <c r="C115">
        <v>0</v>
      </c>
      <c r="D115">
        <v>426</v>
      </c>
      <c r="E115">
        <v>0</v>
      </c>
      <c r="F115">
        <v>911.22</v>
      </c>
      <c r="G115">
        <v>1146.1400000000001</v>
      </c>
      <c r="H115">
        <v>0</v>
      </c>
      <c r="I115">
        <v>0</v>
      </c>
      <c r="J115">
        <v>0</v>
      </c>
      <c r="K115">
        <v>212.29</v>
      </c>
      <c r="L115">
        <v>90</v>
      </c>
      <c r="M115" s="10">
        <v>16.63</v>
      </c>
      <c r="N115" s="2">
        <f t="shared" si="4"/>
        <v>418.85378399999996</v>
      </c>
      <c r="O115" s="2">
        <f t="shared" si="3"/>
        <v>195.32099149999999</v>
      </c>
      <c r="P115">
        <v>0</v>
      </c>
    </row>
    <row r="116" spans="1:16" x14ac:dyDescent="0.25">
      <c r="A116" s="15"/>
      <c r="B116" s="15"/>
      <c r="C116">
        <v>5</v>
      </c>
      <c r="D116">
        <v>404.7</v>
      </c>
      <c r="E116">
        <v>21.3</v>
      </c>
      <c r="F116">
        <v>911.22</v>
      </c>
      <c r="G116">
        <v>1146.1400000000001</v>
      </c>
      <c r="H116">
        <v>0</v>
      </c>
      <c r="I116">
        <v>0</v>
      </c>
      <c r="J116">
        <v>0</v>
      </c>
      <c r="K116">
        <v>212.29</v>
      </c>
      <c r="L116">
        <v>7</v>
      </c>
      <c r="M116" s="10">
        <v>12.23</v>
      </c>
      <c r="N116" s="2">
        <f t="shared" si="4"/>
        <v>402.23978399999993</v>
      </c>
      <c r="O116" s="2">
        <f t="shared" si="3"/>
        <v>187.28024149999999</v>
      </c>
      <c r="P116">
        <v>0</v>
      </c>
    </row>
    <row r="117" spans="1:16" x14ac:dyDescent="0.25">
      <c r="A117" s="15"/>
      <c r="B117" s="15"/>
      <c r="C117">
        <v>5</v>
      </c>
      <c r="D117">
        <v>404.7</v>
      </c>
      <c r="E117">
        <v>21.3</v>
      </c>
      <c r="F117">
        <v>911.22</v>
      </c>
      <c r="G117">
        <v>1146.1400000000001</v>
      </c>
      <c r="H117">
        <v>0</v>
      </c>
      <c r="I117">
        <v>0</v>
      </c>
      <c r="J117">
        <v>0</v>
      </c>
      <c r="K117">
        <v>212.29</v>
      </c>
      <c r="L117">
        <v>14</v>
      </c>
      <c r="M117" s="10">
        <v>11.2</v>
      </c>
      <c r="N117" s="2">
        <f t="shared" si="4"/>
        <v>402.23978399999993</v>
      </c>
      <c r="O117" s="2">
        <f t="shared" si="3"/>
        <v>187.28024149999999</v>
      </c>
      <c r="P117">
        <v>0</v>
      </c>
    </row>
    <row r="118" spans="1:16" x14ac:dyDescent="0.25">
      <c r="A118" s="15"/>
      <c r="B118" s="15"/>
      <c r="C118">
        <v>5</v>
      </c>
      <c r="D118">
        <v>404.7</v>
      </c>
      <c r="E118">
        <v>21.3</v>
      </c>
      <c r="F118">
        <v>911.22</v>
      </c>
      <c r="G118">
        <v>1146.1400000000001</v>
      </c>
      <c r="H118">
        <v>0</v>
      </c>
      <c r="I118">
        <v>0</v>
      </c>
      <c r="J118">
        <v>0</v>
      </c>
      <c r="K118">
        <v>212.29</v>
      </c>
      <c r="L118">
        <v>56</v>
      </c>
      <c r="M118" s="10">
        <v>16.170000000000002</v>
      </c>
      <c r="N118" s="2">
        <f t="shared" si="4"/>
        <v>402.23978399999993</v>
      </c>
      <c r="O118" s="2">
        <f t="shared" si="3"/>
        <v>187.28024149999999</v>
      </c>
      <c r="P118">
        <v>0</v>
      </c>
    </row>
    <row r="119" spans="1:16" x14ac:dyDescent="0.25">
      <c r="A119" s="15"/>
      <c r="B119" s="15"/>
      <c r="C119">
        <v>5</v>
      </c>
      <c r="D119">
        <v>404.7</v>
      </c>
      <c r="E119">
        <v>21.3</v>
      </c>
      <c r="F119">
        <v>911.22</v>
      </c>
      <c r="G119">
        <v>1146.1400000000001</v>
      </c>
      <c r="H119">
        <v>0</v>
      </c>
      <c r="I119">
        <v>0</v>
      </c>
      <c r="J119">
        <v>0</v>
      </c>
      <c r="K119">
        <v>212.29</v>
      </c>
      <c r="L119">
        <v>90</v>
      </c>
      <c r="M119" s="10">
        <v>15.53</v>
      </c>
      <c r="N119" s="2">
        <f t="shared" si="4"/>
        <v>402.23978399999993</v>
      </c>
      <c r="O119" s="2">
        <f t="shared" si="3"/>
        <v>187.28024149999999</v>
      </c>
      <c r="P119">
        <v>0</v>
      </c>
    </row>
    <row r="120" spans="1:16" x14ac:dyDescent="0.25">
      <c r="A120" s="15"/>
      <c r="B120" s="15"/>
      <c r="C120">
        <v>10</v>
      </c>
      <c r="D120">
        <v>383.4</v>
      </c>
      <c r="E120">
        <v>42.6</v>
      </c>
      <c r="F120">
        <v>911.22</v>
      </c>
      <c r="G120">
        <v>1146.1400000000001</v>
      </c>
      <c r="H120">
        <v>0</v>
      </c>
      <c r="I120">
        <v>0</v>
      </c>
      <c r="J120">
        <v>0</v>
      </c>
      <c r="K120">
        <v>212.29</v>
      </c>
      <c r="L120">
        <v>7</v>
      </c>
      <c r="M120" s="10">
        <v>14.15</v>
      </c>
      <c r="N120" s="2">
        <f t="shared" si="4"/>
        <v>385.62578399999995</v>
      </c>
      <c r="O120" s="2">
        <f t="shared" si="3"/>
        <v>179.23949149999999</v>
      </c>
      <c r="P120">
        <v>0</v>
      </c>
    </row>
    <row r="121" spans="1:16" x14ac:dyDescent="0.25">
      <c r="A121" s="15"/>
      <c r="B121" s="15"/>
      <c r="C121">
        <v>10</v>
      </c>
      <c r="D121">
        <v>383.4</v>
      </c>
      <c r="E121">
        <v>42.6</v>
      </c>
      <c r="F121">
        <v>911.22</v>
      </c>
      <c r="G121">
        <v>1146.1400000000001</v>
      </c>
      <c r="H121">
        <v>0</v>
      </c>
      <c r="I121">
        <v>0</v>
      </c>
      <c r="J121">
        <v>0</v>
      </c>
      <c r="K121">
        <v>212.29</v>
      </c>
      <c r="L121">
        <v>14</v>
      </c>
      <c r="M121" s="10">
        <v>7.74</v>
      </c>
      <c r="N121" s="2">
        <f t="shared" si="4"/>
        <v>385.62578399999995</v>
      </c>
      <c r="O121" s="2">
        <f t="shared" si="3"/>
        <v>179.23949149999999</v>
      </c>
      <c r="P121">
        <v>0</v>
      </c>
    </row>
    <row r="122" spans="1:16" x14ac:dyDescent="0.25">
      <c r="A122" s="15"/>
      <c r="B122" s="15"/>
      <c r="C122">
        <v>10</v>
      </c>
      <c r="D122">
        <v>383.4</v>
      </c>
      <c r="E122">
        <v>42.6</v>
      </c>
      <c r="F122">
        <v>911.22</v>
      </c>
      <c r="G122">
        <v>1146.1400000000001</v>
      </c>
      <c r="H122">
        <v>0</v>
      </c>
      <c r="I122">
        <v>0</v>
      </c>
      <c r="J122">
        <v>0</v>
      </c>
      <c r="K122">
        <v>212.29</v>
      </c>
      <c r="L122">
        <v>56</v>
      </c>
      <c r="M122" s="10">
        <v>12.05</v>
      </c>
      <c r="N122" s="2">
        <f t="shared" si="4"/>
        <v>385.62578399999995</v>
      </c>
      <c r="O122" s="2">
        <f t="shared" si="3"/>
        <v>179.23949149999999</v>
      </c>
      <c r="P122">
        <v>0</v>
      </c>
    </row>
    <row r="123" spans="1:16" x14ac:dyDescent="0.25">
      <c r="A123" s="15"/>
      <c r="B123" s="15"/>
      <c r="C123">
        <v>10</v>
      </c>
      <c r="D123">
        <v>383.4</v>
      </c>
      <c r="E123">
        <v>42.6</v>
      </c>
      <c r="F123">
        <v>911.22</v>
      </c>
      <c r="G123">
        <v>1146.1400000000001</v>
      </c>
      <c r="H123">
        <v>0</v>
      </c>
      <c r="I123">
        <v>0</v>
      </c>
      <c r="J123">
        <v>0</v>
      </c>
      <c r="K123">
        <v>212.29</v>
      </c>
      <c r="L123">
        <v>90</v>
      </c>
      <c r="M123" s="10">
        <v>14.24</v>
      </c>
      <c r="N123" s="2">
        <f t="shared" si="4"/>
        <v>385.62578399999995</v>
      </c>
      <c r="O123" s="2">
        <f t="shared" si="3"/>
        <v>179.23949149999999</v>
      </c>
      <c r="P123">
        <v>0</v>
      </c>
    </row>
    <row r="124" spans="1:16" x14ac:dyDescent="0.25">
      <c r="A124" s="15"/>
      <c r="B124" s="15"/>
      <c r="C124">
        <v>15</v>
      </c>
      <c r="D124">
        <v>362.1</v>
      </c>
      <c r="E124">
        <v>63.9</v>
      </c>
      <c r="F124">
        <v>911.22</v>
      </c>
      <c r="G124">
        <v>1146.1400000000001</v>
      </c>
      <c r="H124">
        <v>0</v>
      </c>
      <c r="I124">
        <v>0</v>
      </c>
      <c r="J124">
        <v>0</v>
      </c>
      <c r="K124">
        <v>212.29</v>
      </c>
      <c r="L124">
        <v>7</v>
      </c>
      <c r="M124" s="10">
        <v>13.42</v>
      </c>
      <c r="N124" s="2">
        <f t="shared" si="4"/>
        <v>369.01178399999998</v>
      </c>
      <c r="O124" s="2">
        <f t="shared" si="3"/>
        <v>171.19874149999998</v>
      </c>
      <c r="P124">
        <v>0</v>
      </c>
    </row>
    <row r="125" spans="1:16" x14ac:dyDescent="0.25">
      <c r="A125" s="15"/>
      <c r="B125" s="15"/>
      <c r="C125">
        <v>15</v>
      </c>
      <c r="D125">
        <v>362.1</v>
      </c>
      <c r="E125">
        <v>63.9</v>
      </c>
      <c r="F125">
        <v>911.22</v>
      </c>
      <c r="G125">
        <v>1146.1400000000001</v>
      </c>
      <c r="H125">
        <v>0</v>
      </c>
      <c r="I125">
        <v>0</v>
      </c>
      <c r="J125">
        <v>0</v>
      </c>
      <c r="K125">
        <v>212.29</v>
      </c>
      <c r="L125">
        <v>14</v>
      </c>
      <c r="M125" s="10">
        <v>10.55</v>
      </c>
      <c r="N125" s="2">
        <f t="shared" si="4"/>
        <v>369.01178399999998</v>
      </c>
      <c r="O125" s="2">
        <f t="shared" si="3"/>
        <v>171.19874149999998</v>
      </c>
      <c r="P125">
        <v>0</v>
      </c>
    </row>
    <row r="126" spans="1:16" x14ac:dyDescent="0.25">
      <c r="A126" s="15"/>
      <c r="B126" s="15"/>
      <c r="C126">
        <v>15</v>
      </c>
      <c r="D126">
        <v>362.1</v>
      </c>
      <c r="E126">
        <v>63.9</v>
      </c>
      <c r="F126">
        <v>911.22</v>
      </c>
      <c r="G126">
        <v>1146.1400000000001</v>
      </c>
      <c r="H126">
        <v>0</v>
      </c>
      <c r="I126">
        <v>0</v>
      </c>
      <c r="J126">
        <v>0</v>
      </c>
      <c r="K126">
        <v>212.29</v>
      </c>
      <c r="L126">
        <v>56</v>
      </c>
      <c r="M126" s="10">
        <v>16.87</v>
      </c>
      <c r="N126" s="2">
        <f t="shared" si="4"/>
        <v>369.01178399999998</v>
      </c>
      <c r="O126" s="2">
        <f t="shared" si="3"/>
        <v>171.19874149999998</v>
      </c>
      <c r="P126">
        <v>0</v>
      </c>
    </row>
    <row r="127" spans="1:16" x14ac:dyDescent="0.25">
      <c r="A127" s="15"/>
      <c r="B127" s="15"/>
      <c r="C127">
        <v>15</v>
      </c>
      <c r="D127">
        <v>362.1</v>
      </c>
      <c r="E127">
        <v>63.9</v>
      </c>
      <c r="F127">
        <v>911.22</v>
      </c>
      <c r="G127">
        <v>1146.1400000000001</v>
      </c>
      <c r="H127">
        <v>0</v>
      </c>
      <c r="I127">
        <v>0</v>
      </c>
      <c r="J127">
        <v>0</v>
      </c>
      <c r="K127">
        <v>212.29</v>
      </c>
      <c r="L127">
        <v>90</v>
      </c>
      <c r="M127" s="10">
        <v>13.34</v>
      </c>
      <c r="N127" s="2">
        <f t="shared" si="4"/>
        <v>369.01178399999998</v>
      </c>
      <c r="O127" s="2">
        <f t="shared" si="3"/>
        <v>171.19874149999998</v>
      </c>
      <c r="P127">
        <v>0</v>
      </c>
    </row>
    <row r="128" spans="1:16" x14ac:dyDescent="0.25">
      <c r="A128" s="15"/>
      <c r="B128" s="15"/>
      <c r="C128">
        <v>20</v>
      </c>
      <c r="D128">
        <v>340.8</v>
      </c>
      <c r="E128">
        <v>85.2</v>
      </c>
      <c r="F128">
        <v>911.22</v>
      </c>
      <c r="G128">
        <v>1146.1400000000001</v>
      </c>
      <c r="H128">
        <v>0</v>
      </c>
      <c r="I128">
        <v>0</v>
      </c>
      <c r="J128">
        <v>0</v>
      </c>
      <c r="K128">
        <v>212.29</v>
      </c>
      <c r="L128">
        <v>7</v>
      </c>
      <c r="M128" s="10">
        <v>9.1199999999999992</v>
      </c>
      <c r="N128" s="2">
        <f t="shared" si="4"/>
        <v>352.39778399999994</v>
      </c>
      <c r="O128" s="2">
        <f t="shared" si="3"/>
        <v>163.15799149999998</v>
      </c>
      <c r="P128">
        <v>0</v>
      </c>
    </row>
    <row r="129" spans="1:16" x14ac:dyDescent="0.25">
      <c r="A129" s="15"/>
      <c r="B129" s="15"/>
      <c r="C129">
        <v>20</v>
      </c>
      <c r="D129">
        <v>340.8</v>
      </c>
      <c r="E129">
        <v>85.2</v>
      </c>
      <c r="F129">
        <v>911.22</v>
      </c>
      <c r="G129">
        <v>1146.1400000000001</v>
      </c>
      <c r="H129">
        <v>0</v>
      </c>
      <c r="I129">
        <v>0</v>
      </c>
      <c r="J129">
        <v>0</v>
      </c>
      <c r="K129">
        <v>212.29</v>
      </c>
      <c r="L129">
        <v>14</v>
      </c>
      <c r="M129" s="10">
        <v>8.19</v>
      </c>
      <c r="N129" s="2">
        <f t="shared" si="4"/>
        <v>352.39778399999994</v>
      </c>
      <c r="O129" s="2">
        <f t="shared" si="3"/>
        <v>163.15799149999998</v>
      </c>
      <c r="P129">
        <v>0</v>
      </c>
    </row>
    <row r="130" spans="1:16" x14ac:dyDescent="0.25">
      <c r="A130" s="15"/>
      <c r="B130" s="15"/>
      <c r="C130">
        <v>20</v>
      </c>
      <c r="D130">
        <v>340.8</v>
      </c>
      <c r="E130">
        <v>85.2</v>
      </c>
      <c r="F130">
        <v>911.22</v>
      </c>
      <c r="G130">
        <v>1146.1400000000001</v>
      </c>
      <c r="H130">
        <v>0</v>
      </c>
      <c r="I130">
        <v>0</v>
      </c>
      <c r="J130">
        <v>0</v>
      </c>
      <c r="K130">
        <v>212.29</v>
      </c>
      <c r="L130">
        <v>56</v>
      </c>
      <c r="M130" s="10">
        <v>10.65</v>
      </c>
      <c r="N130" s="2">
        <f t="shared" si="4"/>
        <v>352.39778399999994</v>
      </c>
      <c r="O130" s="2">
        <f t="shared" si="3"/>
        <v>163.15799149999998</v>
      </c>
      <c r="P130">
        <v>0</v>
      </c>
    </row>
    <row r="131" spans="1:16" x14ac:dyDescent="0.25">
      <c r="A131" s="15"/>
      <c r="B131" s="15"/>
      <c r="C131">
        <v>20</v>
      </c>
      <c r="D131">
        <v>340.8</v>
      </c>
      <c r="E131">
        <v>85.2</v>
      </c>
      <c r="F131">
        <v>911.22</v>
      </c>
      <c r="G131">
        <v>1146.1400000000001</v>
      </c>
      <c r="H131">
        <v>0</v>
      </c>
      <c r="I131">
        <v>0</v>
      </c>
      <c r="J131">
        <v>0</v>
      </c>
      <c r="K131">
        <v>212.29</v>
      </c>
      <c r="L131">
        <v>90</v>
      </c>
      <c r="M131" s="10">
        <v>13.98</v>
      </c>
      <c r="N131" s="2">
        <f t="shared" si="4"/>
        <v>352.39778399999994</v>
      </c>
      <c r="O131" s="2">
        <f t="shared" ref="O131:O194" si="5">SUM((D131*5)+((F131*0.25)+(G131*0.2)+(H131*20)))*0.0755</f>
        <v>163.15799149999998</v>
      </c>
      <c r="P131">
        <v>0</v>
      </c>
    </row>
    <row r="132" spans="1:16" x14ac:dyDescent="0.25">
      <c r="A132" s="15"/>
      <c r="B132" s="15"/>
      <c r="C132">
        <v>25</v>
      </c>
      <c r="D132">
        <v>319.5</v>
      </c>
      <c r="E132">
        <v>106.5</v>
      </c>
      <c r="F132">
        <v>911.22</v>
      </c>
      <c r="G132">
        <v>1146.1400000000001</v>
      </c>
      <c r="H132">
        <v>0</v>
      </c>
      <c r="I132">
        <v>0</v>
      </c>
      <c r="J132">
        <v>0</v>
      </c>
      <c r="K132">
        <v>212.29</v>
      </c>
      <c r="L132">
        <v>7</v>
      </c>
      <c r="M132" s="10">
        <v>7.27</v>
      </c>
      <c r="N132" s="2">
        <f t="shared" si="4"/>
        <v>335.78378399999997</v>
      </c>
      <c r="O132" s="2">
        <f t="shared" si="5"/>
        <v>155.11724149999998</v>
      </c>
      <c r="P132">
        <v>0</v>
      </c>
    </row>
    <row r="133" spans="1:16" x14ac:dyDescent="0.25">
      <c r="A133" s="15"/>
      <c r="B133" s="15"/>
      <c r="C133">
        <v>25</v>
      </c>
      <c r="D133">
        <v>319.5</v>
      </c>
      <c r="E133">
        <v>106.5</v>
      </c>
      <c r="F133">
        <v>911.22</v>
      </c>
      <c r="G133">
        <v>1146.1400000000001</v>
      </c>
      <c r="H133">
        <v>0</v>
      </c>
      <c r="I133">
        <v>0</v>
      </c>
      <c r="J133">
        <v>0</v>
      </c>
      <c r="K133">
        <v>212.29</v>
      </c>
      <c r="L133">
        <v>14</v>
      </c>
      <c r="M133" s="10">
        <v>12.42</v>
      </c>
      <c r="N133" s="2">
        <f t="shared" si="4"/>
        <v>335.78378399999997</v>
      </c>
      <c r="O133" s="2">
        <f t="shared" si="5"/>
        <v>155.11724149999998</v>
      </c>
      <c r="P133">
        <v>0</v>
      </c>
    </row>
    <row r="134" spans="1:16" x14ac:dyDescent="0.25">
      <c r="A134" s="15"/>
      <c r="B134" s="15"/>
      <c r="C134">
        <v>25</v>
      </c>
      <c r="D134">
        <v>319.5</v>
      </c>
      <c r="E134">
        <v>106.5</v>
      </c>
      <c r="F134">
        <v>911.22</v>
      </c>
      <c r="G134">
        <v>1146.1400000000001</v>
      </c>
      <c r="H134">
        <v>0</v>
      </c>
      <c r="I134">
        <v>0</v>
      </c>
      <c r="J134">
        <v>0</v>
      </c>
      <c r="K134">
        <v>212.29</v>
      </c>
      <c r="L134">
        <v>56</v>
      </c>
      <c r="M134" s="10">
        <v>10.92</v>
      </c>
      <c r="N134" s="2">
        <f t="shared" si="4"/>
        <v>335.78378399999997</v>
      </c>
      <c r="O134" s="2">
        <f t="shared" si="5"/>
        <v>155.11724149999998</v>
      </c>
      <c r="P134">
        <v>0</v>
      </c>
    </row>
    <row r="135" spans="1:16" x14ac:dyDescent="0.25">
      <c r="A135" s="15"/>
      <c r="B135" s="15"/>
      <c r="C135">
        <v>25</v>
      </c>
      <c r="D135">
        <v>319.5</v>
      </c>
      <c r="E135">
        <v>106.5</v>
      </c>
      <c r="F135">
        <v>911.22</v>
      </c>
      <c r="G135">
        <v>1146.1400000000001</v>
      </c>
      <c r="H135">
        <v>0</v>
      </c>
      <c r="I135">
        <v>0</v>
      </c>
      <c r="J135">
        <v>0</v>
      </c>
      <c r="K135">
        <v>212.29</v>
      </c>
      <c r="L135">
        <v>90</v>
      </c>
      <c r="M135" s="10">
        <v>12.12</v>
      </c>
      <c r="N135" s="2">
        <f t="shared" si="4"/>
        <v>335.78378399999997</v>
      </c>
      <c r="O135" s="2">
        <f t="shared" si="5"/>
        <v>155.11724149999998</v>
      </c>
      <c r="P135">
        <v>0</v>
      </c>
    </row>
    <row r="136" spans="1:16" x14ac:dyDescent="0.25">
      <c r="A136" s="15"/>
      <c r="B136" s="15"/>
      <c r="C136">
        <v>30</v>
      </c>
      <c r="D136">
        <v>298.2</v>
      </c>
      <c r="E136">
        <v>127.8</v>
      </c>
      <c r="F136">
        <v>911.22</v>
      </c>
      <c r="G136">
        <v>1146.1400000000001</v>
      </c>
      <c r="H136">
        <v>0</v>
      </c>
      <c r="I136">
        <v>0</v>
      </c>
      <c r="J136">
        <v>0</v>
      </c>
      <c r="K136">
        <v>212.29</v>
      </c>
      <c r="L136">
        <v>7</v>
      </c>
      <c r="M136" s="10">
        <v>7.63</v>
      </c>
      <c r="N136" s="2">
        <f t="shared" si="4"/>
        <v>319.16978399999994</v>
      </c>
      <c r="O136" s="2">
        <f t="shared" si="5"/>
        <v>147.07649149999997</v>
      </c>
      <c r="P136">
        <v>0</v>
      </c>
    </row>
    <row r="137" spans="1:16" x14ac:dyDescent="0.25">
      <c r="A137" s="15"/>
      <c r="B137" s="15"/>
      <c r="C137">
        <v>30</v>
      </c>
      <c r="D137">
        <v>298.2</v>
      </c>
      <c r="E137">
        <v>127.8</v>
      </c>
      <c r="F137">
        <v>911.22</v>
      </c>
      <c r="G137">
        <v>1146.1400000000001</v>
      </c>
      <c r="H137">
        <v>0</v>
      </c>
      <c r="I137">
        <v>0</v>
      </c>
      <c r="J137">
        <v>0</v>
      </c>
      <c r="K137">
        <v>212.29</v>
      </c>
      <c r="L137">
        <v>14</v>
      </c>
      <c r="M137" s="10">
        <v>9.41</v>
      </c>
      <c r="N137" s="2">
        <f t="shared" si="4"/>
        <v>319.16978399999994</v>
      </c>
      <c r="O137" s="2">
        <f t="shared" si="5"/>
        <v>147.07649149999997</v>
      </c>
      <c r="P137">
        <v>0</v>
      </c>
    </row>
    <row r="138" spans="1:16" x14ac:dyDescent="0.25">
      <c r="A138" s="15"/>
      <c r="B138" s="15"/>
      <c r="C138">
        <v>30</v>
      </c>
      <c r="D138">
        <v>298.2</v>
      </c>
      <c r="E138">
        <v>127.8</v>
      </c>
      <c r="F138">
        <v>911.22</v>
      </c>
      <c r="G138">
        <v>1146.1400000000001</v>
      </c>
      <c r="H138">
        <v>0</v>
      </c>
      <c r="I138">
        <v>0</v>
      </c>
      <c r="J138">
        <v>0</v>
      </c>
      <c r="K138">
        <v>212.29</v>
      </c>
      <c r="L138">
        <v>56</v>
      </c>
      <c r="M138" s="10">
        <v>13.92</v>
      </c>
      <c r="N138" s="2">
        <f t="shared" si="4"/>
        <v>319.16978399999994</v>
      </c>
      <c r="O138" s="2">
        <f t="shared" si="5"/>
        <v>147.07649149999997</v>
      </c>
      <c r="P138">
        <v>0</v>
      </c>
    </row>
    <row r="139" spans="1:16" x14ac:dyDescent="0.25">
      <c r="A139" s="15"/>
      <c r="B139" s="15"/>
      <c r="C139">
        <v>30</v>
      </c>
      <c r="D139">
        <v>298.2</v>
      </c>
      <c r="E139">
        <v>127.8</v>
      </c>
      <c r="F139">
        <v>911.22</v>
      </c>
      <c r="G139">
        <v>1146.1400000000001</v>
      </c>
      <c r="H139">
        <v>0</v>
      </c>
      <c r="I139">
        <v>0</v>
      </c>
      <c r="J139">
        <v>0</v>
      </c>
      <c r="K139">
        <v>212.29</v>
      </c>
      <c r="L139">
        <v>90</v>
      </c>
      <c r="M139" s="10">
        <v>15.51</v>
      </c>
      <c r="N139" s="2">
        <f t="shared" si="4"/>
        <v>319.16978399999994</v>
      </c>
      <c r="O139" s="2">
        <f t="shared" si="5"/>
        <v>147.07649149999997</v>
      </c>
      <c r="P139">
        <v>0</v>
      </c>
    </row>
    <row r="140" spans="1:16" x14ac:dyDescent="0.25">
      <c r="A140" s="15"/>
      <c r="B140" s="15"/>
      <c r="C140">
        <v>35</v>
      </c>
      <c r="D140">
        <v>276.89999999999998</v>
      </c>
      <c r="E140">
        <v>149.1</v>
      </c>
      <c r="F140">
        <v>911.22</v>
      </c>
      <c r="G140">
        <v>1146.1400000000001</v>
      </c>
      <c r="H140">
        <v>0</v>
      </c>
      <c r="I140">
        <v>0</v>
      </c>
      <c r="J140">
        <v>0</v>
      </c>
      <c r="K140">
        <v>212.29</v>
      </c>
      <c r="L140">
        <v>7</v>
      </c>
      <c r="M140" s="10">
        <v>11.35</v>
      </c>
      <c r="N140" s="2">
        <f t="shared" si="4"/>
        <v>302.55578399999996</v>
      </c>
      <c r="O140" s="2">
        <f t="shared" si="5"/>
        <v>139.0357415</v>
      </c>
      <c r="P140">
        <v>0</v>
      </c>
    </row>
    <row r="141" spans="1:16" x14ac:dyDescent="0.25">
      <c r="A141" s="15"/>
      <c r="B141" s="15"/>
      <c r="C141">
        <v>35</v>
      </c>
      <c r="D141">
        <v>276.89999999999998</v>
      </c>
      <c r="E141">
        <v>149.1</v>
      </c>
      <c r="F141">
        <v>911.22</v>
      </c>
      <c r="G141">
        <v>1146.1400000000001</v>
      </c>
      <c r="H141">
        <v>0</v>
      </c>
      <c r="I141">
        <v>0</v>
      </c>
      <c r="J141">
        <v>0</v>
      </c>
      <c r="K141">
        <v>212.29</v>
      </c>
      <c r="L141">
        <v>14</v>
      </c>
      <c r="M141" s="10">
        <v>9.24</v>
      </c>
      <c r="N141" s="2">
        <f t="shared" si="4"/>
        <v>302.55578399999996</v>
      </c>
      <c r="O141" s="2">
        <f t="shared" si="5"/>
        <v>139.0357415</v>
      </c>
      <c r="P141">
        <v>0</v>
      </c>
    </row>
    <row r="142" spans="1:16" x14ac:dyDescent="0.25">
      <c r="A142" s="15"/>
      <c r="B142" s="15"/>
      <c r="C142">
        <v>35</v>
      </c>
      <c r="D142">
        <v>276.89999999999998</v>
      </c>
      <c r="E142">
        <v>149.1</v>
      </c>
      <c r="F142">
        <v>911.22</v>
      </c>
      <c r="G142">
        <v>1146.1400000000001</v>
      </c>
      <c r="H142">
        <v>0</v>
      </c>
      <c r="I142">
        <v>0</v>
      </c>
      <c r="J142">
        <v>0</v>
      </c>
      <c r="K142">
        <v>212.29</v>
      </c>
      <c r="L142">
        <v>56</v>
      </c>
      <c r="M142" s="10">
        <v>11.45</v>
      </c>
      <c r="N142" s="2">
        <f t="shared" si="4"/>
        <v>302.55578399999996</v>
      </c>
      <c r="O142" s="2">
        <f t="shared" si="5"/>
        <v>139.0357415</v>
      </c>
      <c r="P142">
        <v>0</v>
      </c>
    </row>
    <row r="143" spans="1:16" x14ac:dyDescent="0.25">
      <c r="A143" s="15"/>
      <c r="B143" s="15"/>
      <c r="C143">
        <v>35</v>
      </c>
      <c r="D143">
        <v>276.89999999999998</v>
      </c>
      <c r="E143">
        <v>149.1</v>
      </c>
      <c r="F143">
        <v>911.22</v>
      </c>
      <c r="G143">
        <v>1146.1400000000001</v>
      </c>
      <c r="H143">
        <v>0</v>
      </c>
      <c r="I143">
        <v>0</v>
      </c>
      <c r="J143">
        <v>0</v>
      </c>
      <c r="K143">
        <v>212.29</v>
      </c>
      <c r="L143">
        <v>90</v>
      </c>
      <c r="M143" s="10">
        <v>12</v>
      </c>
      <c r="N143" s="2">
        <f t="shared" si="4"/>
        <v>302.55578399999996</v>
      </c>
      <c r="O143" s="2">
        <f t="shared" si="5"/>
        <v>139.0357415</v>
      </c>
      <c r="P143">
        <v>0</v>
      </c>
    </row>
    <row r="144" spans="1:16" x14ac:dyDescent="0.25">
      <c r="A144" s="15"/>
      <c r="B144" s="15"/>
      <c r="C144">
        <v>40</v>
      </c>
      <c r="D144">
        <v>255.6</v>
      </c>
      <c r="E144">
        <v>170.4</v>
      </c>
      <c r="F144">
        <v>911.22</v>
      </c>
      <c r="G144">
        <v>1146.1400000000001</v>
      </c>
      <c r="H144">
        <v>0</v>
      </c>
      <c r="I144">
        <v>0</v>
      </c>
      <c r="J144">
        <v>0</v>
      </c>
      <c r="K144">
        <v>212.29</v>
      </c>
      <c r="L144">
        <v>7</v>
      </c>
      <c r="M144" s="10">
        <v>7.19</v>
      </c>
      <c r="N144" s="2">
        <f t="shared" si="4"/>
        <v>285.94178399999998</v>
      </c>
      <c r="O144" s="2">
        <f t="shared" si="5"/>
        <v>130.9949915</v>
      </c>
      <c r="P144">
        <v>0</v>
      </c>
    </row>
    <row r="145" spans="1:16" x14ac:dyDescent="0.25">
      <c r="A145" s="15"/>
      <c r="B145" s="15"/>
      <c r="C145">
        <v>40</v>
      </c>
      <c r="D145">
        <v>255.6</v>
      </c>
      <c r="E145">
        <v>170.4</v>
      </c>
      <c r="F145">
        <v>911.22</v>
      </c>
      <c r="G145">
        <v>1146.1400000000001</v>
      </c>
      <c r="H145">
        <v>0</v>
      </c>
      <c r="I145">
        <v>0</v>
      </c>
      <c r="J145">
        <v>0</v>
      </c>
      <c r="K145">
        <v>212.29</v>
      </c>
      <c r="L145">
        <v>14</v>
      </c>
      <c r="M145" s="10">
        <v>10.94</v>
      </c>
      <c r="N145" s="2">
        <f t="shared" si="4"/>
        <v>285.94178399999998</v>
      </c>
      <c r="O145" s="2">
        <f t="shared" si="5"/>
        <v>130.9949915</v>
      </c>
      <c r="P145">
        <v>0</v>
      </c>
    </row>
    <row r="146" spans="1:16" x14ac:dyDescent="0.25">
      <c r="A146" s="15"/>
      <c r="B146" s="15"/>
      <c r="C146">
        <v>40</v>
      </c>
      <c r="D146">
        <v>255.6</v>
      </c>
      <c r="E146">
        <v>170.4</v>
      </c>
      <c r="F146">
        <v>911.22</v>
      </c>
      <c r="G146">
        <v>1146.1400000000001</v>
      </c>
      <c r="H146">
        <v>0</v>
      </c>
      <c r="I146">
        <v>0</v>
      </c>
      <c r="J146">
        <v>0</v>
      </c>
      <c r="K146">
        <v>212.29</v>
      </c>
      <c r="L146">
        <v>56</v>
      </c>
      <c r="M146" s="10">
        <v>12.69</v>
      </c>
      <c r="N146" s="2">
        <f t="shared" si="4"/>
        <v>285.94178399999998</v>
      </c>
      <c r="O146" s="2">
        <f t="shared" si="5"/>
        <v>130.9949915</v>
      </c>
      <c r="P146">
        <v>0</v>
      </c>
    </row>
    <row r="147" spans="1:16" x14ac:dyDescent="0.25">
      <c r="A147" s="15"/>
      <c r="B147" s="15"/>
      <c r="C147">
        <v>40</v>
      </c>
      <c r="D147">
        <v>255.6</v>
      </c>
      <c r="E147">
        <v>170.4</v>
      </c>
      <c r="F147">
        <v>911.22</v>
      </c>
      <c r="G147">
        <v>1146.1400000000001</v>
      </c>
      <c r="H147">
        <v>0</v>
      </c>
      <c r="I147">
        <v>0</v>
      </c>
      <c r="J147">
        <v>0</v>
      </c>
      <c r="K147">
        <v>212.29</v>
      </c>
      <c r="L147">
        <v>90</v>
      </c>
      <c r="M147" s="10">
        <v>13.09</v>
      </c>
      <c r="N147" s="2">
        <f t="shared" si="4"/>
        <v>285.94178399999998</v>
      </c>
      <c r="O147" s="2">
        <f t="shared" si="5"/>
        <v>130.9949915</v>
      </c>
      <c r="P147">
        <v>0</v>
      </c>
    </row>
    <row r="148" spans="1:16" x14ac:dyDescent="0.25">
      <c r="A148" s="15"/>
      <c r="B148" s="15"/>
      <c r="C148">
        <v>45</v>
      </c>
      <c r="D148">
        <v>234.3</v>
      </c>
      <c r="E148">
        <v>191.7</v>
      </c>
      <c r="F148">
        <v>911.22</v>
      </c>
      <c r="G148">
        <v>1146.1400000000001</v>
      </c>
      <c r="H148">
        <v>0</v>
      </c>
      <c r="I148">
        <v>0</v>
      </c>
      <c r="J148">
        <v>0</v>
      </c>
      <c r="K148">
        <v>212.29</v>
      </c>
      <c r="L148">
        <v>7</v>
      </c>
      <c r="M148" s="10">
        <v>8.98</v>
      </c>
      <c r="N148" s="2">
        <f t="shared" si="4"/>
        <v>269.32778400000001</v>
      </c>
      <c r="O148" s="2">
        <f t="shared" si="5"/>
        <v>122.95424149999999</v>
      </c>
      <c r="P148">
        <v>0</v>
      </c>
    </row>
    <row r="149" spans="1:16" x14ac:dyDescent="0.25">
      <c r="A149" s="15"/>
      <c r="B149" s="15"/>
      <c r="C149">
        <v>45</v>
      </c>
      <c r="D149">
        <v>234.3</v>
      </c>
      <c r="E149">
        <v>191.7</v>
      </c>
      <c r="F149">
        <v>911.22</v>
      </c>
      <c r="G149">
        <v>1146.1400000000001</v>
      </c>
      <c r="H149">
        <v>0</v>
      </c>
      <c r="I149">
        <v>0</v>
      </c>
      <c r="J149">
        <v>0</v>
      </c>
      <c r="K149">
        <v>212.29</v>
      </c>
      <c r="L149">
        <v>14</v>
      </c>
      <c r="M149" s="10">
        <v>11.95</v>
      </c>
      <c r="N149" s="2">
        <f t="shared" si="4"/>
        <v>269.32778400000001</v>
      </c>
      <c r="O149" s="2">
        <f t="shared" si="5"/>
        <v>122.95424149999999</v>
      </c>
      <c r="P149">
        <v>0</v>
      </c>
    </row>
    <row r="150" spans="1:16" x14ac:dyDescent="0.25">
      <c r="A150" s="15"/>
      <c r="B150" s="15"/>
      <c r="C150">
        <v>45</v>
      </c>
      <c r="D150">
        <v>234.3</v>
      </c>
      <c r="E150">
        <v>191.7</v>
      </c>
      <c r="F150">
        <v>911.22</v>
      </c>
      <c r="G150">
        <v>1146.1400000000001</v>
      </c>
      <c r="H150">
        <v>0</v>
      </c>
      <c r="I150">
        <v>0</v>
      </c>
      <c r="J150">
        <v>0</v>
      </c>
      <c r="K150">
        <v>212.29</v>
      </c>
      <c r="L150">
        <v>56</v>
      </c>
      <c r="M150" s="10">
        <v>13.33</v>
      </c>
      <c r="N150" s="2">
        <f t="shared" ref="N150:N213" si="6">SUM((D150*0.83)+(E150*0.05)+(F150*0.0139)+(G150*0.0459)+(H150*2))</f>
        <v>269.32778400000001</v>
      </c>
      <c r="O150" s="2">
        <f t="shared" si="5"/>
        <v>122.95424149999999</v>
      </c>
      <c r="P150">
        <v>0</v>
      </c>
    </row>
    <row r="151" spans="1:16" x14ac:dyDescent="0.25">
      <c r="A151" s="15"/>
      <c r="B151" s="15"/>
      <c r="C151">
        <v>45</v>
      </c>
      <c r="D151">
        <v>234.3</v>
      </c>
      <c r="E151">
        <v>191.7</v>
      </c>
      <c r="F151">
        <v>911.22</v>
      </c>
      <c r="G151">
        <v>1146.1400000000001</v>
      </c>
      <c r="H151">
        <v>0</v>
      </c>
      <c r="I151">
        <v>0</v>
      </c>
      <c r="J151">
        <v>0</v>
      </c>
      <c r="K151">
        <v>212.29</v>
      </c>
      <c r="L151">
        <v>90</v>
      </c>
      <c r="M151" s="10">
        <v>12.06</v>
      </c>
      <c r="N151" s="2">
        <f t="shared" si="6"/>
        <v>269.32778400000001</v>
      </c>
      <c r="O151" s="2">
        <f t="shared" si="5"/>
        <v>122.95424149999999</v>
      </c>
      <c r="P151">
        <v>0</v>
      </c>
    </row>
    <row r="152" spans="1:16" x14ac:dyDescent="0.25">
      <c r="A152" s="15"/>
      <c r="B152" s="15"/>
      <c r="C152">
        <v>50</v>
      </c>
      <c r="D152">
        <v>213</v>
      </c>
      <c r="E152">
        <v>213</v>
      </c>
      <c r="F152">
        <v>911.22</v>
      </c>
      <c r="G152">
        <v>1146.1400000000001</v>
      </c>
      <c r="H152">
        <v>0</v>
      </c>
      <c r="I152">
        <v>0</v>
      </c>
      <c r="J152">
        <v>0</v>
      </c>
      <c r="K152">
        <v>212.29</v>
      </c>
      <c r="L152">
        <v>7</v>
      </c>
      <c r="M152" s="10">
        <v>6.14</v>
      </c>
      <c r="N152" s="2">
        <f t="shared" si="6"/>
        <v>252.713784</v>
      </c>
      <c r="O152" s="2">
        <f t="shared" si="5"/>
        <v>114.91349149999999</v>
      </c>
      <c r="P152">
        <v>0</v>
      </c>
    </row>
    <row r="153" spans="1:16" x14ac:dyDescent="0.25">
      <c r="A153" s="15"/>
      <c r="B153" s="15"/>
      <c r="C153">
        <v>50</v>
      </c>
      <c r="D153">
        <v>213</v>
      </c>
      <c r="E153">
        <v>213</v>
      </c>
      <c r="F153">
        <v>911.22</v>
      </c>
      <c r="G153">
        <v>1146.1400000000001</v>
      </c>
      <c r="H153">
        <v>0</v>
      </c>
      <c r="I153">
        <v>0</v>
      </c>
      <c r="J153">
        <v>0</v>
      </c>
      <c r="K153">
        <v>212.29</v>
      </c>
      <c r="L153">
        <v>14</v>
      </c>
      <c r="M153" s="10">
        <v>6.87</v>
      </c>
      <c r="N153" s="2">
        <f t="shared" si="6"/>
        <v>252.713784</v>
      </c>
      <c r="O153" s="2">
        <f t="shared" si="5"/>
        <v>114.91349149999999</v>
      </c>
      <c r="P153">
        <v>0</v>
      </c>
    </row>
    <row r="154" spans="1:16" x14ac:dyDescent="0.25">
      <c r="A154" s="15"/>
      <c r="B154" s="15"/>
      <c r="C154">
        <v>50</v>
      </c>
      <c r="D154">
        <v>213</v>
      </c>
      <c r="E154">
        <v>213</v>
      </c>
      <c r="F154">
        <v>911.22</v>
      </c>
      <c r="G154">
        <v>1146.1400000000001</v>
      </c>
      <c r="H154">
        <v>0</v>
      </c>
      <c r="I154">
        <v>0</v>
      </c>
      <c r="J154">
        <v>0</v>
      </c>
      <c r="K154">
        <v>212.29</v>
      </c>
      <c r="L154">
        <v>56</v>
      </c>
      <c r="M154" s="10">
        <v>11.04</v>
      </c>
      <c r="N154" s="2">
        <f t="shared" si="6"/>
        <v>252.713784</v>
      </c>
      <c r="O154" s="2">
        <f t="shared" si="5"/>
        <v>114.91349149999999</v>
      </c>
      <c r="P154">
        <v>0</v>
      </c>
    </row>
    <row r="155" spans="1:16" x14ac:dyDescent="0.25">
      <c r="A155" s="15"/>
      <c r="B155" s="15"/>
      <c r="C155">
        <v>50</v>
      </c>
      <c r="D155">
        <v>213</v>
      </c>
      <c r="E155">
        <v>213</v>
      </c>
      <c r="F155">
        <v>911.22</v>
      </c>
      <c r="G155">
        <v>1146.1400000000001</v>
      </c>
      <c r="H155">
        <v>0</v>
      </c>
      <c r="I155">
        <v>0</v>
      </c>
      <c r="J155">
        <v>0</v>
      </c>
      <c r="K155">
        <v>212.29</v>
      </c>
      <c r="L155">
        <v>90</v>
      </c>
      <c r="M155" s="10">
        <v>10.28</v>
      </c>
      <c r="N155" s="2">
        <f t="shared" si="6"/>
        <v>252.713784</v>
      </c>
      <c r="O155" s="2">
        <f t="shared" si="5"/>
        <v>114.91349149999999</v>
      </c>
      <c r="P155">
        <v>0</v>
      </c>
    </row>
    <row r="156" spans="1:16" x14ac:dyDescent="0.25">
      <c r="A156" s="15" t="s">
        <v>108</v>
      </c>
      <c r="B156" s="15" t="s">
        <v>109</v>
      </c>
      <c r="C156">
        <v>0</v>
      </c>
      <c r="D156">
        <v>466.3</v>
      </c>
      <c r="E156">
        <v>0</v>
      </c>
      <c r="F156">
        <v>700.3</v>
      </c>
      <c r="G156">
        <v>1107.5999999999999</v>
      </c>
      <c r="H156">
        <v>0</v>
      </c>
      <c r="I156">
        <v>0</v>
      </c>
      <c r="J156">
        <v>0</v>
      </c>
      <c r="K156">
        <v>190.1</v>
      </c>
      <c r="L156">
        <v>14</v>
      </c>
      <c r="M156" s="10">
        <v>22.79</v>
      </c>
      <c r="N156" s="2">
        <f t="shared" si="6"/>
        <v>447.60201000000001</v>
      </c>
      <c r="O156" s="2">
        <f t="shared" si="5"/>
        <v>205.97117249999997</v>
      </c>
      <c r="P156">
        <v>0</v>
      </c>
    </row>
    <row r="157" spans="1:16" x14ac:dyDescent="0.25">
      <c r="A157" s="15"/>
      <c r="B157" s="15"/>
      <c r="C157">
        <v>0</v>
      </c>
      <c r="D157">
        <v>466.3</v>
      </c>
      <c r="E157">
        <v>0</v>
      </c>
      <c r="F157">
        <v>700.3</v>
      </c>
      <c r="G157">
        <v>1107.5999999999999</v>
      </c>
      <c r="H157">
        <v>0</v>
      </c>
      <c r="I157">
        <v>0</v>
      </c>
      <c r="J157">
        <v>0</v>
      </c>
      <c r="K157">
        <v>190.1</v>
      </c>
      <c r="L157">
        <v>21</v>
      </c>
      <c r="M157" s="10">
        <v>29.8</v>
      </c>
      <c r="N157" s="2">
        <f t="shared" si="6"/>
        <v>447.60201000000001</v>
      </c>
      <c r="O157" s="2">
        <f t="shared" si="5"/>
        <v>205.97117249999997</v>
      </c>
      <c r="P157">
        <v>0</v>
      </c>
    </row>
    <row r="158" spans="1:16" x14ac:dyDescent="0.25">
      <c r="A158" s="15"/>
      <c r="B158" s="15"/>
      <c r="C158">
        <v>0</v>
      </c>
      <c r="D158">
        <v>466.3</v>
      </c>
      <c r="E158">
        <v>0</v>
      </c>
      <c r="F158">
        <v>700.3</v>
      </c>
      <c r="G158">
        <v>1107.5999999999999</v>
      </c>
      <c r="H158">
        <v>0</v>
      </c>
      <c r="I158">
        <v>0</v>
      </c>
      <c r="J158">
        <v>0</v>
      </c>
      <c r="K158">
        <v>190.1</v>
      </c>
      <c r="L158">
        <v>56</v>
      </c>
      <c r="M158" s="10">
        <v>31.75</v>
      </c>
      <c r="N158" s="2">
        <f t="shared" si="6"/>
        <v>447.60201000000001</v>
      </c>
      <c r="O158" s="2">
        <f t="shared" si="5"/>
        <v>205.97117249999997</v>
      </c>
      <c r="P158">
        <v>0</v>
      </c>
    </row>
    <row r="159" spans="1:16" x14ac:dyDescent="0.25">
      <c r="A159" s="15"/>
      <c r="B159" s="15"/>
      <c r="C159">
        <v>0</v>
      </c>
      <c r="D159">
        <v>466.3</v>
      </c>
      <c r="E159">
        <v>0</v>
      </c>
      <c r="F159">
        <v>700.3</v>
      </c>
      <c r="G159">
        <v>1107.5999999999999</v>
      </c>
      <c r="H159">
        <v>0</v>
      </c>
      <c r="I159">
        <v>0</v>
      </c>
      <c r="J159">
        <v>0</v>
      </c>
      <c r="K159">
        <v>190.1</v>
      </c>
      <c r="L159">
        <v>90</v>
      </c>
      <c r="M159" s="10">
        <v>35.32</v>
      </c>
      <c r="N159" s="2">
        <f t="shared" si="6"/>
        <v>447.60201000000001</v>
      </c>
      <c r="O159" s="2">
        <f t="shared" si="5"/>
        <v>205.97117249999997</v>
      </c>
      <c r="P159">
        <v>0</v>
      </c>
    </row>
    <row r="160" spans="1:16" x14ac:dyDescent="0.25">
      <c r="A160" s="15"/>
      <c r="B160" s="15"/>
      <c r="C160">
        <v>5</v>
      </c>
      <c r="D160">
        <v>442.98500000000001</v>
      </c>
      <c r="E160">
        <v>23.315000000000001</v>
      </c>
      <c r="F160">
        <v>700.3</v>
      </c>
      <c r="G160">
        <v>1107.5999999999999</v>
      </c>
      <c r="H160">
        <v>0</v>
      </c>
      <c r="I160">
        <v>0</v>
      </c>
      <c r="J160">
        <v>0</v>
      </c>
      <c r="K160">
        <v>190.1</v>
      </c>
      <c r="L160">
        <v>14</v>
      </c>
      <c r="M160" s="10">
        <v>26.19</v>
      </c>
      <c r="N160" s="2">
        <f t="shared" si="6"/>
        <v>429.41631000000001</v>
      </c>
      <c r="O160" s="2">
        <f t="shared" si="5"/>
        <v>197.16976</v>
      </c>
      <c r="P160">
        <v>0</v>
      </c>
    </row>
    <row r="161" spans="1:16" x14ac:dyDescent="0.25">
      <c r="A161" s="15"/>
      <c r="B161" s="15"/>
      <c r="C161">
        <v>5</v>
      </c>
      <c r="D161">
        <v>442.98500000000001</v>
      </c>
      <c r="E161">
        <v>23.315000000000001</v>
      </c>
      <c r="F161">
        <v>700.3</v>
      </c>
      <c r="G161">
        <v>1107.5999999999999</v>
      </c>
      <c r="H161">
        <v>0</v>
      </c>
      <c r="I161">
        <v>0</v>
      </c>
      <c r="J161">
        <v>0</v>
      </c>
      <c r="K161">
        <v>190.1</v>
      </c>
      <c r="L161">
        <v>21</v>
      </c>
      <c r="M161" s="10">
        <v>23.5</v>
      </c>
      <c r="N161" s="2">
        <f t="shared" si="6"/>
        <v>429.41631000000001</v>
      </c>
      <c r="O161" s="2">
        <f t="shared" si="5"/>
        <v>197.16976</v>
      </c>
      <c r="P161">
        <v>0</v>
      </c>
    </row>
    <row r="162" spans="1:16" x14ac:dyDescent="0.25">
      <c r="A162" s="15"/>
      <c r="B162" s="15"/>
      <c r="C162">
        <v>5</v>
      </c>
      <c r="D162">
        <v>442.98500000000001</v>
      </c>
      <c r="E162">
        <v>23.315000000000001</v>
      </c>
      <c r="F162">
        <v>700.3</v>
      </c>
      <c r="G162">
        <v>1107.5999999999999</v>
      </c>
      <c r="H162">
        <v>0</v>
      </c>
      <c r="I162">
        <v>0</v>
      </c>
      <c r="J162">
        <v>0</v>
      </c>
      <c r="K162">
        <v>190.1</v>
      </c>
      <c r="L162">
        <v>56</v>
      </c>
      <c r="M162" s="10">
        <v>29.4</v>
      </c>
      <c r="N162" s="2">
        <f t="shared" si="6"/>
        <v>429.41631000000001</v>
      </c>
      <c r="O162" s="2">
        <f t="shared" si="5"/>
        <v>197.16976</v>
      </c>
      <c r="P162">
        <v>0</v>
      </c>
    </row>
    <row r="163" spans="1:16" x14ac:dyDescent="0.25">
      <c r="A163" s="15"/>
      <c r="B163" s="15"/>
      <c r="C163">
        <v>5</v>
      </c>
      <c r="D163">
        <v>442.98500000000001</v>
      </c>
      <c r="E163">
        <v>23.315000000000001</v>
      </c>
      <c r="F163">
        <v>700.3</v>
      </c>
      <c r="G163">
        <v>1107.5999999999999</v>
      </c>
      <c r="H163">
        <v>0</v>
      </c>
      <c r="I163">
        <v>0</v>
      </c>
      <c r="J163">
        <v>0</v>
      </c>
      <c r="K163">
        <v>190.1</v>
      </c>
      <c r="L163">
        <v>90</v>
      </c>
      <c r="M163" s="10">
        <v>34.82</v>
      </c>
      <c r="N163" s="2">
        <f t="shared" si="6"/>
        <v>429.41631000000001</v>
      </c>
      <c r="O163" s="2">
        <f t="shared" si="5"/>
        <v>197.16976</v>
      </c>
      <c r="P163">
        <v>0</v>
      </c>
    </row>
    <row r="164" spans="1:16" x14ac:dyDescent="0.25">
      <c r="A164" s="15"/>
      <c r="B164" s="15"/>
      <c r="C164">
        <v>10</v>
      </c>
      <c r="D164">
        <v>419.67</v>
      </c>
      <c r="E164">
        <v>46.63</v>
      </c>
      <c r="F164">
        <v>700.3</v>
      </c>
      <c r="G164">
        <v>1107.5999999999999</v>
      </c>
      <c r="H164">
        <v>0</v>
      </c>
      <c r="I164">
        <v>0</v>
      </c>
      <c r="J164">
        <v>0</v>
      </c>
      <c r="K164">
        <v>190.1</v>
      </c>
      <c r="L164">
        <v>14</v>
      </c>
      <c r="M164" s="10">
        <v>26.49</v>
      </c>
      <c r="N164" s="2">
        <f t="shared" si="6"/>
        <v>411.23061000000001</v>
      </c>
      <c r="O164" s="2">
        <f t="shared" si="5"/>
        <v>188.36834749999997</v>
      </c>
      <c r="P164">
        <v>0</v>
      </c>
    </row>
    <row r="165" spans="1:16" x14ac:dyDescent="0.25">
      <c r="A165" s="15"/>
      <c r="B165" s="15"/>
      <c r="C165">
        <v>10</v>
      </c>
      <c r="D165">
        <v>419.67</v>
      </c>
      <c r="E165">
        <v>46.63</v>
      </c>
      <c r="F165">
        <v>700.3</v>
      </c>
      <c r="G165">
        <v>1107.5999999999999</v>
      </c>
      <c r="H165">
        <v>0</v>
      </c>
      <c r="I165">
        <v>0</v>
      </c>
      <c r="J165">
        <v>0</v>
      </c>
      <c r="K165">
        <v>190.1</v>
      </c>
      <c r="L165">
        <v>21</v>
      </c>
      <c r="M165" s="10">
        <v>24.79</v>
      </c>
      <c r="N165" s="2">
        <f t="shared" si="6"/>
        <v>411.23061000000001</v>
      </c>
      <c r="O165" s="2">
        <f t="shared" si="5"/>
        <v>188.36834749999997</v>
      </c>
      <c r="P165">
        <v>0</v>
      </c>
    </row>
    <row r="166" spans="1:16" x14ac:dyDescent="0.25">
      <c r="A166" s="15"/>
      <c r="B166" s="15"/>
      <c r="C166">
        <v>10</v>
      </c>
      <c r="D166">
        <v>419.67</v>
      </c>
      <c r="E166">
        <v>46.63</v>
      </c>
      <c r="F166">
        <v>700.3</v>
      </c>
      <c r="G166">
        <v>1107.5999999999999</v>
      </c>
      <c r="H166">
        <v>0</v>
      </c>
      <c r="I166">
        <v>0</v>
      </c>
      <c r="J166">
        <v>0</v>
      </c>
      <c r="K166">
        <v>190.1</v>
      </c>
      <c r="L166">
        <v>56</v>
      </c>
      <c r="M166" s="10">
        <v>27.02</v>
      </c>
      <c r="N166" s="2">
        <f t="shared" si="6"/>
        <v>411.23061000000001</v>
      </c>
      <c r="O166" s="2">
        <f t="shared" si="5"/>
        <v>188.36834749999997</v>
      </c>
      <c r="P166">
        <v>0</v>
      </c>
    </row>
    <row r="167" spans="1:16" x14ac:dyDescent="0.25">
      <c r="A167" s="15"/>
      <c r="B167" s="15"/>
      <c r="C167">
        <v>10</v>
      </c>
      <c r="D167">
        <v>419.67</v>
      </c>
      <c r="E167">
        <v>46.63</v>
      </c>
      <c r="F167">
        <v>700.3</v>
      </c>
      <c r="G167">
        <v>1107.5999999999999</v>
      </c>
      <c r="H167">
        <v>0</v>
      </c>
      <c r="I167">
        <v>0</v>
      </c>
      <c r="J167">
        <v>0</v>
      </c>
      <c r="K167">
        <v>190.1</v>
      </c>
      <c r="L167">
        <v>90</v>
      </c>
      <c r="M167" s="10">
        <v>30.02</v>
      </c>
      <c r="N167" s="2">
        <f t="shared" si="6"/>
        <v>411.23061000000001</v>
      </c>
      <c r="O167" s="2">
        <f t="shared" si="5"/>
        <v>188.36834749999997</v>
      </c>
      <c r="P167">
        <v>0</v>
      </c>
    </row>
    <row r="168" spans="1:16" x14ac:dyDescent="0.25">
      <c r="A168" s="15"/>
      <c r="B168" s="15"/>
      <c r="C168">
        <v>15</v>
      </c>
      <c r="D168">
        <v>396.35500000000002</v>
      </c>
      <c r="E168">
        <v>69.944999999999993</v>
      </c>
      <c r="F168">
        <v>700.3</v>
      </c>
      <c r="G168">
        <v>1107.5999999999999</v>
      </c>
      <c r="H168">
        <v>0</v>
      </c>
      <c r="I168">
        <v>0</v>
      </c>
      <c r="J168">
        <v>0</v>
      </c>
      <c r="K168">
        <v>190.1</v>
      </c>
      <c r="L168">
        <v>14</v>
      </c>
      <c r="M168" s="10">
        <v>23.72</v>
      </c>
      <c r="N168" s="2">
        <f t="shared" si="6"/>
        <v>393.04491000000002</v>
      </c>
      <c r="O168" s="2">
        <f t="shared" si="5"/>
        <v>179.56693499999997</v>
      </c>
      <c r="P168">
        <v>0</v>
      </c>
    </row>
    <row r="169" spans="1:16" x14ac:dyDescent="0.25">
      <c r="A169" s="15"/>
      <c r="B169" s="15"/>
      <c r="C169">
        <v>15</v>
      </c>
      <c r="D169">
        <v>396.35500000000002</v>
      </c>
      <c r="E169">
        <v>69.944999999999993</v>
      </c>
      <c r="F169">
        <v>700.3</v>
      </c>
      <c r="G169">
        <v>1107.5999999999999</v>
      </c>
      <c r="H169">
        <v>0</v>
      </c>
      <c r="I169">
        <v>0</v>
      </c>
      <c r="J169">
        <v>0</v>
      </c>
      <c r="K169">
        <v>190.1</v>
      </c>
      <c r="L169">
        <v>21</v>
      </c>
      <c r="M169" s="10">
        <v>28.9</v>
      </c>
      <c r="N169" s="2">
        <f t="shared" si="6"/>
        <v>393.04491000000002</v>
      </c>
      <c r="O169" s="2">
        <f t="shared" si="5"/>
        <v>179.56693499999997</v>
      </c>
      <c r="P169">
        <v>0</v>
      </c>
    </row>
    <row r="170" spans="1:16" x14ac:dyDescent="0.25">
      <c r="A170" s="15"/>
      <c r="B170" s="15"/>
      <c r="C170">
        <v>15</v>
      </c>
      <c r="D170">
        <v>396.35500000000002</v>
      </c>
      <c r="E170">
        <v>69.944999999999993</v>
      </c>
      <c r="F170">
        <v>700.3</v>
      </c>
      <c r="G170">
        <v>1107.5999999999999</v>
      </c>
      <c r="H170">
        <v>0</v>
      </c>
      <c r="I170">
        <v>0</v>
      </c>
      <c r="J170">
        <v>0</v>
      </c>
      <c r="K170">
        <v>190.1</v>
      </c>
      <c r="L170">
        <v>56</v>
      </c>
      <c r="M170" s="10">
        <v>29.93</v>
      </c>
      <c r="N170" s="2">
        <f t="shared" si="6"/>
        <v>393.04491000000002</v>
      </c>
      <c r="O170" s="2">
        <f t="shared" si="5"/>
        <v>179.56693499999997</v>
      </c>
      <c r="P170">
        <v>0</v>
      </c>
    </row>
    <row r="171" spans="1:16" x14ac:dyDescent="0.25">
      <c r="A171" s="15"/>
      <c r="B171" s="15"/>
      <c r="C171">
        <v>15</v>
      </c>
      <c r="D171">
        <v>396.35500000000002</v>
      </c>
      <c r="E171">
        <v>69.944999999999993</v>
      </c>
      <c r="F171">
        <v>700.3</v>
      </c>
      <c r="G171">
        <v>1107.5999999999999</v>
      </c>
      <c r="H171">
        <v>0</v>
      </c>
      <c r="I171">
        <v>0</v>
      </c>
      <c r="J171">
        <v>0</v>
      </c>
      <c r="K171">
        <v>190.1</v>
      </c>
      <c r="L171">
        <v>90</v>
      </c>
      <c r="M171" s="10">
        <v>30.47</v>
      </c>
      <c r="N171" s="2">
        <f t="shared" si="6"/>
        <v>393.04491000000002</v>
      </c>
      <c r="O171" s="2">
        <f t="shared" si="5"/>
        <v>179.56693499999997</v>
      </c>
      <c r="P171">
        <v>0</v>
      </c>
    </row>
    <row r="172" spans="1:16" x14ac:dyDescent="0.25">
      <c r="A172" s="15"/>
      <c r="B172" s="15"/>
      <c r="C172">
        <v>16</v>
      </c>
      <c r="D172">
        <v>391.69200000000001</v>
      </c>
      <c r="E172">
        <v>74.608000000000004</v>
      </c>
      <c r="F172">
        <v>700.3</v>
      </c>
      <c r="G172">
        <v>1107.5999999999999</v>
      </c>
      <c r="H172">
        <v>0</v>
      </c>
      <c r="I172">
        <v>0</v>
      </c>
      <c r="J172">
        <v>0</v>
      </c>
      <c r="K172">
        <v>190.1</v>
      </c>
      <c r="L172">
        <v>14</v>
      </c>
      <c r="M172" s="10">
        <v>23.62</v>
      </c>
      <c r="N172" s="2">
        <f t="shared" si="6"/>
        <v>389.40776999999997</v>
      </c>
      <c r="O172" s="2">
        <f t="shared" si="5"/>
        <v>177.80665249999998</v>
      </c>
      <c r="P172">
        <v>0</v>
      </c>
    </row>
    <row r="173" spans="1:16" x14ac:dyDescent="0.25">
      <c r="A173" s="15"/>
      <c r="B173" s="15"/>
      <c r="C173">
        <v>16</v>
      </c>
      <c r="D173">
        <v>391.69200000000001</v>
      </c>
      <c r="E173">
        <v>74.608000000000004</v>
      </c>
      <c r="F173">
        <v>700.3</v>
      </c>
      <c r="G173">
        <v>1107.5999999999999</v>
      </c>
      <c r="H173">
        <v>0</v>
      </c>
      <c r="I173">
        <v>0</v>
      </c>
      <c r="J173">
        <v>0</v>
      </c>
      <c r="K173">
        <v>190.1</v>
      </c>
      <c r="L173">
        <v>21</v>
      </c>
      <c r="M173" s="10">
        <v>24.47</v>
      </c>
      <c r="N173" s="2">
        <f t="shared" si="6"/>
        <v>389.40776999999997</v>
      </c>
      <c r="O173" s="2">
        <f t="shared" si="5"/>
        <v>177.80665249999998</v>
      </c>
      <c r="P173">
        <v>0</v>
      </c>
    </row>
    <row r="174" spans="1:16" x14ac:dyDescent="0.25">
      <c r="A174" s="15"/>
      <c r="B174" s="15"/>
      <c r="C174">
        <v>16</v>
      </c>
      <c r="D174">
        <v>391.69200000000001</v>
      </c>
      <c r="E174">
        <v>74.608000000000004</v>
      </c>
      <c r="F174">
        <v>700.3</v>
      </c>
      <c r="G174">
        <v>1107.5999999999999</v>
      </c>
      <c r="H174">
        <v>0</v>
      </c>
      <c r="I174">
        <v>0</v>
      </c>
      <c r="J174">
        <v>0</v>
      </c>
      <c r="K174">
        <v>190.1</v>
      </c>
      <c r="L174">
        <v>56</v>
      </c>
      <c r="M174" s="10">
        <v>28.47</v>
      </c>
      <c r="N174" s="2">
        <f t="shared" si="6"/>
        <v>389.40776999999997</v>
      </c>
      <c r="O174" s="2">
        <f t="shared" si="5"/>
        <v>177.80665249999998</v>
      </c>
      <c r="P174">
        <v>0</v>
      </c>
    </row>
    <row r="175" spans="1:16" x14ac:dyDescent="0.25">
      <c r="A175" s="15"/>
      <c r="B175" s="15"/>
      <c r="C175">
        <v>16</v>
      </c>
      <c r="D175">
        <v>391.69200000000001</v>
      </c>
      <c r="E175">
        <v>74.608000000000004</v>
      </c>
      <c r="F175">
        <v>700.3</v>
      </c>
      <c r="G175">
        <v>1107.5999999999999</v>
      </c>
      <c r="H175">
        <v>0</v>
      </c>
      <c r="I175">
        <v>0</v>
      </c>
      <c r="J175">
        <v>0</v>
      </c>
      <c r="K175">
        <v>190.1</v>
      </c>
      <c r="L175">
        <v>90</v>
      </c>
      <c r="M175" s="10">
        <v>25.41</v>
      </c>
      <c r="N175" s="2">
        <f t="shared" si="6"/>
        <v>389.40776999999997</v>
      </c>
      <c r="O175" s="2">
        <f t="shared" si="5"/>
        <v>177.80665249999998</v>
      </c>
      <c r="P175">
        <v>0</v>
      </c>
    </row>
    <row r="176" spans="1:16" x14ac:dyDescent="0.25">
      <c r="A176" s="15"/>
      <c r="B176" s="15"/>
      <c r="C176">
        <v>20</v>
      </c>
      <c r="D176">
        <v>373.04</v>
      </c>
      <c r="E176">
        <v>93.26</v>
      </c>
      <c r="F176">
        <v>700.3</v>
      </c>
      <c r="G176">
        <v>1107.5999999999999</v>
      </c>
      <c r="H176">
        <v>0</v>
      </c>
      <c r="I176">
        <v>0</v>
      </c>
      <c r="J176">
        <v>0</v>
      </c>
      <c r="K176">
        <v>190.1</v>
      </c>
      <c r="L176">
        <v>14</v>
      </c>
      <c r="M176" s="10">
        <v>23.41</v>
      </c>
      <c r="N176" s="2">
        <f t="shared" si="6"/>
        <v>374.85921000000002</v>
      </c>
      <c r="O176" s="2">
        <f t="shared" si="5"/>
        <v>170.7655225</v>
      </c>
      <c r="P176">
        <v>0</v>
      </c>
    </row>
    <row r="177" spans="1:16" x14ac:dyDescent="0.25">
      <c r="A177" s="15"/>
      <c r="B177" s="15"/>
      <c r="C177">
        <v>20</v>
      </c>
      <c r="D177">
        <v>373.04</v>
      </c>
      <c r="E177">
        <v>93.26</v>
      </c>
      <c r="F177">
        <v>700.3</v>
      </c>
      <c r="G177">
        <v>1107.5999999999999</v>
      </c>
      <c r="H177">
        <v>0</v>
      </c>
      <c r="I177">
        <v>0</v>
      </c>
      <c r="J177">
        <v>0</v>
      </c>
      <c r="K177">
        <v>190.1</v>
      </c>
      <c r="L177">
        <v>21</v>
      </c>
      <c r="M177" s="10">
        <v>26.22</v>
      </c>
      <c r="N177" s="2">
        <f t="shared" si="6"/>
        <v>374.85921000000002</v>
      </c>
      <c r="O177" s="2">
        <f t="shared" si="5"/>
        <v>170.7655225</v>
      </c>
      <c r="P177">
        <v>0</v>
      </c>
    </row>
    <row r="178" spans="1:16" x14ac:dyDescent="0.25">
      <c r="A178" s="15"/>
      <c r="B178" s="15"/>
      <c r="C178">
        <v>20</v>
      </c>
      <c r="D178">
        <v>373.04</v>
      </c>
      <c r="E178">
        <v>93.26</v>
      </c>
      <c r="F178">
        <v>700.3</v>
      </c>
      <c r="G178">
        <v>1107.5999999999999</v>
      </c>
      <c r="H178">
        <v>0</v>
      </c>
      <c r="I178">
        <v>0</v>
      </c>
      <c r="J178">
        <v>0</v>
      </c>
      <c r="K178">
        <v>190.1</v>
      </c>
      <c r="L178">
        <v>56</v>
      </c>
      <c r="M178" s="10">
        <v>27.5</v>
      </c>
      <c r="N178" s="2">
        <f t="shared" si="6"/>
        <v>374.85921000000002</v>
      </c>
      <c r="O178" s="2">
        <f t="shared" si="5"/>
        <v>170.7655225</v>
      </c>
      <c r="P178">
        <v>0</v>
      </c>
    </row>
    <row r="179" spans="1:16" x14ac:dyDescent="0.25">
      <c r="A179" s="15"/>
      <c r="B179" s="15"/>
      <c r="C179">
        <v>20</v>
      </c>
      <c r="D179">
        <v>373.04</v>
      </c>
      <c r="E179">
        <v>93.26</v>
      </c>
      <c r="F179">
        <v>700.3</v>
      </c>
      <c r="G179">
        <v>1107.5999999999999</v>
      </c>
      <c r="H179">
        <v>0</v>
      </c>
      <c r="I179">
        <v>0</v>
      </c>
      <c r="J179">
        <v>0</v>
      </c>
      <c r="K179">
        <v>190.1</v>
      </c>
      <c r="L179">
        <v>90</v>
      </c>
      <c r="M179" s="10">
        <v>26.12</v>
      </c>
      <c r="N179" s="2">
        <f t="shared" si="6"/>
        <v>374.85921000000002</v>
      </c>
      <c r="O179" s="2">
        <f t="shared" si="5"/>
        <v>170.7655225</v>
      </c>
      <c r="P179">
        <v>0</v>
      </c>
    </row>
    <row r="180" spans="1:16" x14ac:dyDescent="0.25">
      <c r="A180" s="15"/>
      <c r="B180" s="15"/>
      <c r="C180">
        <v>25</v>
      </c>
      <c r="D180">
        <v>349.72500000000002</v>
      </c>
      <c r="E180">
        <v>116.575</v>
      </c>
      <c r="F180">
        <v>700.3</v>
      </c>
      <c r="G180">
        <v>1107.5999999999999</v>
      </c>
      <c r="H180">
        <v>0</v>
      </c>
      <c r="I180">
        <v>0</v>
      </c>
      <c r="J180">
        <v>0</v>
      </c>
      <c r="K180">
        <v>190.1</v>
      </c>
      <c r="L180">
        <v>14</v>
      </c>
      <c r="M180" s="10">
        <v>22.68</v>
      </c>
      <c r="N180" s="2">
        <f t="shared" si="6"/>
        <v>356.67351000000002</v>
      </c>
      <c r="O180" s="2">
        <f t="shared" si="5"/>
        <v>161.96410999999998</v>
      </c>
      <c r="P180">
        <v>0</v>
      </c>
    </row>
    <row r="181" spans="1:16" x14ac:dyDescent="0.25">
      <c r="A181" s="15"/>
      <c r="B181" s="15"/>
      <c r="C181">
        <v>25</v>
      </c>
      <c r="D181">
        <v>349.72500000000002</v>
      </c>
      <c r="E181">
        <v>116.575</v>
      </c>
      <c r="F181">
        <v>700.3</v>
      </c>
      <c r="G181">
        <v>1107.5999999999999</v>
      </c>
      <c r="H181">
        <v>0</v>
      </c>
      <c r="I181">
        <v>0</v>
      </c>
      <c r="J181">
        <v>0</v>
      </c>
      <c r="K181">
        <v>190.1</v>
      </c>
      <c r="L181">
        <v>21</v>
      </c>
      <c r="M181" s="10">
        <v>21.74</v>
      </c>
      <c r="N181" s="2">
        <f t="shared" si="6"/>
        <v>356.67351000000002</v>
      </c>
      <c r="O181" s="2">
        <f t="shared" si="5"/>
        <v>161.96410999999998</v>
      </c>
      <c r="P181">
        <v>0</v>
      </c>
    </row>
    <row r="182" spans="1:16" x14ac:dyDescent="0.25">
      <c r="A182" s="15"/>
      <c r="B182" s="15"/>
      <c r="C182">
        <v>25</v>
      </c>
      <c r="D182">
        <v>349.72500000000002</v>
      </c>
      <c r="E182">
        <v>116.575</v>
      </c>
      <c r="F182">
        <v>700.3</v>
      </c>
      <c r="G182">
        <v>1107.5999999999999</v>
      </c>
      <c r="H182">
        <v>0</v>
      </c>
      <c r="I182">
        <v>0</v>
      </c>
      <c r="J182">
        <v>0</v>
      </c>
      <c r="K182">
        <v>190.1</v>
      </c>
      <c r="L182">
        <v>56</v>
      </c>
      <c r="M182" s="10">
        <v>27.04</v>
      </c>
      <c r="N182" s="2">
        <f t="shared" si="6"/>
        <v>356.67351000000002</v>
      </c>
      <c r="O182" s="2">
        <f t="shared" si="5"/>
        <v>161.96410999999998</v>
      </c>
      <c r="P182">
        <v>0</v>
      </c>
    </row>
    <row r="183" spans="1:16" x14ac:dyDescent="0.25">
      <c r="A183" s="15"/>
      <c r="B183" s="15"/>
      <c r="C183">
        <v>25</v>
      </c>
      <c r="D183">
        <v>349.72500000000002</v>
      </c>
      <c r="E183">
        <v>116.575</v>
      </c>
      <c r="F183">
        <v>700.3</v>
      </c>
      <c r="G183">
        <v>1107.5999999999999</v>
      </c>
      <c r="H183">
        <v>0</v>
      </c>
      <c r="I183">
        <v>0</v>
      </c>
      <c r="J183">
        <v>0</v>
      </c>
      <c r="K183">
        <v>190.1</v>
      </c>
      <c r="L183">
        <v>90</v>
      </c>
      <c r="M183" s="10">
        <v>28.25</v>
      </c>
      <c r="N183" s="2">
        <f t="shared" si="6"/>
        <v>356.67351000000002</v>
      </c>
      <c r="O183" s="2">
        <f t="shared" si="5"/>
        <v>161.96410999999998</v>
      </c>
      <c r="P183">
        <v>0</v>
      </c>
    </row>
    <row r="184" spans="1:16" x14ac:dyDescent="0.25">
      <c r="A184" s="15"/>
      <c r="B184" s="15"/>
      <c r="C184">
        <v>30</v>
      </c>
      <c r="D184">
        <v>326.41000000000003</v>
      </c>
      <c r="E184">
        <v>139.88999999999999</v>
      </c>
      <c r="F184">
        <v>700.3</v>
      </c>
      <c r="G184">
        <v>1107.5999999999999</v>
      </c>
      <c r="H184">
        <v>0</v>
      </c>
      <c r="I184">
        <v>0</v>
      </c>
      <c r="J184">
        <v>0</v>
      </c>
      <c r="K184">
        <v>190.1</v>
      </c>
      <c r="L184">
        <v>14</v>
      </c>
      <c r="M184" s="10">
        <v>16.77</v>
      </c>
      <c r="N184" s="2">
        <f t="shared" si="6"/>
        <v>338.48781000000002</v>
      </c>
      <c r="O184" s="2">
        <f t="shared" si="5"/>
        <v>153.16269750000001</v>
      </c>
      <c r="P184">
        <v>0</v>
      </c>
    </row>
    <row r="185" spans="1:16" x14ac:dyDescent="0.25">
      <c r="A185" s="15"/>
      <c r="B185" s="15"/>
      <c r="C185">
        <v>30</v>
      </c>
      <c r="D185">
        <v>326.41000000000003</v>
      </c>
      <c r="E185">
        <v>139.88999999999999</v>
      </c>
      <c r="F185">
        <v>700.3</v>
      </c>
      <c r="G185">
        <v>1107.5999999999999</v>
      </c>
      <c r="H185">
        <v>0</v>
      </c>
      <c r="I185">
        <v>0</v>
      </c>
      <c r="J185">
        <v>0</v>
      </c>
      <c r="K185">
        <v>190.1</v>
      </c>
      <c r="L185">
        <v>21</v>
      </c>
      <c r="M185" s="10">
        <v>21.75</v>
      </c>
      <c r="N185" s="2">
        <f t="shared" si="6"/>
        <v>338.48781000000002</v>
      </c>
      <c r="O185" s="2">
        <f t="shared" si="5"/>
        <v>153.16269750000001</v>
      </c>
      <c r="P185">
        <v>0</v>
      </c>
    </row>
    <row r="186" spans="1:16" x14ac:dyDescent="0.25">
      <c r="A186" s="15"/>
      <c r="B186" s="15"/>
      <c r="C186">
        <v>30</v>
      </c>
      <c r="D186">
        <v>326.41000000000003</v>
      </c>
      <c r="E186">
        <v>139.88999999999999</v>
      </c>
      <c r="F186">
        <v>700.3</v>
      </c>
      <c r="G186">
        <v>1107.5999999999999</v>
      </c>
      <c r="H186">
        <v>0</v>
      </c>
      <c r="I186">
        <v>0</v>
      </c>
      <c r="J186">
        <v>0</v>
      </c>
      <c r="K186">
        <v>190.1</v>
      </c>
      <c r="L186">
        <v>56</v>
      </c>
      <c r="M186" s="10">
        <v>21.6</v>
      </c>
      <c r="N186" s="2">
        <f t="shared" si="6"/>
        <v>338.48781000000002</v>
      </c>
      <c r="O186" s="2">
        <f t="shared" si="5"/>
        <v>153.16269750000001</v>
      </c>
      <c r="P186">
        <v>0</v>
      </c>
    </row>
    <row r="187" spans="1:16" x14ac:dyDescent="0.25">
      <c r="A187" s="15"/>
      <c r="B187" s="15"/>
      <c r="C187">
        <v>30</v>
      </c>
      <c r="D187">
        <v>326.41000000000003</v>
      </c>
      <c r="E187">
        <v>139.88999999999999</v>
      </c>
      <c r="F187">
        <v>700.3</v>
      </c>
      <c r="G187">
        <v>1107.5999999999999</v>
      </c>
      <c r="H187">
        <v>0</v>
      </c>
      <c r="I187">
        <v>0</v>
      </c>
      <c r="J187">
        <v>0</v>
      </c>
      <c r="K187">
        <v>190.1</v>
      </c>
      <c r="L187">
        <v>90</v>
      </c>
      <c r="M187" s="10">
        <v>26.45</v>
      </c>
      <c r="N187" s="2">
        <f t="shared" si="6"/>
        <v>338.48781000000002</v>
      </c>
      <c r="O187" s="2">
        <f t="shared" si="5"/>
        <v>153.16269750000001</v>
      </c>
      <c r="P187">
        <v>0</v>
      </c>
    </row>
    <row r="188" spans="1:16" x14ac:dyDescent="0.25">
      <c r="A188" s="15"/>
      <c r="B188" s="15"/>
      <c r="C188">
        <v>35</v>
      </c>
      <c r="D188">
        <v>303.09500000000003</v>
      </c>
      <c r="E188">
        <v>163.20500000000001</v>
      </c>
      <c r="F188">
        <v>700.3</v>
      </c>
      <c r="G188">
        <v>1107.5999999999999</v>
      </c>
      <c r="H188">
        <v>0</v>
      </c>
      <c r="I188">
        <v>0</v>
      </c>
      <c r="J188">
        <v>0</v>
      </c>
      <c r="K188">
        <v>190.1</v>
      </c>
      <c r="L188">
        <v>14</v>
      </c>
      <c r="M188" s="10">
        <v>19.88</v>
      </c>
      <c r="N188" s="2">
        <f t="shared" si="6"/>
        <v>320.30211000000003</v>
      </c>
      <c r="O188" s="2">
        <f t="shared" si="5"/>
        <v>144.36128500000001</v>
      </c>
      <c r="P188">
        <v>0</v>
      </c>
    </row>
    <row r="189" spans="1:16" x14ac:dyDescent="0.25">
      <c r="A189" s="15"/>
      <c r="B189" s="15"/>
      <c r="C189">
        <v>35</v>
      </c>
      <c r="D189">
        <v>303.09500000000003</v>
      </c>
      <c r="E189">
        <v>163.20500000000001</v>
      </c>
      <c r="F189">
        <v>700.3</v>
      </c>
      <c r="G189">
        <v>1107.5999999999999</v>
      </c>
      <c r="H189">
        <v>0</v>
      </c>
      <c r="I189">
        <v>0</v>
      </c>
      <c r="J189">
        <v>0</v>
      </c>
      <c r="K189">
        <v>190.1</v>
      </c>
      <c r="L189">
        <v>21</v>
      </c>
      <c r="M189" s="10">
        <v>23.45</v>
      </c>
      <c r="N189" s="2">
        <f t="shared" si="6"/>
        <v>320.30211000000003</v>
      </c>
      <c r="O189" s="2">
        <f t="shared" si="5"/>
        <v>144.36128500000001</v>
      </c>
      <c r="P189">
        <v>0</v>
      </c>
    </row>
    <row r="190" spans="1:16" x14ac:dyDescent="0.25">
      <c r="A190" s="15"/>
      <c r="B190" s="15"/>
      <c r="C190">
        <v>35</v>
      </c>
      <c r="D190">
        <v>303.09500000000003</v>
      </c>
      <c r="E190">
        <v>163.20500000000001</v>
      </c>
      <c r="F190">
        <v>700.3</v>
      </c>
      <c r="G190">
        <v>1107.5999999999999</v>
      </c>
      <c r="H190">
        <v>0</v>
      </c>
      <c r="I190">
        <v>0</v>
      </c>
      <c r="J190">
        <v>0</v>
      </c>
      <c r="K190">
        <v>190.1</v>
      </c>
      <c r="L190">
        <v>56</v>
      </c>
      <c r="M190" s="10">
        <v>24.65</v>
      </c>
      <c r="N190" s="2">
        <f t="shared" si="6"/>
        <v>320.30211000000003</v>
      </c>
      <c r="O190" s="2">
        <f t="shared" si="5"/>
        <v>144.36128500000001</v>
      </c>
      <c r="P190">
        <v>0</v>
      </c>
    </row>
    <row r="191" spans="1:16" x14ac:dyDescent="0.25">
      <c r="A191" s="15"/>
      <c r="B191" s="15"/>
      <c r="C191">
        <v>35</v>
      </c>
      <c r="D191">
        <v>303.09500000000003</v>
      </c>
      <c r="E191">
        <v>163.20500000000001</v>
      </c>
      <c r="F191">
        <v>700.3</v>
      </c>
      <c r="G191">
        <v>1107.5999999999999</v>
      </c>
      <c r="H191">
        <v>0</v>
      </c>
      <c r="I191">
        <v>0</v>
      </c>
      <c r="J191">
        <v>0</v>
      </c>
      <c r="K191">
        <v>190.1</v>
      </c>
      <c r="L191">
        <v>90</v>
      </c>
      <c r="M191" s="10">
        <v>23.7</v>
      </c>
      <c r="N191" s="2">
        <f t="shared" si="6"/>
        <v>320.30211000000003</v>
      </c>
      <c r="O191" s="2">
        <f t="shared" si="5"/>
        <v>144.36128500000001</v>
      </c>
      <c r="P191">
        <v>0</v>
      </c>
    </row>
    <row r="192" spans="1:16" x14ac:dyDescent="0.25">
      <c r="A192" s="15"/>
      <c r="B192" s="15"/>
      <c r="C192">
        <v>40</v>
      </c>
      <c r="D192">
        <v>279.77999999999997</v>
      </c>
      <c r="E192">
        <v>186.52</v>
      </c>
      <c r="F192">
        <v>700.3</v>
      </c>
      <c r="G192">
        <v>1107.5999999999999</v>
      </c>
      <c r="H192">
        <v>0</v>
      </c>
      <c r="I192">
        <v>0</v>
      </c>
      <c r="J192">
        <v>0</v>
      </c>
      <c r="K192">
        <v>190.1</v>
      </c>
      <c r="L192">
        <v>14</v>
      </c>
      <c r="M192" s="10">
        <v>20.350000000000001</v>
      </c>
      <c r="N192" s="2">
        <f t="shared" si="6"/>
        <v>302.11640999999997</v>
      </c>
      <c r="O192" s="2">
        <f t="shared" si="5"/>
        <v>135.55987249999998</v>
      </c>
      <c r="P192">
        <v>0</v>
      </c>
    </row>
    <row r="193" spans="1:16" x14ac:dyDescent="0.25">
      <c r="A193" s="15"/>
      <c r="B193" s="15"/>
      <c r="C193">
        <v>40</v>
      </c>
      <c r="D193">
        <v>279.77999999999997</v>
      </c>
      <c r="E193">
        <v>186.52</v>
      </c>
      <c r="F193">
        <v>700.3</v>
      </c>
      <c r="G193">
        <v>1107.5999999999999</v>
      </c>
      <c r="H193">
        <v>0</v>
      </c>
      <c r="I193">
        <v>0</v>
      </c>
      <c r="J193">
        <v>0</v>
      </c>
      <c r="K193">
        <v>190.1</v>
      </c>
      <c r="L193">
        <v>21</v>
      </c>
      <c r="M193" s="10">
        <v>22.82</v>
      </c>
      <c r="N193" s="2">
        <f t="shared" si="6"/>
        <v>302.11640999999997</v>
      </c>
      <c r="O193" s="2">
        <f t="shared" si="5"/>
        <v>135.55987249999998</v>
      </c>
      <c r="P193">
        <v>0</v>
      </c>
    </row>
    <row r="194" spans="1:16" x14ac:dyDescent="0.25">
      <c r="A194" s="15"/>
      <c r="B194" s="15"/>
      <c r="C194">
        <v>40</v>
      </c>
      <c r="D194">
        <v>279.77999999999997</v>
      </c>
      <c r="E194">
        <v>186.52</v>
      </c>
      <c r="F194">
        <v>700.3</v>
      </c>
      <c r="G194">
        <v>1107.5999999999999</v>
      </c>
      <c r="H194">
        <v>0</v>
      </c>
      <c r="I194">
        <v>0</v>
      </c>
      <c r="J194">
        <v>0</v>
      </c>
      <c r="K194">
        <v>190.1</v>
      </c>
      <c r="L194">
        <v>56</v>
      </c>
      <c r="M194" s="10">
        <v>26.55</v>
      </c>
      <c r="N194" s="2">
        <f t="shared" si="6"/>
        <v>302.11640999999997</v>
      </c>
      <c r="O194" s="2">
        <f t="shared" si="5"/>
        <v>135.55987249999998</v>
      </c>
      <c r="P194">
        <v>0</v>
      </c>
    </row>
    <row r="195" spans="1:16" x14ac:dyDescent="0.25">
      <c r="A195" s="15"/>
      <c r="B195" s="15"/>
      <c r="C195">
        <v>40</v>
      </c>
      <c r="D195">
        <v>279.77999999999997</v>
      </c>
      <c r="E195">
        <v>186.52</v>
      </c>
      <c r="F195">
        <v>700.3</v>
      </c>
      <c r="G195">
        <v>1107.5999999999999</v>
      </c>
      <c r="H195">
        <v>0</v>
      </c>
      <c r="I195">
        <v>0</v>
      </c>
      <c r="J195">
        <v>0</v>
      </c>
      <c r="K195">
        <v>190.1</v>
      </c>
      <c r="L195">
        <v>90</v>
      </c>
      <c r="M195" s="10">
        <v>22.72</v>
      </c>
      <c r="N195" s="2">
        <f t="shared" si="6"/>
        <v>302.11640999999997</v>
      </c>
      <c r="O195" s="2">
        <f t="shared" ref="O195:O258" si="7">SUM((D195*5)+((F195*0.25)+(G195*0.2)+(H195*20)))*0.0755</f>
        <v>135.55987249999998</v>
      </c>
      <c r="P195">
        <v>0</v>
      </c>
    </row>
    <row r="196" spans="1:16" x14ac:dyDescent="0.25">
      <c r="A196" s="15"/>
      <c r="B196" s="15"/>
      <c r="C196">
        <v>45</v>
      </c>
      <c r="D196">
        <v>256.46499999999997</v>
      </c>
      <c r="E196">
        <v>209.83500000000001</v>
      </c>
      <c r="F196">
        <v>700.3</v>
      </c>
      <c r="G196">
        <v>1107.5999999999999</v>
      </c>
      <c r="H196">
        <v>0</v>
      </c>
      <c r="I196">
        <v>0</v>
      </c>
      <c r="J196">
        <v>0</v>
      </c>
      <c r="K196">
        <v>190.1</v>
      </c>
      <c r="L196">
        <v>14</v>
      </c>
      <c r="M196" s="10">
        <v>19.899999999999999</v>
      </c>
      <c r="N196" s="2">
        <f t="shared" si="6"/>
        <v>283.93070999999998</v>
      </c>
      <c r="O196" s="2">
        <f t="shared" si="7"/>
        <v>126.75845999999999</v>
      </c>
      <c r="P196">
        <v>0</v>
      </c>
    </row>
    <row r="197" spans="1:16" x14ac:dyDescent="0.25">
      <c r="A197" s="15"/>
      <c r="B197" s="15"/>
      <c r="C197">
        <v>45</v>
      </c>
      <c r="D197">
        <v>256.46499999999997</v>
      </c>
      <c r="E197">
        <v>209.83500000000001</v>
      </c>
      <c r="F197">
        <v>700.3</v>
      </c>
      <c r="G197">
        <v>1107.5999999999999</v>
      </c>
      <c r="H197">
        <v>0</v>
      </c>
      <c r="I197">
        <v>0</v>
      </c>
      <c r="J197">
        <v>0</v>
      </c>
      <c r="K197">
        <v>190.1</v>
      </c>
      <c r="L197">
        <v>21</v>
      </c>
      <c r="M197" s="10">
        <v>19.399999999999999</v>
      </c>
      <c r="N197" s="2">
        <f t="shared" si="6"/>
        <v>283.93070999999998</v>
      </c>
      <c r="O197" s="2">
        <f t="shared" si="7"/>
        <v>126.75845999999999</v>
      </c>
      <c r="P197">
        <v>0</v>
      </c>
    </row>
    <row r="198" spans="1:16" x14ac:dyDescent="0.25">
      <c r="A198" s="15"/>
      <c r="B198" s="15"/>
      <c r="C198">
        <v>45</v>
      </c>
      <c r="D198">
        <v>256.46499999999997</v>
      </c>
      <c r="E198">
        <v>209.83500000000001</v>
      </c>
      <c r="F198">
        <v>700.3</v>
      </c>
      <c r="G198">
        <v>1107.5999999999999</v>
      </c>
      <c r="H198">
        <v>0</v>
      </c>
      <c r="I198">
        <v>0</v>
      </c>
      <c r="J198">
        <v>0</v>
      </c>
      <c r="K198">
        <v>190.1</v>
      </c>
      <c r="L198">
        <v>56</v>
      </c>
      <c r="M198" s="10">
        <v>20.18</v>
      </c>
      <c r="N198" s="2">
        <f t="shared" si="6"/>
        <v>283.93070999999998</v>
      </c>
      <c r="O198" s="2">
        <f t="shared" si="7"/>
        <v>126.75845999999999</v>
      </c>
      <c r="P198">
        <v>0</v>
      </c>
    </row>
    <row r="199" spans="1:16" x14ac:dyDescent="0.25">
      <c r="A199" s="15"/>
      <c r="B199" s="15"/>
      <c r="C199">
        <v>45</v>
      </c>
      <c r="D199">
        <v>256.46499999999997</v>
      </c>
      <c r="E199">
        <v>209.83500000000001</v>
      </c>
      <c r="F199">
        <v>700.3</v>
      </c>
      <c r="G199">
        <v>1107.5999999999999</v>
      </c>
      <c r="H199">
        <v>0</v>
      </c>
      <c r="I199">
        <v>0</v>
      </c>
      <c r="J199">
        <v>0</v>
      </c>
      <c r="K199">
        <v>190.1</v>
      </c>
      <c r="L199">
        <v>90</v>
      </c>
      <c r="M199" s="10">
        <v>24.76</v>
      </c>
      <c r="N199" s="2">
        <f t="shared" si="6"/>
        <v>283.93070999999998</v>
      </c>
      <c r="O199" s="2">
        <f t="shared" si="7"/>
        <v>126.75845999999999</v>
      </c>
      <c r="P199">
        <v>0</v>
      </c>
    </row>
    <row r="200" spans="1:16" x14ac:dyDescent="0.25">
      <c r="A200" s="15"/>
      <c r="B200" s="15"/>
      <c r="C200">
        <v>50</v>
      </c>
      <c r="D200">
        <v>233.15</v>
      </c>
      <c r="E200">
        <v>233.15</v>
      </c>
      <c r="F200">
        <v>700.3</v>
      </c>
      <c r="G200">
        <v>1107.5999999999999</v>
      </c>
      <c r="H200">
        <v>0</v>
      </c>
      <c r="I200">
        <v>0</v>
      </c>
      <c r="J200">
        <v>0</v>
      </c>
      <c r="K200">
        <v>190.1</v>
      </c>
      <c r="L200">
        <v>14</v>
      </c>
      <c r="M200" s="10">
        <v>21.14</v>
      </c>
      <c r="N200" s="2">
        <f t="shared" si="6"/>
        <v>265.74500999999998</v>
      </c>
      <c r="O200" s="2">
        <f t="shared" si="7"/>
        <v>117.9570475</v>
      </c>
      <c r="P200">
        <v>0</v>
      </c>
    </row>
    <row r="201" spans="1:16" x14ac:dyDescent="0.25">
      <c r="A201" s="15"/>
      <c r="B201" s="15"/>
      <c r="C201">
        <v>50</v>
      </c>
      <c r="D201">
        <v>233.15</v>
      </c>
      <c r="E201">
        <v>233.15</v>
      </c>
      <c r="F201">
        <v>700.3</v>
      </c>
      <c r="G201">
        <v>1107.5999999999999</v>
      </c>
      <c r="H201">
        <v>0</v>
      </c>
      <c r="I201">
        <v>0</v>
      </c>
      <c r="J201">
        <v>0</v>
      </c>
      <c r="K201">
        <v>190.1</v>
      </c>
      <c r="L201">
        <v>21</v>
      </c>
      <c r="M201" s="10">
        <v>20.309999999999999</v>
      </c>
      <c r="N201" s="2">
        <f t="shared" si="6"/>
        <v>265.74500999999998</v>
      </c>
      <c r="O201" s="2">
        <f t="shared" si="7"/>
        <v>117.9570475</v>
      </c>
      <c r="P201">
        <v>0</v>
      </c>
    </row>
    <row r="202" spans="1:16" x14ac:dyDescent="0.25">
      <c r="A202" s="15"/>
      <c r="B202" s="15"/>
      <c r="C202">
        <v>50</v>
      </c>
      <c r="D202">
        <v>233.15</v>
      </c>
      <c r="E202">
        <v>233.15</v>
      </c>
      <c r="F202">
        <v>700.3</v>
      </c>
      <c r="G202">
        <v>1107.5999999999999</v>
      </c>
      <c r="H202">
        <v>0</v>
      </c>
      <c r="I202">
        <v>0</v>
      </c>
      <c r="J202">
        <v>0</v>
      </c>
      <c r="K202">
        <v>190.1</v>
      </c>
      <c r="L202">
        <v>56</v>
      </c>
      <c r="M202" s="10">
        <v>23.61</v>
      </c>
      <c r="N202" s="2">
        <f t="shared" si="6"/>
        <v>265.74500999999998</v>
      </c>
      <c r="O202" s="2">
        <f t="shared" si="7"/>
        <v>117.9570475</v>
      </c>
      <c r="P202">
        <v>0</v>
      </c>
    </row>
    <row r="203" spans="1:16" x14ac:dyDescent="0.25">
      <c r="A203" s="15"/>
      <c r="B203" s="15"/>
      <c r="C203">
        <v>50</v>
      </c>
      <c r="D203">
        <v>233.15</v>
      </c>
      <c r="E203">
        <v>233.15</v>
      </c>
      <c r="F203">
        <v>700.3</v>
      </c>
      <c r="G203">
        <v>1107.5999999999999</v>
      </c>
      <c r="H203">
        <v>0</v>
      </c>
      <c r="I203">
        <v>0</v>
      </c>
      <c r="J203">
        <v>0</v>
      </c>
      <c r="K203">
        <v>190.1</v>
      </c>
      <c r="L203">
        <v>90</v>
      </c>
      <c r="M203" s="10">
        <v>22.77</v>
      </c>
      <c r="N203" s="2">
        <f t="shared" si="6"/>
        <v>265.74500999999998</v>
      </c>
      <c r="O203" s="2">
        <f t="shared" si="7"/>
        <v>117.9570475</v>
      </c>
      <c r="P203">
        <v>0</v>
      </c>
    </row>
    <row r="204" spans="1:16" x14ac:dyDescent="0.25">
      <c r="A204" s="15" t="s">
        <v>110</v>
      </c>
      <c r="B204" s="15" t="s">
        <v>111</v>
      </c>
      <c r="C204">
        <v>0</v>
      </c>
      <c r="D204">
        <v>550</v>
      </c>
      <c r="E204">
        <v>0</v>
      </c>
      <c r="F204">
        <v>690</v>
      </c>
      <c r="G204">
        <v>905</v>
      </c>
      <c r="H204">
        <v>6.05</v>
      </c>
      <c r="I204">
        <v>0</v>
      </c>
      <c r="J204">
        <v>0</v>
      </c>
      <c r="K204">
        <v>210</v>
      </c>
      <c r="L204">
        <v>14</v>
      </c>
      <c r="M204" s="10">
        <v>55.37</v>
      </c>
      <c r="N204" s="2">
        <f t="shared" si="6"/>
        <v>519.73050000000001</v>
      </c>
      <c r="O204" s="2">
        <f t="shared" si="7"/>
        <v>243.44974999999999</v>
      </c>
      <c r="P204">
        <v>0</v>
      </c>
    </row>
    <row r="205" spans="1:16" x14ac:dyDescent="0.25">
      <c r="A205" s="15"/>
      <c r="B205" s="15"/>
      <c r="C205">
        <v>0</v>
      </c>
      <c r="D205">
        <v>550</v>
      </c>
      <c r="E205">
        <v>0</v>
      </c>
      <c r="F205">
        <v>690</v>
      </c>
      <c r="G205">
        <v>905</v>
      </c>
      <c r="H205">
        <v>6.05</v>
      </c>
      <c r="I205">
        <v>0</v>
      </c>
      <c r="J205">
        <v>0</v>
      </c>
      <c r="K205">
        <v>210</v>
      </c>
      <c r="L205">
        <v>28</v>
      </c>
      <c r="M205" s="10">
        <v>56.93</v>
      </c>
      <c r="N205" s="2">
        <f t="shared" si="6"/>
        <v>519.73050000000001</v>
      </c>
      <c r="O205" s="2">
        <f t="shared" si="7"/>
        <v>243.44974999999999</v>
      </c>
      <c r="P205">
        <v>0</v>
      </c>
    </row>
    <row r="206" spans="1:16" x14ac:dyDescent="0.25">
      <c r="A206" s="15"/>
      <c r="B206" s="15"/>
      <c r="C206">
        <v>0</v>
      </c>
      <c r="D206">
        <v>550</v>
      </c>
      <c r="E206">
        <v>0</v>
      </c>
      <c r="F206">
        <v>690</v>
      </c>
      <c r="G206">
        <v>905</v>
      </c>
      <c r="H206">
        <v>6.05</v>
      </c>
      <c r="I206">
        <v>0</v>
      </c>
      <c r="J206">
        <v>0</v>
      </c>
      <c r="K206">
        <v>210</v>
      </c>
      <c r="L206">
        <v>56</v>
      </c>
      <c r="M206" s="10">
        <v>62.57</v>
      </c>
      <c r="N206" s="2">
        <f t="shared" si="6"/>
        <v>519.73050000000001</v>
      </c>
      <c r="O206" s="2">
        <f t="shared" si="7"/>
        <v>243.44974999999999</v>
      </c>
      <c r="P206">
        <v>0</v>
      </c>
    </row>
    <row r="207" spans="1:16" x14ac:dyDescent="0.25">
      <c r="A207" s="15"/>
      <c r="B207" s="15"/>
      <c r="C207">
        <v>0</v>
      </c>
      <c r="D207">
        <v>550</v>
      </c>
      <c r="E207">
        <v>0</v>
      </c>
      <c r="F207">
        <v>690</v>
      </c>
      <c r="G207">
        <v>905</v>
      </c>
      <c r="H207">
        <v>6.05</v>
      </c>
      <c r="I207">
        <v>0</v>
      </c>
      <c r="J207">
        <v>0</v>
      </c>
      <c r="K207">
        <v>210</v>
      </c>
      <c r="L207">
        <v>90</v>
      </c>
      <c r="M207" s="10">
        <v>68.760000000000005</v>
      </c>
      <c r="N207" s="2">
        <f t="shared" si="6"/>
        <v>519.73050000000001</v>
      </c>
      <c r="O207" s="2">
        <f t="shared" si="7"/>
        <v>243.44974999999999</v>
      </c>
      <c r="P207">
        <v>0</v>
      </c>
    </row>
    <row r="208" spans="1:16" x14ac:dyDescent="0.25">
      <c r="A208" s="15"/>
      <c r="B208" s="15"/>
      <c r="C208">
        <v>5</v>
      </c>
      <c r="D208">
        <v>522.5</v>
      </c>
      <c r="E208">
        <v>27.5</v>
      </c>
      <c r="F208">
        <v>690</v>
      </c>
      <c r="G208">
        <v>905</v>
      </c>
      <c r="H208">
        <v>6.05</v>
      </c>
      <c r="I208">
        <v>0</v>
      </c>
      <c r="J208">
        <v>0</v>
      </c>
      <c r="K208">
        <v>210</v>
      </c>
      <c r="L208">
        <v>14</v>
      </c>
      <c r="M208" s="10">
        <v>49.51</v>
      </c>
      <c r="N208" s="2">
        <f t="shared" si="6"/>
        <v>498.28049999999996</v>
      </c>
      <c r="O208" s="2">
        <f t="shared" si="7"/>
        <v>233.0685</v>
      </c>
      <c r="P208">
        <v>0</v>
      </c>
    </row>
    <row r="209" spans="1:16" x14ac:dyDescent="0.25">
      <c r="A209" s="15"/>
      <c r="B209" s="15"/>
      <c r="C209">
        <v>5</v>
      </c>
      <c r="D209">
        <v>522.5</v>
      </c>
      <c r="E209">
        <v>27.5</v>
      </c>
      <c r="F209">
        <v>690</v>
      </c>
      <c r="G209">
        <v>905</v>
      </c>
      <c r="H209">
        <v>6.05</v>
      </c>
      <c r="I209">
        <v>0</v>
      </c>
      <c r="J209">
        <v>0</v>
      </c>
      <c r="K209">
        <v>210</v>
      </c>
      <c r="L209">
        <v>28</v>
      </c>
      <c r="M209" s="10">
        <v>54.28</v>
      </c>
      <c r="N209" s="2">
        <f t="shared" si="6"/>
        <v>498.28049999999996</v>
      </c>
      <c r="O209" s="2">
        <f t="shared" si="7"/>
        <v>233.0685</v>
      </c>
      <c r="P209">
        <v>0</v>
      </c>
    </row>
    <row r="210" spans="1:16" x14ac:dyDescent="0.25">
      <c r="A210" s="15"/>
      <c r="B210" s="15"/>
      <c r="C210">
        <v>5</v>
      </c>
      <c r="D210">
        <v>522.5</v>
      </c>
      <c r="E210">
        <v>27.5</v>
      </c>
      <c r="F210">
        <v>690</v>
      </c>
      <c r="G210">
        <v>905</v>
      </c>
      <c r="H210">
        <v>6.05</v>
      </c>
      <c r="I210">
        <v>0</v>
      </c>
      <c r="J210">
        <v>0</v>
      </c>
      <c r="K210">
        <v>210</v>
      </c>
      <c r="L210">
        <v>56</v>
      </c>
      <c r="M210" s="10">
        <v>60.02</v>
      </c>
      <c r="N210" s="2">
        <f t="shared" si="6"/>
        <v>498.28049999999996</v>
      </c>
      <c r="O210" s="2">
        <f t="shared" si="7"/>
        <v>233.0685</v>
      </c>
      <c r="P210">
        <v>0</v>
      </c>
    </row>
    <row r="211" spans="1:16" x14ac:dyDescent="0.25">
      <c r="A211" s="15"/>
      <c r="B211" s="15"/>
      <c r="C211">
        <v>5</v>
      </c>
      <c r="D211">
        <v>522.5</v>
      </c>
      <c r="E211">
        <v>27.5</v>
      </c>
      <c r="F211">
        <v>690</v>
      </c>
      <c r="G211">
        <v>905</v>
      </c>
      <c r="H211">
        <v>6.05</v>
      </c>
      <c r="I211">
        <v>0</v>
      </c>
      <c r="J211">
        <v>0</v>
      </c>
      <c r="K211">
        <v>210</v>
      </c>
      <c r="L211">
        <v>90</v>
      </c>
      <c r="M211" s="10">
        <v>62.93</v>
      </c>
      <c r="N211" s="2">
        <f t="shared" si="6"/>
        <v>498.28049999999996</v>
      </c>
      <c r="O211" s="2">
        <f t="shared" si="7"/>
        <v>233.0685</v>
      </c>
      <c r="P211">
        <v>0</v>
      </c>
    </row>
    <row r="212" spans="1:16" x14ac:dyDescent="0.25">
      <c r="A212" s="15"/>
      <c r="B212" s="15"/>
      <c r="C212">
        <v>10</v>
      </c>
      <c r="D212">
        <v>495</v>
      </c>
      <c r="E212">
        <v>55</v>
      </c>
      <c r="F212">
        <v>690</v>
      </c>
      <c r="G212">
        <v>905</v>
      </c>
      <c r="H212">
        <v>6.05</v>
      </c>
      <c r="I212">
        <v>0</v>
      </c>
      <c r="J212">
        <v>0</v>
      </c>
      <c r="K212">
        <v>210</v>
      </c>
      <c r="L212">
        <v>14</v>
      </c>
      <c r="M212" s="10">
        <v>50.61</v>
      </c>
      <c r="N212" s="2">
        <f t="shared" si="6"/>
        <v>476.83050000000003</v>
      </c>
      <c r="O212" s="2">
        <f t="shared" si="7"/>
        <v>222.68725000000001</v>
      </c>
      <c r="P212">
        <v>0</v>
      </c>
    </row>
    <row r="213" spans="1:16" x14ac:dyDescent="0.25">
      <c r="A213" s="15"/>
      <c r="B213" s="15"/>
      <c r="C213">
        <v>10</v>
      </c>
      <c r="D213">
        <v>495</v>
      </c>
      <c r="E213">
        <v>55</v>
      </c>
      <c r="F213">
        <v>690</v>
      </c>
      <c r="G213">
        <v>905</v>
      </c>
      <c r="H213">
        <v>6.05</v>
      </c>
      <c r="I213">
        <v>0</v>
      </c>
      <c r="J213">
        <v>0</v>
      </c>
      <c r="K213">
        <v>210</v>
      </c>
      <c r="L213">
        <v>28</v>
      </c>
      <c r="M213" s="10">
        <v>50.86</v>
      </c>
      <c r="N213" s="2">
        <f t="shared" si="6"/>
        <v>476.83050000000003</v>
      </c>
      <c r="O213" s="2">
        <f t="shared" si="7"/>
        <v>222.68725000000001</v>
      </c>
      <c r="P213">
        <v>0</v>
      </c>
    </row>
    <row r="214" spans="1:16" x14ac:dyDescent="0.25">
      <c r="A214" s="15"/>
      <c r="B214" s="15"/>
      <c r="C214">
        <v>10</v>
      </c>
      <c r="D214">
        <v>495</v>
      </c>
      <c r="E214">
        <v>55</v>
      </c>
      <c r="F214">
        <v>690</v>
      </c>
      <c r="G214">
        <v>905</v>
      </c>
      <c r="H214">
        <v>6.05</v>
      </c>
      <c r="I214">
        <v>0</v>
      </c>
      <c r="J214">
        <v>0</v>
      </c>
      <c r="K214">
        <v>210</v>
      </c>
      <c r="L214">
        <v>56</v>
      </c>
      <c r="M214" s="10">
        <v>58.92</v>
      </c>
      <c r="N214" s="2">
        <f t="shared" ref="N214:N277" si="8">SUM((D214*0.83)+(E214*0.05)+(F214*0.0139)+(G214*0.0459)+(H214*2))</f>
        <v>476.83050000000003</v>
      </c>
      <c r="O214" s="2">
        <f t="shared" si="7"/>
        <v>222.68725000000001</v>
      </c>
      <c r="P214">
        <v>0</v>
      </c>
    </row>
    <row r="215" spans="1:16" x14ac:dyDescent="0.25">
      <c r="A215" s="15"/>
      <c r="B215" s="15"/>
      <c r="C215">
        <v>10</v>
      </c>
      <c r="D215">
        <v>495</v>
      </c>
      <c r="E215">
        <v>55</v>
      </c>
      <c r="F215">
        <v>690</v>
      </c>
      <c r="G215">
        <v>905</v>
      </c>
      <c r="H215">
        <v>6.05</v>
      </c>
      <c r="I215">
        <v>0</v>
      </c>
      <c r="J215">
        <v>0</v>
      </c>
      <c r="K215">
        <v>210</v>
      </c>
      <c r="L215">
        <v>90</v>
      </c>
      <c r="M215" s="10">
        <v>60.23</v>
      </c>
      <c r="N215" s="2">
        <f t="shared" si="8"/>
        <v>476.83050000000003</v>
      </c>
      <c r="O215" s="2">
        <f t="shared" si="7"/>
        <v>222.68725000000001</v>
      </c>
      <c r="P215">
        <v>0</v>
      </c>
    </row>
    <row r="216" spans="1:16" x14ac:dyDescent="0.25">
      <c r="A216" s="15"/>
      <c r="B216" s="15"/>
      <c r="C216">
        <v>15</v>
      </c>
      <c r="D216">
        <v>467.5</v>
      </c>
      <c r="E216">
        <v>82.5</v>
      </c>
      <c r="F216">
        <v>690</v>
      </c>
      <c r="G216">
        <v>905</v>
      </c>
      <c r="H216">
        <v>6.05</v>
      </c>
      <c r="I216">
        <v>0</v>
      </c>
      <c r="J216">
        <v>0</v>
      </c>
      <c r="K216">
        <v>210</v>
      </c>
      <c r="L216">
        <v>14</v>
      </c>
      <c r="M216" s="10">
        <v>49.76</v>
      </c>
      <c r="N216" s="2">
        <f t="shared" si="8"/>
        <v>455.38049999999998</v>
      </c>
      <c r="O216" s="2">
        <f t="shared" si="7"/>
        <v>212.30599999999998</v>
      </c>
      <c r="P216">
        <v>0</v>
      </c>
    </row>
    <row r="217" spans="1:16" x14ac:dyDescent="0.25">
      <c r="A217" s="15"/>
      <c r="B217" s="15"/>
      <c r="C217">
        <v>15</v>
      </c>
      <c r="D217">
        <v>467.5</v>
      </c>
      <c r="E217">
        <v>82.5</v>
      </c>
      <c r="F217">
        <v>690</v>
      </c>
      <c r="G217">
        <v>905</v>
      </c>
      <c r="H217">
        <v>6.05</v>
      </c>
      <c r="I217">
        <v>0</v>
      </c>
      <c r="J217">
        <v>0</v>
      </c>
      <c r="K217">
        <v>210</v>
      </c>
      <c r="L217">
        <v>28</v>
      </c>
      <c r="M217" s="10">
        <v>52.78</v>
      </c>
      <c r="N217" s="2">
        <f t="shared" si="8"/>
        <v>455.38049999999998</v>
      </c>
      <c r="O217" s="2">
        <f t="shared" si="7"/>
        <v>212.30599999999998</v>
      </c>
      <c r="P217">
        <v>0</v>
      </c>
    </row>
    <row r="218" spans="1:16" x14ac:dyDescent="0.25">
      <c r="A218" s="15"/>
      <c r="B218" s="15"/>
      <c r="C218">
        <v>15</v>
      </c>
      <c r="D218">
        <v>467.5</v>
      </c>
      <c r="E218">
        <v>82.5</v>
      </c>
      <c r="F218">
        <v>690</v>
      </c>
      <c r="G218">
        <v>905</v>
      </c>
      <c r="H218">
        <v>6.05</v>
      </c>
      <c r="I218">
        <v>0</v>
      </c>
      <c r="J218">
        <v>0</v>
      </c>
      <c r="K218">
        <v>210</v>
      </c>
      <c r="L218">
        <v>56</v>
      </c>
      <c r="M218" s="10">
        <v>55.12</v>
      </c>
      <c r="N218" s="2">
        <f t="shared" si="8"/>
        <v>455.38049999999998</v>
      </c>
      <c r="O218" s="2">
        <f t="shared" si="7"/>
        <v>212.30599999999998</v>
      </c>
      <c r="P218">
        <v>0</v>
      </c>
    </row>
    <row r="219" spans="1:16" x14ac:dyDescent="0.25">
      <c r="A219" s="15"/>
      <c r="B219" s="15"/>
      <c r="C219">
        <v>15</v>
      </c>
      <c r="D219">
        <v>467.5</v>
      </c>
      <c r="E219">
        <v>82.5</v>
      </c>
      <c r="F219">
        <v>690</v>
      </c>
      <c r="G219">
        <v>905</v>
      </c>
      <c r="H219">
        <v>6.05</v>
      </c>
      <c r="I219">
        <v>0</v>
      </c>
      <c r="J219">
        <v>0</v>
      </c>
      <c r="K219">
        <v>210</v>
      </c>
      <c r="L219">
        <v>90</v>
      </c>
      <c r="M219" s="10">
        <v>63.78</v>
      </c>
      <c r="N219" s="2">
        <f t="shared" si="8"/>
        <v>455.38049999999998</v>
      </c>
      <c r="O219" s="2">
        <f t="shared" si="7"/>
        <v>212.30599999999998</v>
      </c>
      <c r="P219">
        <v>0</v>
      </c>
    </row>
    <row r="220" spans="1:16" x14ac:dyDescent="0.25">
      <c r="A220" s="15"/>
      <c r="B220" s="15"/>
      <c r="C220">
        <v>20</v>
      </c>
      <c r="D220">
        <v>440</v>
      </c>
      <c r="E220">
        <v>110</v>
      </c>
      <c r="F220">
        <v>690</v>
      </c>
      <c r="G220">
        <v>905</v>
      </c>
      <c r="H220">
        <v>6.05</v>
      </c>
      <c r="I220">
        <v>0</v>
      </c>
      <c r="J220">
        <v>0</v>
      </c>
      <c r="K220">
        <v>210</v>
      </c>
      <c r="L220">
        <v>14</v>
      </c>
      <c r="M220" s="10">
        <v>47.29</v>
      </c>
      <c r="N220" s="2">
        <f t="shared" si="8"/>
        <v>433.93050000000005</v>
      </c>
      <c r="O220" s="2">
        <f t="shared" si="7"/>
        <v>201.92474999999999</v>
      </c>
      <c r="P220">
        <v>0</v>
      </c>
    </row>
    <row r="221" spans="1:16" x14ac:dyDescent="0.25">
      <c r="A221" s="15"/>
      <c r="B221" s="15"/>
      <c r="C221">
        <v>20</v>
      </c>
      <c r="D221">
        <v>440</v>
      </c>
      <c r="E221">
        <v>110</v>
      </c>
      <c r="F221">
        <v>690</v>
      </c>
      <c r="G221">
        <v>905</v>
      </c>
      <c r="H221">
        <v>6.05</v>
      </c>
      <c r="I221">
        <v>0</v>
      </c>
      <c r="J221">
        <v>0</v>
      </c>
      <c r="K221">
        <v>210</v>
      </c>
      <c r="L221">
        <v>28</v>
      </c>
      <c r="M221" s="10">
        <v>48.51</v>
      </c>
      <c r="N221" s="2">
        <f t="shared" si="8"/>
        <v>433.93050000000005</v>
      </c>
      <c r="O221" s="2">
        <f t="shared" si="7"/>
        <v>201.92474999999999</v>
      </c>
      <c r="P221">
        <v>0</v>
      </c>
    </row>
    <row r="222" spans="1:16" x14ac:dyDescent="0.25">
      <c r="A222" s="15"/>
      <c r="B222" s="15"/>
      <c r="C222">
        <v>20</v>
      </c>
      <c r="D222">
        <v>440</v>
      </c>
      <c r="E222">
        <v>110</v>
      </c>
      <c r="F222">
        <v>690</v>
      </c>
      <c r="G222">
        <v>905</v>
      </c>
      <c r="H222">
        <v>6.05</v>
      </c>
      <c r="I222">
        <v>0</v>
      </c>
      <c r="J222">
        <v>0</v>
      </c>
      <c r="K222">
        <v>210</v>
      </c>
      <c r="L222">
        <v>56</v>
      </c>
      <c r="M222" s="10">
        <v>58.9</v>
      </c>
      <c r="N222" s="2">
        <f t="shared" si="8"/>
        <v>433.93050000000005</v>
      </c>
      <c r="O222" s="2">
        <f t="shared" si="7"/>
        <v>201.92474999999999</v>
      </c>
      <c r="P222">
        <v>0</v>
      </c>
    </row>
    <row r="223" spans="1:16" x14ac:dyDescent="0.25">
      <c r="A223" s="15"/>
      <c r="B223" s="15"/>
      <c r="C223">
        <v>20</v>
      </c>
      <c r="D223">
        <v>440</v>
      </c>
      <c r="E223">
        <v>110</v>
      </c>
      <c r="F223">
        <v>690</v>
      </c>
      <c r="G223">
        <v>905</v>
      </c>
      <c r="H223">
        <v>6.05</v>
      </c>
      <c r="I223">
        <v>0</v>
      </c>
      <c r="J223">
        <v>0</v>
      </c>
      <c r="K223">
        <v>210</v>
      </c>
      <c r="L223">
        <v>90</v>
      </c>
      <c r="M223" s="10">
        <v>60.21</v>
      </c>
      <c r="N223" s="2">
        <f t="shared" si="8"/>
        <v>433.93050000000005</v>
      </c>
      <c r="O223" s="2">
        <f t="shared" si="7"/>
        <v>201.92474999999999</v>
      </c>
      <c r="P223">
        <v>0</v>
      </c>
    </row>
    <row r="224" spans="1:16" x14ac:dyDescent="0.25">
      <c r="A224" s="15"/>
      <c r="B224" s="15"/>
      <c r="C224">
        <v>25</v>
      </c>
      <c r="D224">
        <v>412.5</v>
      </c>
      <c r="E224">
        <v>137.5</v>
      </c>
      <c r="F224">
        <v>690</v>
      </c>
      <c r="G224">
        <v>905</v>
      </c>
      <c r="H224">
        <v>6.05</v>
      </c>
      <c r="I224">
        <v>0</v>
      </c>
      <c r="J224">
        <v>0</v>
      </c>
      <c r="K224">
        <v>210</v>
      </c>
      <c r="L224">
        <v>14</v>
      </c>
      <c r="M224" s="10">
        <v>44.06</v>
      </c>
      <c r="N224" s="2">
        <f t="shared" si="8"/>
        <v>412.48050000000001</v>
      </c>
      <c r="O224" s="2">
        <f t="shared" si="7"/>
        <v>191.54349999999999</v>
      </c>
      <c r="P224">
        <v>0</v>
      </c>
    </row>
    <row r="225" spans="1:16" x14ac:dyDescent="0.25">
      <c r="A225" s="15"/>
      <c r="B225" s="15"/>
      <c r="C225">
        <v>25</v>
      </c>
      <c r="D225">
        <v>412.5</v>
      </c>
      <c r="E225">
        <v>137.5</v>
      </c>
      <c r="F225">
        <v>690</v>
      </c>
      <c r="G225">
        <v>905</v>
      </c>
      <c r="H225">
        <v>6.05</v>
      </c>
      <c r="I225">
        <v>0</v>
      </c>
      <c r="J225">
        <v>0</v>
      </c>
      <c r="K225">
        <v>210</v>
      </c>
      <c r="L225">
        <v>28</v>
      </c>
      <c r="M225" s="10">
        <v>51.15</v>
      </c>
      <c r="N225" s="2">
        <f t="shared" si="8"/>
        <v>412.48050000000001</v>
      </c>
      <c r="O225" s="2">
        <f t="shared" si="7"/>
        <v>191.54349999999999</v>
      </c>
      <c r="P225">
        <v>0</v>
      </c>
    </row>
    <row r="226" spans="1:16" x14ac:dyDescent="0.25">
      <c r="A226" s="15"/>
      <c r="B226" s="15"/>
      <c r="C226">
        <v>25</v>
      </c>
      <c r="D226">
        <v>412.5</v>
      </c>
      <c r="E226">
        <v>137.5</v>
      </c>
      <c r="F226">
        <v>690</v>
      </c>
      <c r="G226">
        <v>905</v>
      </c>
      <c r="H226">
        <v>6.05</v>
      </c>
      <c r="I226">
        <v>0</v>
      </c>
      <c r="J226">
        <v>0</v>
      </c>
      <c r="K226">
        <v>210</v>
      </c>
      <c r="L226">
        <v>56</v>
      </c>
      <c r="M226" s="10">
        <v>56.82</v>
      </c>
      <c r="N226" s="2">
        <f t="shared" si="8"/>
        <v>412.48050000000001</v>
      </c>
      <c r="O226" s="2">
        <f t="shared" si="7"/>
        <v>191.54349999999999</v>
      </c>
      <c r="P226">
        <v>0</v>
      </c>
    </row>
    <row r="227" spans="1:16" x14ac:dyDescent="0.25">
      <c r="A227" s="15"/>
      <c r="B227" s="15"/>
      <c r="C227">
        <v>25</v>
      </c>
      <c r="D227">
        <v>412.5</v>
      </c>
      <c r="E227">
        <v>137.5</v>
      </c>
      <c r="F227">
        <v>690</v>
      </c>
      <c r="G227">
        <v>905</v>
      </c>
      <c r="H227">
        <v>6.05</v>
      </c>
      <c r="I227">
        <v>0</v>
      </c>
      <c r="J227">
        <v>0</v>
      </c>
      <c r="K227">
        <v>210</v>
      </c>
      <c r="L227">
        <v>90</v>
      </c>
      <c r="M227" s="10">
        <v>58.89</v>
      </c>
      <c r="N227" s="2">
        <f t="shared" si="8"/>
        <v>412.48050000000001</v>
      </c>
      <c r="O227" s="2">
        <f t="shared" si="7"/>
        <v>191.54349999999999</v>
      </c>
      <c r="P227">
        <v>0</v>
      </c>
    </row>
    <row r="228" spans="1:16" x14ac:dyDescent="0.25">
      <c r="A228" s="15"/>
      <c r="B228" s="15"/>
      <c r="C228">
        <v>30</v>
      </c>
      <c r="D228">
        <v>385</v>
      </c>
      <c r="E228">
        <v>165</v>
      </c>
      <c r="F228">
        <v>690</v>
      </c>
      <c r="G228">
        <v>905</v>
      </c>
      <c r="H228">
        <v>6.05</v>
      </c>
      <c r="I228">
        <v>0</v>
      </c>
      <c r="J228">
        <v>0</v>
      </c>
      <c r="K228">
        <v>210</v>
      </c>
      <c r="L228">
        <v>14</v>
      </c>
      <c r="M228" s="10">
        <v>45.63</v>
      </c>
      <c r="N228" s="2">
        <f t="shared" si="8"/>
        <v>391.03050000000007</v>
      </c>
      <c r="O228" s="2">
        <f t="shared" si="7"/>
        <v>181.16225</v>
      </c>
      <c r="P228">
        <v>0</v>
      </c>
    </row>
    <row r="229" spans="1:16" x14ac:dyDescent="0.25">
      <c r="A229" s="15"/>
      <c r="B229" s="15"/>
      <c r="C229">
        <v>30</v>
      </c>
      <c r="D229">
        <v>385</v>
      </c>
      <c r="E229">
        <v>165</v>
      </c>
      <c r="F229">
        <v>690</v>
      </c>
      <c r="G229">
        <v>905</v>
      </c>
      <c r="H229">
        <v>6.05</v>
      </c>
      <c r="I229">
        <v>0</v>
      </c>
      <c r="J229">
        <v>0</v>
      </c>
      <c r="K229">
        <v>210</v>
      </c>
      <c r="L229">
        <v>28</v>
      </c>
      <c r="M229" s="10">
        <v>48.7</v>
      </c>
      <c r="N229" s="2">
        <f t="shared" si="8"/>
        <v>391.03050000000007</v>
      </c>
      <c r="O229" s="2">
        <f t="shared" si="7"/>
        <v>181.16225</v>
      </c>
      <c r="P229">
        <v>0</v>
      </c>
    </row>
    <row r="230" spans="1:16" x14ac:dyDescent="0.25">
      <c r="A230" s="15"/>
      <c r="B230" s="15"/>
      <c r="C230">
        <v>30</v>
      </c>
      <c r="D230">
        <v>385</v>
      </c>
      <c r="E230">
        <v>165</v>
      </c>
      <c r="F230">
        <v>690</v>
      </c>
      <c r="G230">
        <v>905</v>
      </c>
      <c r="H230">
        <v>6.05</v>
      </c>
      <c r="I230">
        <v>0</v>
      </c>
      <c r="J230">
        <v>0</v>
      </c>
      <c r="K230">
        <v>210</v>
      </c>
      <c r="L230">
        <v>56</v>
      </c>
      <c r="M230" s="10">
        <v>48.57</v>
      </c>
      <c r="N230" s="2">
        <f t="shared" si="8"/>
        <v>391.03050000000007</v>
      </c>
      <c r="O230" s="2">
        <f t="shared" si="7"/>
        <v>181.16225</v>
      </c>
      <c r="P230">
        <v>0</v>
      </c>
    </row>
    <row r="231" spans="1:16" x14ac:dyDescent="0.25">
      <c r="A231" s="15"/>
      <c r="B231" s="15"/>
      <c r="C231">
        <v>30</v>
      </c>
      <c r="D231">
        <v>385</v>
      </c>
      <c r="E231">
        <v>165</v>
      </c>
      <c r="F231">
        <v>690</v>
      </c>
      <c r="G231">
        <v>905</v>
      </c>
      <c r="H231">
        <v>6.05</v>
      </c>
      <c r="I231">
        <v>0</v>
      </c>
      <c r="J231">
        <v>0</v>
      </c>
      <c r="K231">
        <v>210</v>
      </c>
      <c r="L231">
        <v>90</v>
      </c>
      <c r="M231" s="10">
        <v>54.71</v>
      </c>
      <c r="N231" s="2">
        <f t="shared" si="8"/>
        <v>391.03050000000007</v>
      </c>
      <c r="O231" s="2">
        <f t="shared" si="7"/>
        <v>181.16225</v>
      </c>
      <c r="P231">
        <v>0</v>
      </c>
    </row>
    <row r="232" spans="1:16" x14ac:dyDescent="0.25">
      <c r="A232" s="15"/>
      <c r="B232" s="15"/>
      <c r="C232">
        <v>35</v>
      </c>
      <c r="D232">
        <v>357.5</v>
      </c>
      <c r="E232">
        <v>192.5</v>
      </c>
      <c r="F232">
        <v>690</v>
      </c>
      <c r="G232">
        <v>905</v>
      </c>
      <c r="H232">
        <v>6.05</v>
      </c>
      <c r="I232">
        <v>0</v>
      </c>
      <c r="J232">
        <v>0</v>
      </c>
      <c r="K232">
        <v>210</v>
      </c>
      <c r="L232">
        <v>14</v>
      </c>
      <c r="M232" s="10">
        <v>43.89</v>
      </c>
      <c r="N232" s="2">
        <f t="shared" si="8"/>
        <v>369.58050000000003</v>
      </c>
      <c r="O232" s="2">
        <f t="shared" si="7"/>
        <v>170.78100000000001</v>
      </c>
      <c r="P232">
        <v>0</v>
      </c>
    </row>
    <row r="233" spans="1:16" x14ac:dyDescent="0.25">
      <c r="A233" s="15"/>
      <c r="B233" s="15"/>
      <c r="C233">
        <v>35</v>
      </c>
      <c r="D233">
        <v>357.5</v>
      </c>
      <c r="E233">
        <v>192.5</v>
      </c>
      <c r="F233">
        <v>690</v>
      </c>
      <c r="G233">
        <v>905</v>
      </c>
      <c r="H233">
        <v>6.05</v>
      </c>
      <c r="I233">
        <v>0</v>
      </c>
      <c r="J233">
        <v>0</v>
      </c>
      <c r="K233">
        <v>210</v>
      </c>
      <c r="L233">
        <v>28</v>
      </c>
      <c r="M233" s="10">
        <v>46.71</v>
      </c>
      <c r="N233" s="2">
        <f t="shared" si="8"/>
        <v>369.58050000000003</v>
      </c>
      <c r="O233" s="2">
        <f t="shared" si="7"/>
        <v>170.78100000000001</v>
      </c>
      <c r="P233">
        <v>0</v>
      </c>
    </row>
    <row r="234" spans="1:16" x14ac:dyDescent="0.25">
      <c r="A234" s="15"/>
      <c r="B234" s="15"/>
      <c r="C234">
        <v>35</v>
      </c>
      <c r="D234">
        <v>357.5</v>
      </c>
      <c r="E234">
        <v>192.5</v>
      </c>
      <c r="F234">
        <v>690</v>
      </c>
      <c r="G234">
        <v>905</v>
      </c>
      <c r="H234">
        <v>6.05</v>
      </c>
      <c r="I234">
        <v>0</v>
      </c>
      <c r="J234">
        <v>0</v>
      </c>
      <c r="K234">
        <v>210</v>
      </c>
      <c r="L234">
        <v>56</v>
      </c>
      <c r="M234" s="10">
        <v>52.65</v>
      </c>
      <c r="N234" s="2">
        <f t="shared" si="8"/>
        <v>369.58050000000003</v>
      </c>
      <c r="O234" s="2">
        <f t="shared" si="7"/>
        <v>170.78100000000001</v>
      </c>
      <c r="P234">
        <v>0</v>
      </c>
    </row>
    <row r="235" spans="1:16" x14ac:dyDescent="0.25">
      <c r="A235" s="15"/>
      <c r="B235" s="15"/>
      <c r="C235">
        <v>35</v>
      </c>
      <c r="D235">
        <v>357.5</v>
      </c>
      <c r="E235">
        <v>192.5</v>
      </c>
      <c r="F235">
        <v>690</v>
      </c>
      <c r="G235">
        <v>905</v>
      </c>
      <c r="H235">
        <v>6.05</v>
      </c>
      <c r="I235">
        <v>0</v>
      </c>
      <c r="J235">
        <v>0</v>
      </c>
      <c r="K235">
        <v>210</v>
      </c>
      <c r="L235">
        <v>90</v>
      </c>
      <c r="M235" s="10">
        <v>52.8</v>
      </c>
      <c r="N235" s="2">
        <f t="shared" si="8"/>
        <v>369.58050000000003</v>
      </c>
      <c r="O235" s="2">
        <f t="shared" si="7"/>
        <v>170.78100000000001</v>
      </c>
      <c r="P235">
        <v>0</v>
      </c>
    </row>
    <row r="236" spans="1:16" x14ac:dyDescent="0.25">
      <c r="A236" s="15"/>
      <c r="B236" s="15"/>
      <c r="C236">
        <v>40</v>
      </c>
      <c r="D236">
        <v>330</v>
      </c>
      <c r="E236">
        <v>220</v>
      </c>
      <c r="F236">
        <v>690</v>
      </c>
      <c r="G236">
        <v>905</v>
      </c>
      <c r="H236">
        <v>6.05</v>
      </c>
      <c r="I236">
        <v>0</v>
      </c>
      <c r="J236">
        <v>0</v>
      </c>
      <c r="K236">
        <v>210</v>
      </c>
      <c r="L236">
        <v>14</v>
      </c>
      <c r="M236" s="10">
        <v>41.03</v>
      </c>
      <c r="N236" s="2">
        <f t="shared" si="8"/>
        <v>348.13049999999998</v>
      </c>
      <c r="O236" s="2">
        <f t="shared" si="7"/>
        <v>160.39974999999998</v>
      </c>
      <c r="P236">
        <v>0</v>
      </c>
    </row>
    <row r="237" spans="1:16" x14ac:dyDescent="0.25">
      <c r="A237" s="15"/>
      <c r="B237" s="15"/>
      <c r="C237">
        <v>40</v>
      </c>
      <c r="D237">
        <v>330</v>
      </c>
      <c r="E237">
        <v>220</v>
      </c>
      <c r="F237">
        <v>690</v>
      </c>
      <c r="G237">
        <v>905</v>
      </c>
      <c r="H237">
        <v>6.05</v>
      </c>
      <c r="I237">
        <v>0</v>
      </c>
      <c r="J237">
        <v>0</v>
      </c>
      <c r="K237">
        <v>210</v>
      </c>
      <c r="L237">
        <v>28</v>
      </c>
      <c r="M237" s="10">
        <v>44.07</v>
      </c>
      <c r="N237" s="2">
        <f t="shared" si="8"/>
        <v>348.13049999999998</v>
      </c>
      <c r="O237" s="2">
        <f t="shared" si="7"/>
        <v>160.39974999999998</v>
      </c>
      <c r="P237">
        <v>0</v>
      </c>
    </row>
    <row r="238" spans="1:16" x14ac:dyDescent="0.25">
      <c r="A238" s="15"/>
      <c r="B238" s="15"/>
      <c r="C238">
        <v>40</v>
      </c>
      <c r="D238">
        <v>330</v>
      </c>
      <c r="E238">
        <v>220</v>
      </c>
      <c r="F238">
        <v>690</v>
      </c>
      <c r="G238">
        <v>905</v>
      </c>
      <c r="H238">
        <v>6.05</v>
      </c>
      <c r="I238">
        <v>0</v>
      </c>
      <c r="J238">
        <v>0</v>
      </c>
      <c r="K238">
        <v>210</v>
      </c>
      <c r="L238">
        <v>56</v>
      </c>
      <c r="M238" s="10">
        <v>49.8</v>
      </c>
      <c r="N238" s="2">
        <f t="shared" si="8"/>
        <v>348.13049999999998</v>
      </c>
      <c r="O238" s="2">
        <f t="shared" si="7"/>
        <v>160.39974999999998</v>
      </c>
      <c r="P238">
        <v>0</v>
      </c>
    </row>
    <row r="239" spans="1:16" x14ac:dyDescent="0.25">
      <c r="A239" s="15"/>
      <c r="B239" s="15"/>
      <c r="C239">
        <v>40</v>
      </c>
      <c r="D239">
        <v>330</v>
      </c>
      <c r="E239">
        <v>220</v>
      </c>
      <c r="F239">
        <v>690</v>
      </c>
      <c r="G239">
        <v>905</v>
      </c>
      <c r="H239">
        <v>6.05</v>
      </c>
      <c r="I239">
        <v>0</v>
      </c>
      <c r="J239">
        <v>0</v>
      </c>
      <c r="K239">
        <v>210</v>
      </c>
      <c r="L239">
        <v>90</v>
      </c>
      <c r="M239" s="10">
        <v>47.72</v>
      </c>
      <c r="N239" s="2">
        <f t="shared" si="8"/>
        <v>348.13049999999998</v>
      </c>
      <c r="O239" s="2">
        <f t="shared" si="7"/>
        <v>160.39974999999998</v>
      </c>
      <c r="P239">
        <v>0</v>
      </c>
    </row>
    <row r="240" spans="1:16" x14ac:dyDescent="0.25">
      <c r="A240" s="15"/>
      <c r="B240" s="15"/>
      <c r="C240">
        <v>45</v>
      </c>
      <c r="D240">
        <v>302.5</v>
      </c>
      <c r="E240">
        <v>247.5</v>
      </c>
      <c r="F240">
        <v>690</v>
      </c>
      <c r="G240">
        <v>905</v>
      </c>
      <c r="H240">
        <v>6.05</v>
      </c>
      <c r="I240">
        <v>0</v>
      </c>
      <c r="J240">
        <v>0</v>
      </c>
      <c r="K240">
        <v>210</v>
      </c>
      <c r="L240">
        <v>14</v>
      </c>
      <c r="M240" s="10">
        <v>36.659999999999997</v>
      </c>
      <c r="N240" s="2">
        <f t="shared" si="8"/>
        <v>326.68050000000005</v>
      </c>
      <c r="O240" s="2">
        <f t="shared" si="7"/>
        <v>150.01849999999999</v>
      </c>
      <c r="P240">
        <v>0</v>
      </c>
    </row>
    <row r="241" spans="1:16" x14ac:dyDescent="0.25">
      <c r="A241" s="15"/>
      <c r="B241" s="15"/>
      <c r="C241">
        <v>45</v>
      </c>
      <c r="D241">
        <v>302.5</v>
      </c>
      <c r="E241">
        <v>247.5</v>
      </c>
      <c r="F241">
        <v>690</v>
      </c>
      <c r="G241">
        <v>905</v>
      </c>
      <c r="H241">
        <v>6.05</v>
      </c>
      <c r="I241">
        <v>0</v>
      </c>
      <c r="J241">
        <v>0</v>
      </c>
      <c r="K241">
        <v>210</v>
      </c>
      <c r="L241">
        <v>28</v>
      </c>
      <c r="M241" s="10">
        <v>41.38</v>
      </c>
      <c r="N241" s="2">
        <f t="shared" si="8"/>
        <v>326.68050000000005</v>
      </c>
      <c r="O241" s="2">
        <f t="shared" si="7"/>
        <v>150.01849999999999</v>
      </c>
      <c r="P241">
        <v>0</v>
      </c>
    </row>
    <row r="242" spans="1:16" x14ac:dyDescent="0.25">
      <c r="A242" s="15"/>
      <c r="B242" s="15"/>
      <c r="C242">
        <v>45</v>
      </c>
      <c r="D242">
        <v>302.5</v>
      </c>
      <c r="E242">
        <v>247.5</v>
      </c>
      <c r="F242">
        <v>690</v>
      </c>
      <c r="G242">
        <v>905</v>
      </c>
      <c r="H242">
        <v>6.05</v>
      </c>
      <c r="I242">
        <v>0</v>
      </c>
      <c r="J242">
        <v>0</v>
      </c>
      <c r="K242">
        <v>210</v>
      </c>
      <c r="L242">
        <v>56</v>
      </c>
      <c r="M242" s="10">
        <v>47.38</v>
      </c>
      <c r="N242" s="2">
        <f t="shared" si="8"/>
        <v>326.68050000000005</v>
      </c>
      <c r="O242" s="2">
        <f t="shared" si="7"/>
        <v>150.01849999999999</v>
      </c>
      <c r="P242">
        <v>0</v>
      </c>
    </row>
    <row r="243" spans="1:16" x14ac:dyDescent="0.25">
      <c r="A243" s="15"/>
      <c r="B243" s="15"/>
      <c r="C243">
        <v>45</v>
      </c>
      <c r="D243">
        <v>302.5</v>
      </c>
      <c r="E243">
        <v>247.5</v>
      </c>
      <c r="F243">
        <v>690</v>
      </c>
      <c r="G243">
        <v>905</v>
      </c>
      <c r="H243">
        <v>6.05</v>
      </c>
      <c r="I243">
        <v>0</v>
      </c>
      <c r="J243">
        <v>0</v>
      </c>
      <c r="K243">
        <v>210</v>
      </c>
      <c r="L243">
        <v>90</v>
      </c>
      <c r="M243" s="10">
        <v>49.85</v>
      </c>
      <c r="N243" s="2">
        <f t="shared" si="8"/>
        <v>326.68050000000005</v>
      </c>
      <c r="O243" s="2">
        <f t="shared" si="7"/>
        <v>150.01849999999999</v>
      </c>
      <c r="P243">
        <v>0</v>
      </c>
    </row>
    <row r="244" spans="1:16" x14ac:dyDescent="0.25">
      <c r="A244" s="15"/>
      <c r="B244" s="15"/>
      <c r="C244">
        <v>50</v>
      </c>
      <c r="D244">
        <v>275</v>
      </c>
      <c r="E244">
        <v>275</v>
      </c>
      <c r="F244">
        <v>690</v>
      </c>
      <c r="G244">
        <v>905</v>
      </c>
      <c r="H244">
        <v>6.05</v>
      </c>
      <c r="I244">
        <v>0</v>
      </c>
      <c r="J244">
        <v>0</v>
      </c>
      <c r="K244">
        <v>210</v>
      </c>
      <c r="L244">
        <v>14</v>
      </c>
      <c r="M244" s="10">
        <v>38.229999999999997</v>
      </c>
      <c r="N244" s="2">
        <f t="shared" si="8"/>
        <v>305.23050000000001</v>
      </c>
      <c r="O244" s="2">
        <f t="shared" si="7"/>
        <v>139.63724999999999</v>
      </c>
      <c r="P244">
        <v>0</v>
      </c>
    </row>
    <row r="245" spans="1:16" x14ac:dyDescent="0.25">
      <c r="A245" s="15"/>
      <c r="B245" s="15"/>
      <c r="C245">
        <v>50</v>
      </c>
      <c r="D245">
        <v>275</v>
      </c>
      <c r="E245">
        <v>275</v>
      </c>
      <c r="F245">
        <v>690</v>
      </c>
      <c r="G245">
        <v>905</v>
      </c>
      <c r="H245">
        <v>6.05</v>
      </c>
      <c r="I245">
        <v>0</v>
      </c>
      <c r="J245">
        <v>0</v>
      </c>
      <c r="K245">
        <v>210</v>
      </c>
      <c r="L245">
        <v>28</v>
      </c>
      <c r="M245" s="10">
        <v>39.06</v>
      </c>
      <c r="N245" s="2">
        <f t="shared" si="8"/>
        <v>305.23050000000001</v>
      </c>
      <c r="O245" s="2">
        <f t="shared" si="7"/>
        <v>139.63724999999999</v>
      </c>
      <c r="P245">
        <v>0</v>
      </c>
    </row>
    <row r="246" spans="1:16" x14ac:dyDescent="0.25">
      <c r="A246" s="15"/>
      <c r="B246" s="15"/>
      <c r="C246">
        <v>50</v>
      </c>
      <c r="D246">
        <v>275</v>
      </c>
      <c r="E246">
        <v>275</v>
      </c>
      <c r="F246">
        <v>690</v>
      </c>
      <c r="G246">
        <v>905</v>
      </c>
      <c r="H246">
        <v>6.05</v>
      </c>
      <c r="I246">
        <v>0</v>
      </c>
      <c r="J246">
        <v>0</v>
      </c>
      <c r="K246">
        <v>210</v>
      </c>
      <c r="L246">
        <v>56</v>
      </c>
      <c r="M246" s="10">
        <v>43.3</v>
      </c>
      <c r="N246" s="2">
        <f t="shared" si="8"/>
        <v>305.23050000000001</v>
      </c>
      <c r="O246" s="2">
        <f t="shared" si="7"/>
        <v>139.63724999999999</v>
      </c>
      <c r="P246">
        <v>0</v>
      </c>
    </row>
    <row r="247" spans="1:16" x14ac:dyDescent="0.25">
      <c r="A247" s="15"/>
      <c r="B247" s="15"/>
      <c r="C247">
        <v>50</v>
      </c>
      <c r="D247">
        <v>275</v>
      </c>
      <c r="E247">
        <v>275</v>
      </c>
      <c r="F247">
        <v>690</v>
      </c>
      <c r="G247">
        <v>905</v>
      </c>
      <c r="H247">
        <v>6.05</v>
      </c>
      <c r="I247">
        <v>0</v>
      </c>
      <c r="J247">
        <v>0</v>
      </c>
      <c r="K247">
        <v>210</v>
      </c>
      <c r="L247">
        <v>90</v>
      </c>
      <c r="M247" s="10">
        <v>45.87</v>
      </c>
      <c r="N247" s="2">
        <f t="shared" si="8"/>
        <v>305.23050000000001</v>
      </c>
      <c r="O247" s="2">
        <f t="shared" si="7"/>
        <v>139.63724999999999</v>
      </c>
      <c r="P247">
        <v>0</v>
      </c>
    </row>
    <row r="248" spans="1:16" x14ac:dyDescent="0.25">
      <c r="A248" s="15" t="s">
        <v>112</v>
      </c>
      <c r="B248" s="15" t="s">
        <v>113</v>
      </c>
      <c r="C248">
        <v>0</v>
      </c>
      <c r="D248">
        <v>436.8</v>
      </c>
      <c r="E248">
        <v>0</v>
      </c>
      <c r="F248">
        <v>719.4</v>
      </c>
      <c r="G248">
        <v>1151.7</v>
      </c>
      <c r="H248">
        <v>0</v>
      </c>
      <c r="I248">
        <v>0</v>
      </c>
      <c r="J248">
        <v>0</v>
      </c>
      <c r="K248">
        <v>164.9</v>
      </c>
      <c r="L248">
        <v>14</v>
      </c>
      <c r="M248" s="10">
        <v>26.8</v>
      </c>
      <c r="N248" s="2">
        <f t="shared" si="8"/>
        <v>425.40669000000003</v>
      </c>
      <c r="O248" s="2">
        <f t="shared" si="7"/>
        <v>195.861345</v>
      </c>
      <c r="P248">
        <v>0</v>
      </c>
    </row>
    <row r="249" spans="1:16" x14ac:dyDescent="0.25">
      <c r="A249" s="15"/>
      <c r="B249" s="15"/>
      <c r="C249">
        <v>0</v>
      </c>
      <c r="D249">
        <v>436.8</v>
      </c>
      <c r="E249">
        <v>0</v>
      </c>
      <c r="F249">
        <v>719.4</v>
      </c>
      <c r="G249">
        <v>1151.7</v>
      </c>
      <c r="H249">
        <v>0</v>
      </c>
      <c r="I249">
        <v>0</v>
      </c>
      <c r="J249">
        <v>0</v>
      </c>
      <c r="K249">
        <v>164.9</v>
      </c>
      <c r="L249">
        <v>21</v>
      </c>
      <c r="M249" s="10">
        <v>27.33</v>
      </c>
      <c r="N249" s="2">
        <f t="shared" si="8"/>
        <v>425.40669000000003</v>
      </c>
      <c r="O249" s="2">
        <f t="shared" si="7"/>
        <v>195.861345</v>
      </c>
      <c r="P249">
        <v>0</v>
      </c>
    </row>
    <row r="250" spans="1:16" x14ac:dyDescent="0.25">
      <c r="A250" s="15"/>
      <c r="B250" s="15"/>
      <c r="C250">
        <v>0</v>
      </c>
      <c r="D250">
        <v>436.8</v>
      </c>
      <c r="E250">
        <v>0</v>
      </c>
      <c r="F250">
        <v>719.4</v>
      </c>
      <c r="G250">
        <v>1151.7</v>
      </c>
      <c r="H250">
        <v>0</v>
      </c>
      <c r="I250">
        <v>0</v>
      </c>
      <c r="J250">
        <v>0</v>
      </c>
      <c r="K250">
        <v>164.9</v>
      </c>
      <c r="L250">
        <v>56</v>
      </c>
      <c r="M250" s="10">
        <v>28.73</v>
      </c>
      <c r="N250" s="2">
        <f t="shared" si="8"/>
        <v>425.40669000000003</v>
      </c>
      <c r="O250" s="2">
        <f t="shared" si="7"/>
        <v>195.861345</v>
      </c>
      <c r="P250">
        <v>0</v>
      </c>
    </row>
    <row r="251" spans="1:16" x14ac:dyDescent="0.25">
      <c r="A251" s="15"/>
      <c r="B251" s="15"/>
      <c r="C251">
        <v>0</v>
      </c>
      <c r="D251">
        <v>436.8</v>
      </c>
      <c r="E251">
        <v>0</v>
      </c>
      <c r="F251">
        <v>719.4</v>
      </c>
      <c r="G251">
        <v>1151.7</v>
      </c>
      <c r="H251">
        <v>0</v>
      </c>
      <c r="I251">
        <v>0</v>
      </c>
      <c r="J251">
        <v>0</v>
      </c>
      <c r="K251">
        <v>164.9</v>
      </c>
      <c r="L251">
        <v>90</v>
      </c>
      <c r="M251" s="10">
        <v>32.31</v>
      </c>
      <c r="N251" s="2">
        <f t="shared" si="8"/>
        <v>425.40669000000003</v>
      </c>
      <c r="O251" s="2">
        <f t="shared" si="7"/>
        <v>195.861345</v>
      </c>
      <c r="P251">
        <v>0</v>
      </c>
    </row>
    <row r="252" spans="1:16" x14ac:dyDescent="0.25">
      <c r="A252" s="15"/>
      <c r="B252" s="15"/>
      <c r="C252">
        <v>5</v>
      </c>
      <c r="D252">
        <v>414.96</v>
      </c>
      <c r="E252">
        <v>21.84</v>
      </c>
      <c r="F252">
        <v>719.4</v>
      </c>
      <c r="G252">
        <v>1151.7</v>
      </c>
      <c r="H252">
        <v>0</v>
      </c>
      <c r="I252">
        <v>0</v>
      </c>
      <c r="J252">
        <v>0</v>
      </c>
      <c r="K252">
        <v>164.9</v>
      </c>
      <c r="L252">
        <v>14</v>
      </c>
      <c r="M252" s="10">
        <v>25.54</v>
      </c>
      <c r="N252" s="2">
        <f t="shared" si="8"/>
        <v>408.37148999999999</v>
      </c>
      <c r="O252" s="2">
        <f t="shared" si="7"/>
        <v>187.61674499999998</v>
      </c>
      <c r="P252">
        <v>0</v>
      </c>
    </row>
    <row r="253" spans="1:16" x14ac:dyDescent="0.25">
      <c r="A253" s="15"/>
      <c r="B253" s="15"/>
      <c r="C253">
        <v>5</v>
      </c>
      <c r="D253">
        <v>414.96</v>
      </c>
      <c r="E253">
        <v>21.84</v>
      </c>
      <c r="F253">
        <v>719.4</v>
      </c>
      <c r="G253">
        <v>1151.7</v>
      </c>
      <c r="H253">
        <v>0</v>
      </c>
      <c r="I253">
        <v>0</v>
      </c>
      <c r="J253">
        <v>0</v>
      </c>
      <c r="K253">
        <v>164.9</v>
      </c>
      <c r="L253">
        <v>21</v>
      </c>
      <c r="M253" s="10">
        <v>25.47</v>
      </c>
      <c r="N253" s="2">
        <f t="shared" si="8"/>
        <v>408.37148999999999</v>
      </c>
      <c r="O253" s="2">
        <f t="shared" si="7"/>
        <v>187.61674499999998</v>
      </c>
      <c r="P253">
        <v>0</v>
      </c>
    </row>
    <row r="254" spans="1:16" x14ac:dyDescent="0.25">
      <c r="A254" s="15"/>
      <c r="B254" s="15"/>
      <c r="C254">
        <v>5</v>
      </c>
      <c r="D254">
        <v>414.96</v>
      </c>
      <c r="E254">
        <v>21.84</v>
      </c>
      <c r="F254">
        <v>719.4</v>
      </c>
      <c r="G254">
        <v>1151.7</v>
      </c>
      <c r="H254">
        <v>0</v>
      </c>
      <c r="I254">
        <v>0</v>
      </c>
      <c r="J254">
        <v>0</v>
      </c>
      <c r="K254">
        <v>164.9</v>
      </c>
      <c r="L254">
        <v>56</v>
      </c>
      <c r="M254" s="10">
        <v>31.23</v>
      </c>
      <c r="N254" s="2">
        <f t="shared" si="8"/>
        <v>408.37148999999999</v>
      </c>
      <c r="O254" s="2">
        <f t="shared" si="7"/>
        <v>187.61674499999998</v>
      </c>
      <c r="P254">
        <v>0</v>
      </c>
    </row>
    <row r="255" spans="1:16" x14ac:dyDescent="0.25">
      <c r="A255" s="15"/>
      <c r="B255" s="15"/>
      <c r="C255">
        <v>5</v>
      </c>
      <c r="D255">
        <v>414.96</v>
      </c>
      <c r="E255">
        <v>21.84</v>
      </c>
      <c r="F255">
        <v>719.4</v>
      </c>
      <c r="G255">
        <v>1151.7</v>
      </c>
      <c r="H255">
        <v>0</v>
      </c>
      <c r="I255">
        <v>0</v>
      </c>
      <c r="J255">
        <v>0</v>
      </c>
      <c r="K255">
        <v>164.9</v>
      </c>
      <c r="L255">
        <v>90</v>
      </c>
      <c r="M255" s="10">
        <v>30.5</v>
      </c>
      <c r="N255" s="2">
        <f t="shared" si="8"/>
        <v>408.37148999999999</v>
      </c>
      <c r="O255" s="2">
        <f t="shared" si="7"/>
        <v>187.61674499999998</v>
      </c>
      <c r="P255">
        <v>0</v>
      </c>
    </row>
    <row r="256" spans="1:16" x14ac:dyDescent="0.25">
      <c r="A256" s="15"/>
      <c r="B256" s="15"/>
      <c r="C256">
        <v>10</v>
      </c>
      <c r="D256">
        <v>393.12</v>
      </c>
      <c r="E256">
        <v>43.68</v>
      </c>
      <c r="F256">
        <v>719.4</v>
      </c>
      <c r="G256">
        <v>1151.7</v>
      </c>
      <c r="H256">
        <v>0</v>
      </c>
      <c r="I256">
        <v>0</v>
      </c>
      <c r="J256">
        <v>0</v>
      </c>
      <c r="K256">
        <v>164.9</v>
      </c>
      <c r="L256">
        <v>14</v>
      </c>
      <c r="M256" s="10">
        <v>23.87</v>
      </c>
      <c r="N256" s="2">
        <f t="shared" si="8"/>
        <v>391.33629000000008</v>
      </c>
      <c r="O256" s="2">
        <f t="shared" si="7"/>
        <v>179.37214499999999</v>
      </c>
      <c r="P256">
        <v>0</v>
      </c>
    </row>
    <row r="257" spans="1:16" x14ac:dyDescent="0.25">
      <c r="A257" s="15"/>
      <c r="B257" s="15"/>
      <c r="C257">
        <v>10</v>
      </c>
      <c r="D257">
        <v>393.12</v>
      </c>
      <c r="E257">
        <v>43.68</v>
      </c>
      <c r="F257">
        <v>719.4</v>
      </c>
      <c r="G257">
        <v>1151.7</v>
      </c>
      <c r="H257">
        <v>0</v>
      </c>
      <c r="I257">
        <v>0</v>
      </c>
      <c r="J257">
        <v>0</v>
      </c>
      <c r="K257">
        <v>164.9</v>
      </c>
      <c r="L257">
        <v>21</v>
      </c>
      <c r="M257" s="10">
        <v>21.65</v>
      </c>
      <c r="N257" s="2">
        <f t="shared" si="8"/>
        <v>391.33629000000008</v>
      </c>
      <c r="O257" s="2">
        <f t="shared" si="7"/>
        <v>179.37214499999999</v>
      </c>
      <c r="P257">
        <v>0</v>
      </c>
    </row>
    <row r="258" spans="1:16" x14ac:dyDescent="0.25">
      <c r="A258" s="15"/>
      <c r="B258" s="15"/>
      <c r="C258">
        <v>10</v>
      </c>
      <c r="D258">
        <v>393.12</v>
      </c>
      <c r="E258">
        <v>43.68</v>
      </c>
      <c r="F258">
        <v>719.4</v>
      </c>
      <c r="G258">
        <v>1151.7</v>
      </c>
      <c r="H258">
        <v>0</v>
      </c>
      <c r="I258">
        <v>0</v>
      </c>
      <c r="J258">
        <v>0</v>
      </c>
      <c r="K258">
        <v>164.9</v>
      </c>
      <c r="L258">
        <v>56</v>
      </c>
      <c r="M258" s="10">
        <v>27.24</v>
      </c>
      <c r="N258" s="2">
        <f t="shared" si="8"/>
        <v>391.33629000000008</v>
      </c>
      <c r="O258" s="2">
        <f t="shared" si="7"/>
        <v>179.37214499999999</v>
      </c>
      <c r="P258">
        <v>0</v>
      </c>
    </row>
    <row r="259" spans="1:16" x14ac:dyDescent="0.25">
      <c r="A259" s="15"/>
      <c r="B259" s="15"/>
      <c r="C259">
        <v>10</v>
      </c>
      <c r="D259">
        <v>393.12</v>
      </c>
      <c r="E259">
        <v>43.68</v>
      </c>
      <c r="F259">
        <v>719.4</v>
      </c>
      <c r="G259">
        <v>1151.7</v>
      </c>
      <c r="H259">
        <v>0</v>
      </c>
      <c r="I259">
        <v>0</v>
      </c>
      <c r="J259">
        <v>0</v>
      </c>
      <c r="K259">
        <v>164.9</v>
      </c>
      <c r="L259">
        <v>90</v>
      </c>
      <c r="M259" s="10">
        <v>29.53</v>
      </c>
      <c r="N259" s="2">
        <f t="shared" si="8"/>
        <v>391.33629000000008</v>
      </c>
      <c r="O259" s="2">
        <f t="shared" ref="O259:O322" si="9">SUM((D259*5)+((F259*0.25)+(G259*0.2)+(H259*20)))*0.0755</f>
        <v>179.37214499999999</v>
      </c>
      <c r="P259">
        <v>0</v>
      </c>
    </row>
    <row r="260" spans="1:16" x14ac:dyDescent="0.25">
      <c r="A260" s="15"/>
      <c r="B260" s="15"/>
      <c r="C260">
        <v>15</v>
      </c>
      <c r="D260">
        <v>371.28</v>
      </c>
      <c r="E260">
        <v>65.52</v>
      </c>
      <c r="F260">
        <v>719.4</v>
      </c>
      <c r="G260">
        <v>1151.7</v>
      </c>
      <c r="H260">
        <v>0</v>
      </c>
      <c r="I260">
        <v>0</v>
      </c>
      <c r="J260">
        <v>0</v>
      </c>
      <c r="K260">
        <v>164.9</v>
      </c>
      <c r="L260">
        <v>14</v>
      </c>
      <c r="M260" s="10">
        <v>20.399999999999999</v>
      </c>
      <c r="N260" s="2">
        <f t="shared" si="8"/>
        <v>374.30108999999993</v>
      </c>
      <c r="O260" s="2">
        <f t="shared" si="9"/>
        <v>171.127545</v>
      </c>
      <c r="P260">
        <v>0</v>
      </c>
    </row>
    <row r="261" spans="1:16" x14ac:dyDescent="0.25">
      <c r="A261" s="15"/>
      <c r="B261" s="15"/>
      <c r="C261">
        <v>15</v>
      </c>
      <c r="D261">
        <v>371.28</v>
      </c>
      <c r="E261">
        <v>65.52</v>
      </c>
      <c r="F261">
        <v>719.4</v>
      </c>
      <c r="G261">
        <v>1151.7</v>
      </c>
      <c r="H261">
        <v>0</v>
      </c>
      <c r="I261">
        <v>0</v>
      </c>
      <c r="J261">
        <v>0</v>
      </c>
      <c r="K261">
        <v>164.9</v>
      </c>
      <c r="L261">
        <v>21</v>
      </c>
      <c r="M261" s="10">
        <v>27.64</v>
      </c>
      <c r="N261" s="2">
        <f t="shared" si="8"/>
        <v>374.30108999999993</v>
      </c>
      <c r="O261" s="2">
        <f t="shared" si="9"/>
        <v>171.127545</v>
      </c>
      <c r="P261">
        <v>0</v>
      </c>
    </row>
    <row r="262" spans="1:16" x14ac:dyDescent="0.25">
      <c r="A262" s="15"/>
      <c r="B262" s="15"/>
      <c r="C262">
        <v>15</v>
      </c>
      <c r="D262">
        <v>371.28</v>
      </c>
      <c r="E262">
        <v>65.52</v>
      </c>
      <c r="F262">
        <v>719.4</v>
      </c>
      <c r="G262">
        <v>1151.7</v>
      </c>
      <c r="H262">
        <v>0</v>
      </c>
      <c r="I262">
        <v>0</v>
      </c>
      <c r="J262">
        <v>0</v>
      </c>
      <c r="K262">
        <v>164.9</v>
      </c>
      <c r="L262">
        <v>56</v>
      </c>
      <c r="M262" s="10">
        <v>29.37</v>
      </c>
      <c r="N262" s="2">
        <f t="shared" si="8"/>
        <v>374.30108999999993</v>
      </c>
      <c r="O262" s="2">
        <f t="shared" si="9"/>
        <v>171.127545</v>
      </c>
      <c r="P262">
        <v>0</v>
      </c>
    </row>
    <row r="263" spans="1:16" x14ac:dyDescent="0.25">
      <c r="A263" s="15"/>
      <c r="B263" s="15"/>
      <c r="C263">
        <v>15</v>
      </c>
      <c r="D263">
        <v>371.28</v>
      </c>
      <c r="E263">
        <v>65.52</v>
      </c>
      <c r="F263">
        <v>719.4</v>
      </c>
      <c r="G263">
        <v>1151.7</v>
      </c>
      <c r="H263">
        <v>0</v>
      </c>
      <c r="I263">
        <v>0</v>
      </c>
      <c r="J263">
        <v>0</v>
      </c>
      <c r="K263">
        <v>164.9</v>
      </c>
      <c r="L263">
        <v>90</v>
      </c>
      <c r="M263" s="10">
        <v>27.66</v>
      </c>
      <c r="N263" s="2">
        <f t="shared" si="8"/>
        <v>374.30108999999993</v>
      </c>
      <c r="O263" s="2">
        <f t="shared" si="9"/>
        <v>171.127545</v>
      </c>
      <c r="P263">
        <v>0</v>
      </c>
    </row>
    <row r="264" spans="1:16" x14ac:dyDescent="0.25">
      <c r="A264" s="15"/>
      <c r="B264" s="15"/>
      <c r="C264">
        <v>20</v>
      </c>
      <c r="D264">
        <v>349.44</v>
      </c>
      <c r="E264">
        <v>87.36</v>
      </c>
      <c r="F264">
        <v>719.4</v>
      </c>
      <c r="G264">
        <v>1151.7</v>
      </c>
      <c r="H264">
        <v>0</v>
      </c>
      <c r="I264">
        <v>0</v>
      </c>
      <c r="J264">
        <v>0</v>
      </c>
      <c r="K264">
        <v>164.9</v>
      </c>
      <c r="L264">
        <v>14</v>
      </c>
      <c r="M264" s="10">
        <v>22.05</v>
      </c>
      <c r="N264" s="2">
        <f t="shared" si="8"/>
        <v>357.26589000000001</v>
      </c>
      <c r="O264" s="2">
        <f t="shared" si="9"/>
        <v>162.88294500000001</v>
      </c>
      <c r="P264">
        <v>0</v>
      </c>
    </row>
    <row r="265" spans="1:16" x14ac:dyDescent="0.25">
      <c r="A265" s="15"/>
      <c r="B265" s="15"/>
      <c r="C265">
        <v>20</v>
      </c>
      <c r="D265">
        <v>349.44</v>
      </c>
      <c r="E265">
        <v>87.36</v>
      </c>
      <c r="F265">
        <v>719.4</v>
      </c>
      <c r="G265">
        <v>1151.7</v>
      </c>
      <c r="H265">
        <v>0</v>
      </c>
      <c r="I265">
        <v>0</v>
      </c>
      <c r="J265">
        <v>0</v>
      </c>
      <c r="K265">
        <v>164.9</v>
      </c>
      <c r="L265">
        <v>21</v>
      </c>
      <c r="M265" s="10">
        <v>23.17</v>
      </c>
      <c r="N265" s="2">
        <f t="shared" si="8"/>
        <v>357.26589000000001</v>
      </c>
      <c r="O265" s="2">
        <f t="shared" si="9"/>
        <v>162.88294500000001</v>
      </c>
      <c r="P265">
        <v>0</v>
      </c>
    </row>
    <row r="266" spans="1:16" x14ac:dyDescent="0.25">
      <c r="A266" s="15"/>
      <c r="B266" s="15"/>
      <c r="C266">
        <v>20</v>
      </c>
      <c r="D266">
        <v>349.44</v>
      </c>
      <c r="E266">
        <v>87.36</v>
      </c>
      <c r="F266">
        <v>719.4</v>
      </c>
      <c r="G266">
        <v>1151.7</v>
      </c>
      <c r="H266">
        <v>0</v>
      </c>
      <c r="I266">
        <v>0</v>
      </c>
      <c r="J266">
        <v>0</v>
      </c>
      <c r="K266">
        <v>164.9</v>
      </c>
      <c r="L266">
        <v>56</v>
      </c>
      <c r="M266" s="10">
        <v>27.77</v>
      </c>
      <c r="N266" s="2">
        <f t="shared" si="8"/>
        <v>357.26589000000001</v>
      </c>
      <c r="O266" s="2">
        <f t="shared" si="9"/>
        <v>162.88294500000001</v>
      </c>
      <c r="P266">
        <v>0</v>
      </c>
    </row>
    <row r="267" spans="1:16" x14ac:dyDescent="0.25">
      <c r="A267" s="15"/>
      <c r="B267" s="15"/>
      <c r="C267">
        <v>20</v>
      </c>
      <c r="D267">
        <v>349.44</v>
      </c>
      <c r="E267">
        <v>87.36</v>
      </c>
      <c r="F267">
        <v>719.4</v>
      </c>
      <c r="G267">
        <v>1151.7</v>
      </c>
      <c r="H267">
        <v>0</v>
      </c>
      <c r="I267">
        <v>0</v>
      </c>
      <c r="J267">
        <v>0</v>
      </c>
      <c r="K267">
        <v>164.9</v>
      </c>
      <c r="L267">
        <v>90</v>
      </c>
      <c r="M267" s="10">
        <v>27.34</v>
      </c>
      <c r="N267" s="2">
        <f t="shared" si="8"/>
        <v>357.26589000000001</v>
      </c>
      <c r="O267" s="2">
        <f t="shared" si="9"/>
        <v>162.88294500000001</v>
      </c>
      <c r="P267">
        <v>0</v>
      </c>
    </row>
    <row r="268" spans="1:16" x14ac:dyDescent="0.25">
      <c r="A268" s="15"/>
      <c r="B268" s="15"/>
      <c r="C268">
        <v>25</v>
      </c>
      <c r="D268">
        <v>327.60000000000002</v>
      </c>
      <c r="E268">
        <v>109.2</v>
      </c>
      <c r="F268">
        <v>719.4</v>
      </c>
      <c r="G268">
        <v>1151.7</v>
      </c>
      <c r="H268">
        <v>0</v>
      </c>
      <c r="I268">
        <v>0</v>
      </c>
      <c r="J268">
        <v>0</v>
      </c>
      <c r="K268">
        <v>164.9</v>
      </c>
      <c r="L268">
        <v>14</v>
      </c>
      <c r="M268" s="10">
        <v>24.36</v>
      </c>
      <c r="N268" s="2">
        <f t="shared" si="8"/>
        <v>340.23068999999998</v>
      </c>
      <c r="O268" s="2">
        <f t="shared" si="9"/>
        <v>154.63834499999999</v>
      </c>
      <c r="P268">
        <v>0</v>
      </c>
    </row>
    <row r="269" spans="1:16" x14ac:dyDescent="0.25">
      <c r="A269" s="15"/>
      <c r="B269" s="15"/>
      <c r="C269">
        <v>25</v>
      </c>
      <c r="D269">
        <v>327.60000000000002</v>
      </c>
      <c r="E269">
        <v>109.2</v>
      </c>
      <c r="F269">
        <v>719.4</v>
      </c>
      <c r="G269">
        <v>1151.7</v>
      </c>
      <c r="H269">
        <v>0</v>
      </c>
      <c r="I269">
        <v>0</v>
      </c>
      <c r="J269">
        <v>0</v>
      </c>
      <c r="K269">
        <v>164.9</v>
      </c>
      <c r="L269">
        <v>21</v>
      </c>
      <c r="M269" s="10">
        <v>23.57</v>
      </c>
      <c r="N269" s="2">
        <f t="shared" si="8"/>
        <v>340.23068999999998</v>
      </c>
      <c r="O269" s="2">
        <f t="shared" si="9"/>
        <v>154.63834499999999</v>
      </c>
      <c r="P269">
        <v>0</v>
      </c>
    </row>
    <row r="270" spans="1:16" x14ac:dyDescent="0.25">
      <c r="A270" s="15"/>
      <c r="B270" s="15"/>
      <c r="C270">
        <v>25</v>
      </c>
      <c r="D270">
        <v>327.60000000000002</v>
      </c>
      <c r="E270">
        <v>109.2</v>
      </c>
      <c r="F270">
        <v>719.4</v>
      </c>
      <c r="G270">
        <v>1151.7</v>
      </c>
      <c r="H270">
        <v>0</v>
      </c>
      <c r="I270">
        <v>0</v>
      </c>
      <c r="J270">
        <v>0</v>
      </c>
      <c r="K270">
        <v>164.9</v>
      </c>
      <c r="L270">
        <v>56</v>
      </c>
      <c r="M270" s="10">
        <v>28.7</v>
      </c>
      <c r="N270" s="2">
        <f t="shared" si="8"/>
        <v>340.23068999999998</v>
      </c>
      <c r="O270" s="2">
        <f t="shared" si="9"/>
        <v>154.63834499999999</v>
      </c>
      <c r="P270">
        <v>0</v>
      </c>
    </row>
    <row r="271" spans="1:16" x14ac:dyDescent="0.25">
      <c r="A271" s="15"/>
      <c r="B271" s="15"/>
      <c r="C271">
        <v>25</v>
      </c>
      <c r="D271">
        <v>327.60000000000002</v>
      </c>
      <c r="E271">
        <v>109.2</v>
      </c>
      <c r="F271">
        <v>719.4</v>
      </c>
      <c r="G271">
        <v>1151.7</v>
      </c>
      <c r="H271">
        <v>0</v>
      </c>
      <c r="I271">
        <v>0</v>
      </c>
      <c r="J271">
        <v>0</v>
      </c>
      <c r="K271">
        <v>164.9</v>
      </c>
      <c r="L271">
        <v>90</v>
      </c>
      <c r="M271" s="10">
        <v>24.54</v>
      </c>
      <c r="N271" s="2">
        <f t="shared" si="8"/>
        <v>340.23068999999998</v>
      </c>
      <c r="O271" s="2">
        <f t="shared" si="9"/>
        <v>154.63834499999999</v>
      </c>
      <c r="P271">
        <v>0</v>
      </c>
    </row>
    <row r="272" spans="1:16" x14ac:dyDescent="0.25">
      <c r="A272" s="15"/>
      <c r="B272" s="15"/>
      <c r="C272">
        <v>30</v>
      </c>
      <c r="D272">
        <v>305.76</v>
      </c>
      <c r="E272">
        <v>131.04</v>
      </c>
      <c r="F272">
        <v>719.4</v>
      </c>
      <c r="G272">
        <v>1151.7</v>
      </c>
      <c r="H272">
        <v>0</v>
      </c>
      <c r="I272">
        <v>0</v>
      </c>
      <c r="J272">
        <v>0</v>
      </c>
      <c r="K272">
        <v>164.9</v>
      </c>
      <c r="L272">
        <v>14</v>
      </c>
      <c r="M272" s="10">
        <v>22.21</v>
      </c>
      <c r="N272" s="2">
        <f t="shared" si="8"/>
        <v>323.19548999999995</v>
      </c>
      <c r="O272" s="2">
        <f t="shared" si="9"/>
        <v>146.393745</v>
      </c>
      <c r="P272">
        <v>0</v>
      </c>
    </row>
    <row r="273" spans="1:16" x14ac:dyDescent="0.25">
      <c r="A273" s="15"/>
      <c r="B273" s="15"/>
      <c r="C273">
        <v>30</v>
      </c>
      <c r="D273">
        <v>305.76</v>
      </c>
      <c r="E273">
        <v>131.04</v>
      </c>
      <c r="F273">
        <v>719.4</v>
      </c>
      <c r="G273">
        <v>1151.7</v>
      </c>
      <c r="H273">
        <v>0</v>
      </c>
      <c r="I273">
        <v>0</v>
      </c>
      <c r="J273">
        <v>0</v>
      </c>
      <c r="K273">
        <v>164.9</v>
      </c>
      <c r="L273">
        <v>21</v>
      </c>
      <c r="M273" s="10">
        <v>21.26</v>
      </c>
      <c r="N273" s="2">
        <f t="shared" si="8"/>
        <v>323.19548999999995</v>
      </c>
      <c r="O273" s="2">
        <f t="shared" si="9"/>
        <v>146.393745</v>
      </c>
      <c r="P273">
        <v>0</v>
      </c>
    </row>
    <row r="274" spans="1:16" x14ac:dyDescent="0.25">
      <c r="A274" s="15"/>
      <c r="B274" s="15"/>
      <c r="C274">
        <v>30</v>
      </c>
      <c r="D274">
        <v>305.76</v>
      </c>
      <c r="E274">
        <v>131.04</v>
      </c>
      <c r="F274">
        <v>719.4</v>
      </c>
      <c r="G274">
        <v>1151.7</v>
      </c>
      <c r="H274">
        <v>0</v>
      </c>
      <c r="I274">
        <v>0</v>
      </c>
      <c r="J274">
        <v>0</v>
      </c>
      <c r="K274">
        <v>164.9</v>
      </c>
      <c r="L274">
        <v>56</v>
      </c>
      <c r="M274" s="10">
        <v>25.24</v>
      </c>
      <c r="N274" s="2">
        <f t="shared" si="8"/>
        <v>323.19548999999995</v>
      </c>
      <c r="O274" s="2">
        <f t="shared" si="9"/>
        <v>146.393745</v>
      </c>
      <c r="P274">
        <v>0</v>
      </c>
    </row>
    <row r="275" spans="1:16" x14ac:dyDescent="0.25">
      <c r="A275" s="15"/>
      <c r="B275" s="15"/>
      <c r="C275">
        <v>30</v>
      </c>
      <c r="D275">
        <v>305.76</v>
      </c>
      <c r="E275">
        <v>131.04</v>
      </c>
      <c r="F275">
        <v>719.4</v>
      </c>
      <c r="G275">
        <v>1151.7</v>
      </c>
      <c r="H275">
        <v>0</v>
      </c>
      <c r="I275">
        <v>0</v>
      </c>
      <c r="J275">
        <v>0</v>
      </c>
      <c r="K275">
        <v>164.9</v>
      </c>
      <c r="L275">
        <v>90</v>
      </c>
      <c r="M275" s="10">
        <v>27.74</v>
      </c>
      <c r="N275" s="2">
        <f t="shared" si="8"/>
        <v>323.19548999999995</v>
      </c>
      <c r="O275" s="2">
        <f t="shared" si="9"/>
        <v>146.393745</v>
      </c>
      <c r="P275">
        <v>0</v>
      </c>
    </row>
    <row r="276" spans="1:16" x14ac:dyDescent="0.25">
      <c r="A276" s="15"/>
      <c r="B276" s="15"/>
      <c r="C276">
        <v>35</v>
      </c>
      <c r="D276">
        <v>283.92</v>
      </c>
      <c r="E276">
        <v>152.88</v>
      </c>
      <c r="F276">
        <v>719.4</v>
      </c>
      <c r="G276">
        <v>1151.7</v>
      </c>
      <c r="H276">
        <v>0</v>
      </c>
      <c r="I276">
        <v>0</v>
      </c>
      <c r="J276">
        <v>0</v>
      </c>
      <c r="K276">
        <v>164.9</v>
      </c>
      <c r="L276">
        <v>14</v>
      </c>
      <c r="M276" s="10">
        <v>23.42</v>
      </c>
      <c r="N276" s="2">
        <f t="shared" si="8"/>
        <v>306.16029000000003</v>
      </c>
      <c r="O276" s="2">
        <f t="shared" si="9"/>
        <v>138.149145</v>
      </c>
      <c r="P276">
        <v>0</v>
      </c>
    </row>
    <row r="277" spans="1:16" x14ac:dyDescent="0.25">
      <c r="A277" s="15"/>
      <c r="B277" s="15"/>
      <c r="C277">
        <v>35</v>
      </c>
      <c r="D277">
        <v>283.92</v>
      </c>
      <c r="E277">
        <v>152.88</v>
      </c>
      <c r="F277">
        <v>719.4</v>
      </c>
      <c r="G277">
        <v>1151.7</v>
      </c>
      <c r="H277">
        <v>0</v>
      </c>
      <c r="I277">
        <v>0</v>
      </c>
      <c r="J277">
        <v>0</v>
      </c>
      <c r="K277">
        <v>164.9</v>
      </c>
      <c r="L277">
        <v>21</v>
      </c>
      <c r="M277" s="10">
        <v>22.67</v>
      </c>
      <c r="N277" s="2">
        <f t="shared" si="8"/>
        <v>306.16029000000003</v>
      </c>
      <c r="O277" s="2">
        <f t="shared" si="9"/>
        <v>138.149145</v>
      </c>
      <c r="P277">
        <v>0</v>
      </c>
    </row>
    <row r="278" spans="1:16" x14ac:dyDescent="0.25">
      <c r="A278" s="15"/>
      <c r="B278" s="15"/>
      <c r="C278">
        <v>35</v>
      </c>
      <c r="D278">
        <v>283.92</v>
      </c>
      <c r="E278">
        <v>152.88</v>
      </c>
      <c r="F278">
        <v>719.4</v>
      </c>
      <c r="G278">
        <v>1151.7</v>
      </c>
      <c r="H278">
        <v>0</v>
      </c>
      <c r="I278">
        <v>0</v>
      </c>
      <c r="J278">
        <v>0</v>
      </c>
      <c r="K278">
        <v>164.9</v>
      </c>
      <c r="L278">
        <v>56</v>
      </c>
      <c r="M278" s="10">
        <v>21.21</v>
      </c>
      <c r="N278" s="2">
        <f t="shared" ref="N278:N339" si="10">SUM((D278*0.83)+(E278*0.05)+(F278*0.0139)+(G278*0.0459)+(H278*2))</f>
        <v>306.16029000000003</v>
      </c>
      <c r="O278" s="2">
        <f t="shared" si="9"/>
        <v>138.149145</v>
      </c>
      <c r="P278">
        <v>0</v>
      </c>
    </row>
    <row r="279" spans="1:16" x14ac:dyDescent="0.25">
      <c r="A279" s="15"/>
      <c r="B279" s="15"/>
      <c r="C279">
        <v>35</v>
      </c>
      <c r="D279">
        <v>283.92</v>
      </c>
      <c r="E279">
        <v>152.88</v>
      </c>
      <c r="F279">
        <v>719.4</v>
      </c>
      <c r="G279">
        <v>1151.7</v>
      </c>
      <c r="H279">
        <v>0</v>
      </c>
      <c r="I279">
        <v>0</v>
      </c>
      <c r="J279">
        <v>0</v>
      </c>
      <c r="K279">
        <v>164.9</v>
      </c>
      <c r="L279">
        <v>90</v>
      </c>
      <c r="M279" s="10">
        <v>27.5</v>
      </c>
      <c r="N279" s="2">
        <f t="shared" si="10"/>
        <v>306.16029000000003</v>
      </c>
      <c r="O279" s="2">
        <f t="shared" si="9"/>
        <v>138.149145</v>
      </c>
      <c r="P279">
        <v>0</v>
      </c>
    </row>
    <row r="280" spans="1:16" x14ac:dyDescent="0.25">
      <c r="A280" s="15"/>
      <c r="B280" s="15"/>
      <c r="C280">
        <v>40</v>
      </c>
      <c r="D280">
        <v>262.08</v>
      </c>
      <c r="E280">
        <v>174.72</v>
      </c>
      <c r="F280">
        <v>719.4</v>
      </c>
      <c r="G280">
        <v>1151.7</v>
      </c>
      <c r="H280">
        <v>0</v>
      </c>
      <c r="I280">
        <v>0</v>
      </c>
      <c r="J280">
        <v>0</v>
      </c>
      <c r="K280">
        <v>164.9</v>
      </c>
      <c r="L280">
        <v>14</v>
      </c>
      <c r="M280" s="10">
        <v>19.170000000000002</v>
      </c>
      <c r="N280" s="2">
        <f t="shared" si="10"/>
        <v>289.12509</v>
      </c>
      <c r="O280" s="2">
        <f t="shared" si="9"/>
        <v>129.90454499999998</v>
      </c>
      <c r="P280">
        <v>0</v>
      </c>
    </row>
    <row r="281" spans="1:16" x14ac:dyDescent="0.25">
      <c r="A281" s="15"/>
      <c r="B281" s="15"/>
      <c r="C281">
        <v>40</v>
      </c>
      <c r="D281">
        <v>262.08</v>
      </c>
      <c r="E281">
        <v>174.72</v>
      </c>
      <c r="F281">
        <v>719.4</v>
      </c>
      <c r="G281">
        <v>1151.7</v>
      </c>
      <c r="H281">
        <v>0</v>
      </c>
      <c r="I281">
        <v>0</v>
      </c>
      <c r="J281">
        <v>0</v>
      </c>
      <c r="K281">
        <v>164.9</v>
      </c>
      <c r="L281">
        <v>21</v>
      </c>
      <c r="M281" s="10">
        <v>22.46</v>
      </c>
      <c r="N281" s="2">
        <f t="shared" si="10"/>
        <v>289.12509</v>
      </c>
      <c r="O281" s="2">
        <f t="shared" si="9"/>
        <v>129.90454499999998</v>
      </c>
      <c r="P281">
        <v>0</v>
      </c>
    </row>
    <row r="282" spans="1:16" x14ac:dyDescent="0.25">
      <c r="A282" s="15"/>
      <c r="B282" s="15"/>
      <c r="C282">
        <v>40</v>
      </c>
      <c r="D282">
        <v>262.08</v>
      </c>
      <c r="E282">
        <v>174.72</v>
      </c>
      <c r="F282">
        <v>719.4</v>
      </c>
      <c r="G282">
        <v>1151.7</v>
      </c>
      <c r="H282">
        <v>0</v>
      </c>
      <c r="I282">
        <v>0</v>
      </c>
      <c r="J282">
        <v>0</v>
      </c>
      <c r="K282">
        <v>164.9</v>
      </c>
      <c r="L282">
        <v>56</v>
      </c>
      <c r="M282" s="10">
        <v>20.72</v>
      </c>
      <c r="N282" s="2">
        <f t="shared" si="10"/>
        <v>289.12509</v>
      </c>
      <c r="O282" s="2">
        <f t="shared" si="9"/>
        <v>129.90454499999998</v>
      </c>
      <c r="P282">
        <v>0</v>
      </c>
    </row>
    <row r="283" spans="1:16" x14ac:dyDescent="0.25">
      <c r="A283" s="15"/>
      <c r="B283" s="15"/>
      <c r="C283">
        <v>40</v>
      </c>
      <c r="D283">
        <v>262.08</v>
      </c>
      <c r="E283">
        <v>174.72</v>
      </c>
      <c r="F283">
        <v>719.4</v>
      </c>
      <c r="G283">
        <v>1151.7</v>
      </c>
      <c r="H283">
        <v>0</v>
      </c>
      <c r="I283">
        <v>0</v>
      </c>
      <c r="J283">
        <v>0</v>
      </c>
      <c r="K283">
        <v>164.9</v>
      </c>
      <c r="L283">
        <v>90</v>
      </c>
      <c r="M283" s="10">
        <v>24.71</v>
      </c>
      <c r="N283" s="2">
        <f t="shared" si="10"/>
        <v>289.12509</v>
      </c>
      <c r="O283" s="2">
        <f t="shared" si="9"/>
        <v>129.90454499999998</v>
      </c>
      <c r="P283">
        <v>0</v>
      </c>
    </row>
    <row r="284" spans="1:16" x14ac:dyDescent="0.25">
      <c r="A284" s="15"/>
      <c r="B284" s="15"/>
      <c r="C284">
        <v>45</v>
      </c>
      <c r="D284">
        <v>240.24</v>
      </c>
      <c r="E284">
        <v>196.56</v>
      </c>
      <c r="F284">
        <v>719.4</v>
      </c>
      <c r="G284">
        <v>1151.7</v>
      </c>
      <c r="H284">
        <v>0</v>
      </c>
      <c r="I284">
        <v>0</v>
      </c>
      <c r="J284">
        <v>0</v>
      </c>
      <c r="K284">
        <v>164.9</v>
      </c>
      <c r="L284">
        <v>14</v>
      </c>
      <c r="M284" s="10">
        <v>18.14</v>
      </c>
      <c r="N284" s="2">
        <f t="shared" si="10"/>
        <v>272.08989000000003</v>
      </c>
      <c r="O284" s="2">
        <f t="shared" si="9"/>
        <v>121.65994500000001</v>
      </c>
      <c r="P284">
        <v>0</v>
      </c>
    </row>
    <row r="285" spans="1:16" x14ac:dyDescent="0.25">
      <c r="A285" s="15"/>
      <c r="B285" s="15"/>
      <c r="C285">
        <v>45</v>
      </c>
      <c r="D285">
        <v>240.24</v>
      </c>
      <c r="E285">
        <v>196.56</v>
      </c>
      <c r="F285">
        <v>719.4</v>
      </c>
      <c r="G285">
        <v>1151.7</v>
      </c>
      <c r="H285">
        <v>0</v>
      </c>
      <c r="I285">
        <v>0</v>
      </c>
      <c r="J285">
        <v>0</v>
      </c>
      <c r="K285">
        <v>164.9</v>
      </c>
      <c r="L285">
        <v>21</v>
      </c>
      <c r="M285" s="10">
        <v>18.309999999999999</v>
      </c>
      <c r="N285" s="2">
        <f t="shared" si="10"/>
        <v>272.08989000000003</v>
      </c>
      <c r="O285" s="2">
        <f t="shared" si="9"/>
        <v>121.65994500000001</v>
      </c>
      <c r="P285">
        <v>0</v>
      </c>
    </row>
    <row r="286" spans="1:16" x14ac:dyDescent="0.25">
      <c r="A286" s="15"/>
      <c r="B286" s="15"/>
      <c r="C286">
        <v>45</v>
      </c>
      <c r="D286">
        <v>240.24</v>
      </c>
      <c r="E286">
        <v>196.56</v>
      </c>
      <c r="F286">
        <v>719.4</v>
      </c>
      <c r="G286">
        <v>1151.7</v>
      </c>
      <c r="H286">
        <v>0</v>
      </c>
      <c r="I286">
        <v>0</v>
      </c>
      <c r="J286">
        <v>0</v>
      </c>
      <c r="K286">
        <v>164.9</v>
      </c>
      <c r="L286">
        <v>56</v>
      </c>
      <c r="M286" s="10">
        <v>21.29</v>
      </c>
      <c r="N286" s="2">
        <f t="shared" si="10"/>
        <v>272.08989000000003</v>
      </c>
      <c r="O286" s="2">
        <f t="shared" si="9"/>
        <v>121.65994500000001</v>
      </c>
      <c r="P286">
        <v>0</v>
      </c>
    </row>
    <row r="287" spans="1:16" x14ac:dyDescent="0.25">
      <c r="A287" s="15"/>
      <c r="B287" s="15"/>
      <c r="C287">
        <v>45</v>
      </c>
      <c r="D287">
        <v>240.24</v>
      </c>
      <c r="E287">
        <v>196.56</v>
      </c>
      <c r="F287">
        <v>719.4</v>
      </c>
      <c r="G287">
        <v>1151.7</v>
      </c>
      <c r="H287">
        <v>0</v>
      </c>
      <c r="I287">
        <v>0</v>
      </c>
      <c r="J287">
        <v>0</v>
      </c>
      <c r="K287">
        <v>164.9</v>
      </c>
      <c r="L287">
        <v>90</v>
      </c>
      <c r="M287" s="10">
        <v>22.75</v>
      </c>
      <c r="N287" s="2">
        <f t="shared" si="10"/>
        <v>272.08989000000003</v>
      </c>
      <c r="O287" s="2">
        <f t="shared" si="9"/>
        <v>121.65994500000001</v>
      </c>
      <c r="P287">
        <v>0</v>
      </c>
    </row>
    <row r="288" spans="1:16" x14ac:dyDescent="0.25">
      <c r="A288" s="15"/>
      <c r="B288" s="15"/>
      <c r="C288">
        <v>50</v>
      </c>
      <c r="D288">
        <v>218.4</v>
      </c>
      <c r="E288">
        <v>218.4</v>
      </c>
      <c r="F288">
        <v>719.4</v>
      </c>
      <c r="G288">
        <v>1151.7</v>
      </c>
      <c r="H288">
        <v>0</v>
      </c>
      <c r="I288">
        <v>0</v>
      </c>
      <c r="J288">
        <v>0</v>
      </c>
      <c r="K288">
        <v>164.9</v>
      </c>
      <c r="L288">
        <v>14</v>
      </c>
      <c r="M288" s="10">
        <v>14.34</v>
      </c>
      <c r="N288" s="2">
        <f t="shared" si="10"/>
        <v>255.05469000000002</v>
      </c>
      <c r="O288" s="2">
        <f t="shared" si="9"/>
        <v>113.415345</v>
      </c>
      <c r="P288">
        <v>0</v>
      </c>
    </row>
    <row r="289" spans="1:16" x14ac:dyDescent="0.25">
      <c r="A289" s="15"/>
      <c r="B289" s="15"/>
      <c r="C289">
        <v>50</v>
      </c>
      <c r="D289">
        <v>218.4</v>
      </c>
      <c r="E289">
        <v>218.4</v>
      </c>
      <c r="F289">
        <v>719.4</v>
      </c>
      <c r="G289">
        <v>1151.7</v>
      </c>
      <c r="H289">
        <v>0</v>
      </c>
      <c r="I289">
        <v>0</v>
      </c>
      <c r="J289">
        <v>0</v>
      </c>
      <c r="K289">
        <v>164.9</v>
      </c>
      <c r="L289">
        <v>21</v>
      </c>
      <c r="M289" s="10">
        <v>20.72</v>
      </c>
      <c r="N289" s="2">
        <f t="shared" si="10"/>
        <v>255.05469000000002</v>
      </c>
      <c r="O289" s="2">
        <f t="shared" si="9"/>
        <v>113.415345</v>
      </c>
      <c r="P289">
        <v>0</v>
      </c>
    </row>
    <row r="290" spans="1:16" x14ac:dyDescent="0.25">
      <c r="A290" s="15"/>
      <c r="B290" s="15"/>
      <c r="C290">
        <v>50</v>
      </c>
      <c r="D290">
        <v>218.4</v>
      </c>
      <c r="E290">
        <v>218.4</v>
      </c>
      <c r="F290">
        <v>719.4</v>
      </c>
      <c r="G290">
        <v>1151.7</v>
      </c>
      <c r="H290">
        <v>0</v>
      </c>
      <c r="I290">
        <v>0</v>
      </c>
      <c r="J290">
        <v>0</v>
      </c>
      <c r="K290">
        <v>164.9</v>
      </c>
      <c r="L290">
        <v>56</v>
      </c>
      <c r="M290" s="10">
        <v>23.61</v>
      </c>
      <c r="N290" s="2">
        <f t="shared" si="10"/>
        <v>255.05469000000002</v>
      </c>
      <c r="O290" s="2">
        <f t="shared" si="9"/>
        <v>113.415345</v>
      </c>
      <c r="P290">
        <v>0</v>
      </c>
    </row>
    <row r="291" spans="1:16" x14ac:dyDescent="0.25">
      <c r="A291" s="15"/>
      <c r="B291" s="15"/>
      <c r="C291">
        <v>50</v>
      </c>
      <c r="D291">
        <v>218.4</v>
      </c>
      <c r="E291">
        <v>218.4</v>
      </c>
      <c r="F291">
        <v>719.4</v>
      </c>
      <c r="G291">
        <v>1151.7</v>
      </c>
      <c r="H291">
        <v>0</v>
      </c>
      <c r="I291">
        <v>0</v>
      </c>
      <c r="J291">
        <v>0</v>
      </c>
      <c r="K291">
        <v>164.9</v>
      </c>
      <c r="L291">
        <v>90</v>
      </c>
      <c r="M291" s="10">
        <v>20.04</v>
      </c>
      <c r="N291" s="2">
        <f t="shared" si="10"/>
        <v>255.05469000000002</v>
      </c>
      <c r="O291" s="2">
        <f t="shared" si="9"/>
        <v>113.415345</v>
      </c>
      <c r="P291">
        <v>0</v>
      </c>
    </row>
    <row r="292" spans="1:16" x14ac:dyDescent="0.25">
      <c r="A292" s="15" t="s">
        <v>114</v>
      </c>
      <c r="B292" s="15" t="s">
        <v>115</v>
      </c>
      <c r="C292">
        <v>0</v>
      </c>
      <c r="D292">
        <v>446.6</v>
      </c>
      <c r="E292">
        <v>0</v>
      </c>
      <c r="F292">
        <v>671</v>
      </c>
      <c r="G292">
        <v>1171.5999999999999</v>
      </c>
      <c r="H292">
        <v>0</v>
      </c>
      <c r="I292">
        <v>0</v>
      </c>
      <c r="J292">
        <v>0</v>
      </c>
      <c r="K292">
        <v>172.4</v>
      </c>
      <c r="L292">
        <v>14</v>
      </c>
      <c r="M292" s="10">
        <v>26.94</v>
      </c>
      <c r="N292" s="2">
        <f t="shared" si="10"/>
        <v>433.78134</v>
      </c>
      <c r="O292" s="2">
        <f t="shared" si="9"/>
        <v>198.94778500000001</v>
      </c>
      <c r="P292">
        <v>0</v>
      </c>
    </row>
    <row r="293" spans="1:16" x14ac:dyDescent="0.25">
      <c r="A293" s="15"/>
      <c r="B293" s="15"/>
      <c r="C293">
        <v>0</v>
      </c>
      <c r="D293">
        <v>446.6</v>
      </c>
      <c r="E293">
        <v>0</v>
      </c>
      <c r="F293">
        <v>671</v>
      </c>
      <c r="G293">
        <v>1171.5999999999999</v>
      </c>
      <c r="H293">
        <v>0</v>
      </c>
      <c r="I293">
        <v>0</v>
      </c>
      <c r="J293">
        <v>0</v>
      </c>
      <c r="K293">
        <v>172.4</v>
      </c>
      <c r="L293">
        <v>21</v>
      </c>
      <c r="M293" s="10">
        <v>23.01</v>
      </c>
      <c r="N293" s="2">
        <f t="shared" si="10"/>
        <v>433.78134</v>
      </c>
      <c r="O293" s="2">
        <f t="shared" si="9"/>
        <v>198.94778500000001</v>
      </c>
      <c r="P293">
        <v>0</v>
      </c>
    </row>
    <row r="294" spans="1:16" x14ac:dyDescent="0.25">
      <c r="A294" s="15"/>
      <c r="B294" s="15"/>
      <c r="C294">
        <v>0</v>
      </c>
      <c r="D294">
        <v>446.6</v>
      </c>
      <c r="E294">
        <v>0</v>
      </c>
      <c r="F294">
        <v>671</v>
      </c>
      <c r="G294">
        <v>1171.5999999999999</v>
      </c>
      <c r="H294">
        <v>0</v>
      </c>
      <c r="I294">
        <v>0</v>
      </c>
      <c r="J294">
        <v>0</v>
      </c>
      <c r="K294">
        <v>172.4</v>
      </c>
      <c r="L294">
        <v>56</v>
      </c>
      <c r="M294" s="10">
        <v>30.27</v>
      </c>
      <c r="N294" s="2">
        <f t="shared" si="10"/>
        <v>433.78134</v>
      </c>
      <c r="O294" s="2">
        <f t="shared" si="9"/>
        <v>198.94778500000001</v>
      </c>
      <c r="P294">
        <v>0</v>
      </c>
    </row>
    <row r="295" spans="1:16" x14ac:dyDescent="0.25">
      <c r="A295" s="15"/>
      <c r="B295" s="15"/>
      <c r="C295">
        <v>0</v>
      </c>
      <c r="D295">
        <v>446.6</v>
      </c>
      <c r="E295">
        <v>0</v>
      </c>
      <c r="F295">
        <v>671</v>
      </c>
      <c r="G295">
        <v>1171.5999999999999</v>
      </c>
      <c r="H295">
        <v>0</v>
      </c>
      <c r="I295">
        <v>0</v>
      </c>
      <c r="J295">
        <v>0</v>
      </c>
      <c r="K295">
        <v>172.4</v>
      </c>
      <c r="L295">
        <v>90</v>
      </c>
      <c r="M295" s="10">
        <v>33.46</v>
      </c>
      <c r="N295" s="2">
        <f t="shared" si="10"/>
        <v>433.78134</v>
      </c>
      <c r="O295" s="2">
        <f t="shared" si="9"/>
        <v>198.94778500000001</v>
      </c>
      <c r="P295">
        <v>0</v>
      </c>
    </row>
    <row r="296" spans="1:16" x14ac:dyDescent="0.25">
      <c r="A296" s="15"/>
      <c r="B296" s="15"/>
      <c r="C296">
        <v>5</v>
      </c>
      <c r="D296">
        <v>424.27</v>
      </c>
      <c r="E296">
        <v>22.33</v>
      </c>
      <c r="F296">
        <v>671</v>
      </c>
      <c r="G296">
        <v>1171.5999999999999</v>
      </c>
      <c r="H296">
        <v>0</v>
      </c>
      <c r="I296">
        <v>0</v>
      </c>
      <c r="J296">
        <v>0</v>
      </c>
      <c r="K296">
        <v>172.4</v>
      </c>
      <c r="L296">
        <v>14</v>
      </c>
      <c r="M296" s="10">
        <v>25.56</v>
      </c>
      <c r="N296" s="2">
        <f t="shared" si="10"/>
        <v>416.36393999999996</v>
      </c>
      <c r="O296" s="2">
        <f t="shared" si="9"/>
        <v>190.51821000000001</v>
      </c>
      <c r="P296">
        <v>0</v>
      </c>
    </row>
    <row r="297" spans="1:16" x14ac:dyDescent="0.25">
      <c r="A297" s="15"/>
      <c r="B297" s="15"/>
      <c r="C297">
        <v>5</v>
      </c>
      <c r="D297">
        <v>424.27</v>
      </c>
      <c r="E297">
        <v>22.33</v>
      </c>
      <c r="F297">
        <v>671</v>
      </c>
      <c r="G297">
        <v>1171.5999999999999</v>
      </c>
      <c r="H297">
        <v>0</v>
      </c>
      <c r="I297">
        <v>0</v>
      </c>
      <c r="J297">
        <v>0</v>
      </c>
      <c r="K297">
        <v>172.4</v>
      </c>
      <c r="L297">
        <v>21</v>
      </c>
      <c r="M297" s="10">
        <v>27.59</v>
      </c>
      <c r="N297" s="2">
        <f t="shared" si="10"/>
        <v>416.36393999999996</v>
      </c>
      <c r="O297" s="2">
        <f t="shared" si="9"/>
        <v>190.51821000000001</v>
      </c>
      <c r="P297">
        <v>0</v>
      </c>
    </row>
    <row r="298" spans="1:16" x14ac:dyDescent="0.25">
      <c r="A298" s="15"/>
      <c r="B298" s="15"/>
      <c r="C298">
        <v>5</v>
      </c>
      <c r="D298">
        <v>424.27</v>
      </c>
      <c r="E298">
        <v>22.33</v>
      </c>
      <c r="F298">
        <v>671</v>
      </c>
      <c r="G298">
        <v>1171.5999999999999</v>
      </c>
      <c r="H298">
        <v>0</v>
      </c>
      <c r="I298">
        <v>0</v>
      </c>
      <c r="J298">
        <v>0</v>
      </c>
      <c r="K298">
        <v>172.4</v>
      </c>
      <c r="L298">
        <v>56</v>
      </c>
      <c r="M298" s="10">
        <v>29.55</v>
      </c>
      <c r="N298" s="2">
        <f t="shared" si="10"/>
        <v>416.36393999999996</v>
      </c>
      <c r="O298" s="2">
        <f t="shared" si="9"/>
        <v>190.51821000000001</v>
      </c>
      <c r="P298">
        <v>0</v>
      </c>
    </row>
    <row r="299" spans="1:16" x14ac:dyDescent="0.25">
      <c r="A299" s="15"/>
      <c r="B299" s="15"/>
      <c r="C299">
        <v>5</v>
      </c>
      <c r="D299">
        <v>424.27</v>
      </c>
      <c r="E299">
        <v>22.33</v>
      </c>
      <c r="F299">
        <v>671</v>
      </c>
      <c r="G299">
        <v>1171.5999999999999</v>
      </c>
      <c r="H299">
        <v>0</v>
      </c>
      <c r="I299">
        <v>0</v>
      </c>
      <c r="J299">
        <v>0</v>
      </c>
      <c r="K299">
        <v>172.4</v>
      </c>
      <c r="L299">
        <v>90</v>
      </c>
      <c r="M299" s="10">
        <v>31.13</v>
      </c>
      <c r="N299" s="2">
        <f t="shared" si="10"/>
        <v>416.36393999999996</v>
      </c>
      <c r="O299" s="2">
        <f t="shared" si="9"/>
        <v>190.51821000000001</v>
      </c>
      <c r="P299">
        <v>0</v>
      </c>
    </row>
    <row r="300" spans="1:16" x14ac:dyDescent="0.25">
      <c r="A300" s="15"/>
      <c r="B300" s="15"/>
      <c r="C300">
        <v>10</v>
      </c>
      <c r="D300">
        <v>401.94</v>
      </c>
      <c r="E300">
        <v>44.66</v>
      </c>
      <c r="F300">
        <v>671</v>
      </c>
      <c r="G300">
        <v>1171.5999999999999</v>
      </c>
      <c r="H300">
        <v>0</v>
      </c>
      <c r="I300">
        <v>0</v>
      </c>
      <c r="J300">
        <v>0</v>
      </c>
      <c r="K300">
        <v>172.4</v>
      </c>
      <c r="L300">
        <v>14</v>
      </c>
      <c r="M300" s="10">
        <v>24.67</v>
      </c>
      <c r="N300" s="2">
        <f t="shared" si="10"/>
        <v>398.94653999999997</v>
      </c>
      <c r="O300" s="2">
        <f t="shared" si="9"/>
        <v>182.08863499999998</v>
      </c>
      <c r="P300">
        <v>0</v>
      </c>
    </row>
    <row r="301" spans="1:16" x14ac:dyDescent="0.25">
      <c r="A301" s="15"/>
      <c r="B301" s="15"/>
      <c r="C301">
        <v>10</v>
      </c>
      <c r="D301">
        <v>401.94</v>
      </c>
      <c r="E301">
        <v>44.66</v>
      </c>
      <c r="F301">
        <v>671</v>
      </c>
      <c r="G301">
        <v>1171.5999999999999</v>
      </c>
      <c r="H301">
        <v>0</v>
      </c>
      <c r="I301">
        <v>0</v>
      </c>
      <c r="J301">
        <v>0</v>
      </c>
      <c r="K301">
        <v>172.4</v>
      </c>
      <c r="L301">
        <v>21</v>
      </c>
      <c r="M301" s="10">
        <v>28.1</v>
      </c>
      <c r="N301" s="2">
        <f t="shared" si="10"/>
        <v>398.94653999999997</v>
      </c>
      <c r="O301" s="2">
        <f t="shared" si="9"/>
        <v>182.08863499999998</v>
      </c>
      <c r="P301">
        <v>0</v>
      </c>
    </row>
    <row r="302" spans="1:16" x14ac:dyDescent="0.25">
      <c r="A302" s="15"/>
      <c r="B302" s="15"/>
      <c r="C302">
        <v>10</v>
      </c>
      <c r="D302">
        <v>401.94</v>
      </c>
      <c r="E302">
        <v>44.66</v>
      </c>
      <c r="F302">
        <v>671</v>
      </c>
      <c r="G302">
        <v>1171.5999999999999</v>
      </c>
      <c r="H302">
        <v>0</v>
      </c>
      <c r="I302">
        <v>0</v>
      </c>
      <c r="J302">
        <v>0</v>
      </c>
      <c r="K302">
        <v>172.4</v>
      </c>
      <c r="L302">
        <v>56</v>
      </c>
      <c r="M302" s="10">
        <v>27.21</v>
      </c>
      <c r="N302" s="2">
        <f t="shared" si="10"/>
        <v>398.94653999999997</v>
      </c>
      <c r="O302" s="2">
        <f t="shared" si="9"/>
        <v>182.08863499999998</v>
      </c>
      <c r="P302">
        <v>0</v>
      </c>
    </row>
    <row r="303" spans="1:16" x14ac:dyDescent="0.25">
      <c r="A303" s="15"/>
      <c r="B303" s="15"/>
      <c r="C303">
        <v>10</v>
      </c>
      <c r="D303">
        <v>401.94</v>
      </c>
      <c r="E303">
        <v>44.66</v>
      </c>
      <c r="F303">
        <v>671</v>
      </c>
      <c r="G303">
        <v>1171.5999999999999</v>
      </c>
      <c r="H303">
        <v>0</v>
      </c>
      <c r="I303">
        <v>0</v>
      </c>
      <c r="J303">
        <v>0</v>
      </c>
      <c r="K303">
        <v>172.4</v>
      </c>
      <c r="L303">
        <v>90</v>
      </c>
      <c r="M303" s="10">
        <v>27.28</v>
      </c>
      <c r="N303" s="2">
        <f t="shared" si="10"/>
        <v>398.94653999999997</v>
      </c>
      <c r="O303" s="2">
        <f t="shared" si="9"/>
        <v>182.08863499999998</v>
      </c>
      <c r="P303">
        <v>0</v>
      </c>
    </row>
    <row r="304" spans="1:16" x14ac:dyDescent="0.25">
      <c r="A304" s="15"/>
      <c r="B304" s="15"/>
      <c r="C304">
        <v>15</v>
      </c>
      <c r="D304">
        <v>379.61</v>
      </c>
      <c r="E304">
        <v>66.989999999999995</v>
      </c>
      <c r="F304">
        <v>671</v>
      </c>
      <c r="G304">
        <v>1171.5999999999999</v>
      </c>
      <c r="H304">
        <v>0</v>
      </c>
      <c r="I304">
        <v>0</v>
      </c>
      <c r="J304">
        <v>0</v>
      </c>
      <c r="K304">
        <v>172.4</v>
      </c>
      <c r="L304">
        <v>14</v>
      </c>
      <c r="M304" s="10">
        <v>24.03</v>
      </c>
      <c r="N304" s="2">
        <f t="shared" si="10"/>
        <v>381.52913999999998</v>
      </c>
      <c r="O304" s="2">
        <f t="shared" si="9"/>
        <v>173.65906000000001</v>
      </c>
      <c r="P304">
        <v>0</v>
      </c>
    </row>
    <row r="305" spans="1:16" x14ac:dyDescent="0.25">
      <c r="A305" s="15"/>
      <c r="B305" s="15"/>
      <c r="C305">
        <v>15</v>
      </c>
      <c r="D305">
        <v>379.61</v>
      </c>
      <c r="E305">
        <v>66.989999999999995</v>
      </c>
      <c r="F305">
        <v>671</v>
      </c>
      <c r="G305">
        <v>1171.5999999999999</v>
      </c>
      <c r="H305">
        <v>0</v>
      </c>
      <c r="I305">
        <v>0</v>
      </c>
      <c r="J305">
        <v>0</v>
      </c>
      <c r="K305">
        <v>172.4</v>
      </c>
      <c r="L305">
        <v>21</v>
      </c>
      <c r="M305" s="10">
        <v>22.11</v>
      </c>
      <c r="N305" s="2">
        <f t="shared" si="10"/>
        <v>381.52913999999998</v>
      </c>
      <c r="O305" s="2">
        <f t="shared" si="9"/>
        <v>173.65906000000001</v>
      </c>
      <c r="P305">
        <v>0</v>
      </c>
    </row>
    <row r="306" spans="1:16" x14ac:dyDescent="0.25">
      <c r="A306" s="15"/>
      <c r="B306" s="15"/>
      <c r="C306">
        <v>15</v>
      </c>
      <c r="D306">
        <v>379.61</v>
      </c>
      <c r="E306">
        <v>66.989999999999995</v>
      </c>
      <c r="F306">
        <v>671</v>
      </c>
      <c r="G306">
        <v>1171.5999999999999</v>
      </c>
      <c r="H306">
        <v>0</v>
      </c>
      <c r="I306">
        <v>0</v>
      </c>
      <c r="J306">
        <v>0</v>
      </c>
      <c r="K306">
        <v>172.4</v>
      </c>
      <c r="L306">
        <v>56</v>
      </c>
      <c r="M306" s="10">
        <v>26.39</v>
      </c>
      <c r="N306" s="2">
        <f t="shared" si="10"/>
        <v>381.52913999999998</v>
      </c>
      <c r="O306" s="2">
        <f t="shared" si="9"/>
        <v>173.65906000000001</v>
      </c>
      <c r="P306">
        <v>0</v>
      </c>
    </row>
    <row r="307" spans="1:16" x14ac:dyDescent="0.25">
      <c r="A307" s="15"/>
      <c r="B307" s="15"/>
      <c r="C307">
        <v>15</v>
      </c>
      <c r="D307">
        <v>379.61</v>
      </c>
      <c r="E307">
        <v>66.989999999999995</v>
      </c>
      <c r="F307">
        <v>671</v>
      </c>
      <c r="G307">
        <v>1171.5999999999999</v>
      </c>
      <c r="H307">
        <v>0</v>
      </c>
      <c r="I307">
        <v>0</v>
      </c>
      <c r="J307">
        <v>0</v>
      </c>
      <c r="K307">
        <v>172.4</v>
      </c>
      <c r="L307">
        <v>90</v>
      </c>
      <c r="M307" s="10">
        <v>30.94</v>
      </c>
      <c r="N307" s="2">
        <f t="shared" si="10"/>
        <v>381.52913999999998</v>
      </c>
      <c r="O307" s="2">
        <f t="shared" si="9"/>
        <v>173.65906000000001</v>
      </c>
      <c r="P307">
        <v>0</v>
      </c>
    </row>
    <row r="308" spans="1:16" x14ac:dyDescent="0.25">
      <c r="A308" s="15"/>
      <c r="B308" s="15"/>
      <c r="C308">
        <v>16</v>
      </c>
      <c r="D308">
        <v>375.14400000000001</v>
      </c>
      <c r="E308">
        <v>71.456000000000003</v>
      </c>
      <c r="F308">
        <v>671</v>
      </c>
      <c r="G308">
        <v>1171.5999999999999</v>
      </c>
      <c r="H308">
        <v>0</v>
      </c>
      <c r="I308">
        <v>0</v>
      </c>
      <c r="J308">
        <v>0</v>
      </c>
      <c r="K308">
        <v>172.4</v>
      </c>
      <c r="L308">
        <v>14</v>
      </c>
      <c r="M308" s="10">
        <v>23.17</v>
      </c>
      <c r="N308" s="2">
        <f t="shared" si="10"/>
        <v>378.04565999999994</v>
      </c>
      <c r="O308" s="2">
        <f t="shared" si="9"/>
        <v>171.97314499999999</v>
      </c>
      <c r="P308">
        <v>0</v>
      </c>
    </row>
    <row r="309" spans="1:16" x14ac:dyDescent="0.25">
      <c r="A309" s="15"/>
      <c r="B309" s="15"/>
      <c r="C309">
        <v>16</v>
      </c>
      <c r="D309">
        <v>375.14400000000001</v>
      </c>
      <c r="E309">
        <v>71.456000000000003</v>
      </c>
      <c r="F309">
        <v>671</v>
      </c>
      <c r="G309">
        <v>1171.5999999999999</v>
      </c>
      <c r="H309">
        <v>0</v>
      </c>
      <c r="I309">
        <v>0</v>
      </c>
      <c r="J309">
        <v>0</v>
      </c>
      <c r="K309">
        <v>172.4</v>
      </c>
      <c r="L309">
        <v>21</v>
      </c>
      <c r="M309" s="10">
        <v>21.74</v>
      </c>
      <c r="N309" s="2">
        <f t="shared" si="10"/>
        <v>378.04565999999994</v>
      </c>
      <c r="O309" s="2">
        <f t="shared" si="9"/>
        <v>171.97314499999999</v>
      </c>
      <c r="P309">
        <v>0</v>
      </c>
    </row>
    <row r="310" spans="1:16" x14ac:dyDescent="0.25">
      <c r="A310" s="15"/>
      <c r="B310" s="15"/>
      <c r="C310">
        <v>16</v>
      </c>
      <c r="D310">
        <v>375.14400000000001</v>
      </c>
      <c r="E310">
        <v>71.456000000000003</v>
      </c>
      <c r="F310">
        <v>671</v>
      </c>
      <c r="G310">
        <v>1171.5999999999999</v>
      </c>
      <c r="H310">
        <v>0</v>
      </c>
      <c r="I310">
        <v>0</v>
      </c>
      <c r="J310">
        <v>0</v>
      </c>
      <c r="K310">
        <v>172.4</v>
      </c>
      <c r="L310">
        <v>56</v>
      </c>
      <c r="M310" s="10">
        <v>28.6</v>
      </c>
      <c r="N310" s="2">
        <f t="shared" si="10"/>
        <v>378.04565999999994</v>
      </c>
      <c r="O310" s="2">
        <f t="shared" si="9"/>
        <v>171.97314499999999</v>
      </c>
      <c r="P310">
        <v>0</v>
      </c>
    </row>
    <row r="311" spans="1:16" x14ac:dyDescent="0.25">
      <c r="A311" s="15"/>
      <c r="B311" s="15"/>
      <c r="C311">
        <v>16</v>
      </c>
      <c r="D311">
        <v>375.14400000000001</v>
      </c>
      <c r="E311">
        <v>71.456000000000003</v>
      </c>
      <c r="F311">
        <v>671</v>
      </c>
      <c r="G311">
        <v>1171.5999999999999</v>
      </c>
      <c r="H311">
        <v>0</v>
      </c>
      <c r="I311">
        <v>0</v>
      </c>
      <c r="J311">
        <v>0</v>
      </c>
      <c r="K311">
        <v>172.4</v>
      </c>
      <c r="L311">
        <v>90</v>
      </c>
      <c r="M311" s="10">
        <v>30.3</v>
      </c>
      <c r="N311" s="2">
        <f t="shared" si="10"/>
        <v>378.04565999999994</v>
      </c>
      <c r="O311" s="2">
        <f t="shared" si="9"/>
        <v>171.97314499999999</v>
      </c>
      <c r="P311">
        <v>0</v>
      </c>
    </row>
    <row r="312" spans="1:16" x14ac:dyDescent="0.25">
      <c r="A312" s="15"/>
      <c r="B312" s="15"/>
      <c r="C312">
        <v>20</v>
      </c>
      <c r="D312">
        <v>357.28</v>
      </c>
      <c r="E312">
        <v>89.32</v>
      </c>
      <c r="F312">
        <v>671</v>
      </c>
      <c r="G312">
        <v>1171.5999999999999</v>
      </c>
      <c r="H312">
        <v>0</v>
      </c>
      <c r="I312">
        <v>0</v>
      </c>
      <c r="J312">
        <v>0</v>
      </c>
      <c r="K312">
        <v>172.4</v>
      </c>
      <c r="L312">
        <v>14</v>
      </c>
      <c r="M312" s="10">
        <v>22.02</v>
      </c>
      <c r="N312" s="2">
        <f t="shared" si="10"/>
        <v>364.11174</v>
      </c>
      <c r="O312" s="2">
        <f t="shared" si="9"/>
        <v>165.22948499999998</v>
      </c>
      <c r="P312">
        <v>0</v>
      </c>
    </row>
    <row r="313" spans="1:16" x14ac:dyDescent="0.25">
      <c r="A313" s="15"/>
      <c r="B313" s="15"/>
      <c r="C313">
        <v>20</v>
      </c>
      <c r="D313">
        <v>357.28</v>
      </c>
      <c r="E313">
        <v>89.32</v>
      </c>
      <c r="F313">
        <v>671</v>
      </c>
      <c r="G313">
        <v>1171.5999999999999</v>
      </c>
      <c r="H313">
        <v>0</v>
      </c>
      <c r="I313">
        <v>0</v>
      </c>
      <c r="J313">
        <v>0</v>
      </c>
      <c r="K313">
        <v>172.4</v>
      </c>
      <c r="L313">
        <v>21</v>
      </c>
      <c r="M313" s="10">
        <v>22.31</v>
      </c>
      <c r="N313" s="2">
        <f t="shared" si="10"/>
        <v>364.11174</v>
      </c>
      <c r="O313" s="2">
        <f t="shared" si="9"/>
        <v>165.22948499999998</v>
      </c>
      <c r="P313">
        <v>0</v>
      </c>
    </row>
    <row r="314" spans="1:16" x14ac:dyDescent="0.25">
      <c r="A314" s="15"/>
      <c r="B314" s="15"/>
      <c r="C314">
        <v>20</v>
      </c>
      <c r="D314">
        <v>357.28</v>
      </c>
      <c r="E314">
        <v>89.32</v>
      </c>
      <c r="F314">
        <v>671</v>
      </c>
      <c r="G314">
        <v>1171.5999999999999</v>
      </c>
      <c r="H314">
        <v>0</v>
      </c>
      <c r="I314">
        <v>0</v>
      </c>
      <c r="J314">
        <v>0</v>
      </c>
      <c r="K314">
        <v>172.4</v>
      </c>
      <c r="L314">
        <v>56</v>
      </c>
      <c r="M314" s="10">
        <v>26.93</v>
      </c>
      <c r="N314" s="2">
        <f t="shared" si="10"/>
        <v>364.11174</v>
      </c>
      <c r="O314" s="2">
        <f t="shared" si="9"/>
        <v>165.22948499999998</v>
      </c>
      <c r="P314">
        <v>0</v>
      </c>
    </row>
    <row r="315" spans="1:16" x14ac:dyDescent="0.25">
      <c r="A315" s="15"/>
      <c r="B315" s="15"/>
      <c r="C315">
        <v>20</v>
      </c>
      <c r="D315">
        <v>357.28</v>
      </c>
      <c r="E315">
        <v>89.32</v>
      </c>
      <c r="F315">
        <v>671</v>
      </c>
      <c r="G315">
        <v>1171.5999999999999</v>
      </c>
      <c r="H315">
        <v>0</v>
      </c>
      <c r="I315">
        <v>0</v>
      </c>
      <c r="J315">
        <v>0</v>
      </c>
      <c r="K315">
        <v>172.4</v>
      </c>
      <c r="L315">
        <v>90</v>
      </c>
      <c r="M315" s="10">
        <v>29.43</v>
      </c>
      <c r="N315" s="2">
        <f t="shared" si="10"/>
        <v>364.11174</v>
      </c>
      <c r="O315" s="2">
        <f t="shared" si="9"/>
        <v>165.22948499999998</v>
      </c>
      <c r="P315">
        <v>0</v>
      </c>
    </row>
    <row r="316" spans="1:16" x14ac:dyDescent="0.25">
      <c r="A316" s="15"/>
      <c r="B316" s="15"/>
      <c r="C316">
        <v>25</v>
      </c>
      <c r="D316">
        <v>334.95</v>
      </c>
      <c r="E316">
        <v>111.65</v>
      </c>
      <c r="F316">
        <v>671</v>
      </c>
      <c r="G316">
        <v>1171.5999999999999</v>
      </c>
      <c r="H316">
        <v>0</v>
      </c>
      <c r="I316">
        <v>0</v>
      </c>
      <c r="J316">
        <v>0</v>
      </c>
      <c r="K316">
        <v>172.4</v>
      </c>
      <c r="L316">
        <v>14</v>
      </c>
      <c r="M316" s="10">
        <v>20.309999999999999</v>
      </c>
      <c r="N316" s="2">
        <f t="shared" si="10"/>
        <v>346.69433999999995</v>
      </c>
      <c r="O316" s="2">
        <f t="shared" si="9"/>
        <v>156.79991000000001</v>
      </c>
      <c r="P316">
        <v>0</v>
      </c>
    </row>
    <row r="317" spans="1:16" x14ac:dyDescent="0.25">
      <c r="A317" s="15"/>
      <c r="B317" s="15"/>
      <c r="C317">
        <v>25</v>
      </c>
      <c r="D317">
        <v>334.95</v>
      </c>
      <c r="E317">
        <v>111.65</v>
      </c>
      <c r="F317">
        <v>671</v>
      </c>
      <c r="G317">
        <v>1171.5999999999999</v>
      </c>
      <c r="H317">
        <v>0</v>
      </c>
      <c r="I317">
        <v>0</v>
      </c>
      <c r="J317">
        <v>0</v>
      </c>
      <c r="K317">
        <v>172.4</v>
      </c>
      <c r="L317">
        <v>21</v>
      </c>
      <c r="M317" s="10">
        <v>18.97</v>
      </c>
      <c r="N317" s="2">
        <f t="shared" si="10"/>
        <v>346.69433999999995</v>
      </c>
      <c r="O317" s="2">
        <f t="shared" si="9"/>
        <v>156.79991000000001</v>
      </c>
      <c r="P317">
        <v>0</v>
      </c>
    </row>
    <row r="318" spans="1:16" x14ac:dyDescent="0.25">
      <c r="A318" s="15"/>
      <c r="B318" s="15"/>
      <c r="C318">
        <v>25</v>
      </c>
      <c r="D318">
        <v>334.95</v>
      </c>
      <c r="E318">
        <v>111.65</v>
      </c>
      <c r="F318">
        <v>671</v>
      </c>
      <c r="G318">
        <v>1171.5999999999999</v>
      </c>
      <c r="H318">
        <v>0</v>
      </c>
      <c r="I318">
        <v>0</v>
      </c>
      <c r="J318">
        <v>0</v>
      </c>
      <c r="K318">
        <v>172.4</v>
      </c>
      <c r="L318">
        <v>56</v>
      </c>
      <c r="M318" s="10">
        <v>24.45</v>
      </c>
      <c r="N318" s="2">
        <f t="shared" si="10"/>
        <v>346.69433999999995</v>
      </c>
      <c r="O318" s="2">
        <f t="shared" si="9"/>
        <v>156.79991000000001</v>
      </c>
      <c r="P318">
        <v>0</v>
      </c>
    </row>
    <row r="319" spans="1:16" x14ac:dyDescent="0.25">
      <c r="A319" s="15"/>
      <c r="B319" s="15"/>
      <c r="C319">
        <v>25</v>
      </c>
      <c r="D319">
        <v>334.95</v>
      </c>
      <c r="E319">
        <v>111.65</v>
      </c>
      <c r="F319">
        <v>671</v>
      </c>
      <c r="G319">
        <v>1171.5999999999999</v>
      </c>
      <c r="H319">
        <v>0</v>
      </c>
      <c r="I319">
        <v>0</v>
      </c>
      <c r="J319">
        <v>0</v>
      </c>
      <c r="K319">
        <v>172.4</v>
      </c>
      <c r="L319">
        <v>90</v>
      </c>
      <c r="M319" s="10">
        <v>27.4</v>
      </c>
      <c r="N319" s="2">
        <f t="shared" si="10"/>
        <v>346.69433999999995</v>
      </c>
      <c r="O319" s="2">
        <f t="shared" si="9"/>
        <v>156.79991000000001</v>
      </c>
      <c r="P319">
        <v>0</v>
      </c>
    </row>
    <row r="320" spans="1:16" x14ac:dyDescent="0.25">
      <c r="A320" s="15"/>
      <c r="B320" s="15"/>
      <c r="C320">
        <v>30</v>
      </c>
      <c r="D320">
        <v>312.62</v>
      </c>
      <c r="E320">
        <v>133.97999999999999</v>
      </c>
      <c r="F320">
        <v>671</v>
      </c>
      <c r="G320">
        <v>1171.5999999999999</v>
      </c>
      <c r="H320">
        <v>0</v>
      </c>
      <c r="I320">
        <v>0</v>
      </c>
      <c r="J320">
        <v>0</v>
      </c>
      <c r="K320">
        <v>172.4</v>
      </c>
      <c r="L320">
        <v>14</v>
      </c>
      <c r="M320" s="10">
        <v>17.420000000000002</v>
      </c>
      <c r="N320" s="2">
        <f t="shared" si="10"/>
        <v>329.27694000000002</v>
      </c>
      <c r="O320" s="2">
        <f t="shared" si="9"/>
        <v>148.37033499999998</v>
      </c>
      <c r="P320">
        <v>0</v>
      </c>
    </row>
    <row r="321" spans="1:16" x14ac:dyDescent="0.25">
      <c r="A321" s="15"/>
      <c r="B321" s="15"/>
      <c r="C321">
        <v>30</v>
      </c>
      <c r="D321">
        <v>312.62</v>
      </c>
      <c r="E321">
        <v>133.97999999999999</v>
      </c>
      <c r="F321">
        <v>671</v>
      </c>
      <c r="G321">
        <v>1171.5999999999999</v>
      </c>
      <c r="H321">
        <v>0</v>
      </c>
      <c r="I321">
        <v>0</v>
      </c>
      <c r="J321">
        <v>0</v>
      </c>
      <c r="K321">
        <v>172.4</v>
      </c>
      <c r="L321">
        <v>21</v>
      </c>
      <c r="M321" s="10">
        <v>22.44</v>
      </c>
      <c r="N321" s="2">
        <f t="shared" si="10"/>
        <v>329.27694000000002</v>
      </c>
      <c r="O321" s="2">
        <f t="shared" si="9"/>
        <v>148.37033499999998</v>
      </c>
      <c r="P321">
        <v>0</v>
      </c>
    </row>
    <row r="322" spans="1:16" x14ac:dyDescent="0.25">
      <c r="A322" s="15"/>
      <c r="B322" s="15"/>
      <c r="C322">
        <v>30</v>
      </c>
      <c r="D322">
        <v>312.62</v>
      </c>
      <c r="E322">
        <v>133.97999999999999</v>
      </c>
      <c r="F322">
        <v>671</v>
      </c>
      <c r="G322">
        <v>1171.5999999999999</v>
      </c>
      <c r="H322">
        <v>0</v>
      </c>
      <c r="I322">
        <v>0</v>
      </c>
      <c r="J322">
        <v>0</v>
      </c>
      <c r="K322">
        <v>172.4</v>
      </c>
      <c r="L322">
        <v>56</v>
      </c>
      <c r="M322" s="10">
        <v>21.56</v>
      </c>
      <c r="N322" s="2">
        <f t="shared" si="10"/>
        <v>329.27694000000002</v>
      </c>
      <c r="O322" s="2">
        <f t="shared" si="9"/>
        <v>148.37033499999998</v>
      </c>
      <c r="P322">
        <v>0</v>
      </c>
    </row>
    <row r="323" spans="1:16" x14ac:dyDescent="0.25">
      <c r="A323" s="15"/>
      <c r="B323" s="15"/>
      <c r="C323">
        <v>30</v>
      </c>
      <c r="D323">
        <v>312.62</v>
      </c>
      <c r="E323">
        <v>133.97999999999999</v>
      </c>
      <c r="F323">
        <v>671</v>
      </c>
      <c r="G323">
        <v>1171.5999999999999</v>
      </c>
      <c r="H323">
        <v>0</v>
      </c>
      <c r="I323">
        <v>0</v>
      </c>
      <c r="J323">
        <v>0</v>
      </c>
      <c r="K323">
        <v>172.4</v>
      </c>
      <c r="L323">
        <v>90</v>
      </c>
      <c r="M323" s="10">
        <v>28.72</v>
      </c>
      <c r="N323" s="2">
        <f t="shared" si="10"/>
        <v>329.27694000000002</v>
      </c>
      <c r="O323" s="2">
        <f t="shared" ref="O323:O386" si="11">SUM((D323*5)+((F323*0.25)+(G323*0.2)+(H323*20)))*0.0755</f>
        <v>148.37033499999998</v>
      </c>
      <c r="P323">
        <v>0</v>
      </c>
    </row>
    <row r="324" spans="1:16" x14ac:dyDescent="0.25">
      <c r="A324" s="15"/>
      <c r="B324" s="15"/>
      <c r="C324">
        <v>35</v>
      </c>
      <c r="D324">
        <v>290.29000000000002</v>
      </c>
      <c r="E324">
        <v>156.31</v>
      </c>
      <c r="F324">
        <v>671</v>
      </c>
      <c r="G324">
        <v>1171.5999999999999</v>
      </c>
      <c r="H324">
        <v>0</v>
      </c>
      <c r="I324">
        <v>0</v>
      </c>
      <c r="J324">
        <v>0</v>
      </c>
      <c r="K324">
        <v>172.4</v>
      </c>
      <c r="L324">
        <v>14</v>
      </c>
      <c r="M324" s="10">
        <v>18.59</v>
      </c>
      <c r="N324" s="2">
        <f t="shared" si="10"/>
        <v>311.85953999999998</v>
      </c>
      <c r="O324" s="2">
        <f t="shared" si="11"/>
        <v>139.94075999999998</v>
      </c>
      <c r="P324">
        <v>0</v>
      </c>
    </row>
    <row r="325" spans="1:16" x14ac:dyDescent="0.25">
      <c r="A325" s="15"/>
      <c r="B325" s="15"/>
      <c r="C325">
        <v>35</v>
      </c>
      <c r="D325">
        <v>290.29000000000002</v>
      </c>
      <c r="E325">
        <v>156.31</v>
      </c>
      <c r="F325">
        <v>671</v>
      </c>
      <c r="G325">
        <v>1171.5999999999999</v>
      </c>
      <c r="H325">
        <v>0</v>
      </c>
      <c r="I325">
        <v>0</v>
      </c>
      <c r="J325">
        <v>0</v>
      </c>
      <c r="K325">
        <v>172.4</v>
      </c>
      <c r="L325">
        <v>21</v>
      </c>
      <c r="M325" s="10">
        <v>18.62</v>
      </c>
      <c r="N325" s="2">
        <f t="shared" si="10"/>
        <v>311.85953999999998</v>
      </c>
      <c r="O325" s="2">
        <f t="shared" si="11"/>
        <v>139.94075999999998</v>
      </c>
      <c r="P325">
        <v>0</v>
      </c>
    </row>
    <row r="326" spans="1:16" x14ac:dyDescent="0.25">
      <c r="A326" s="15"/>
      <c r="B326" s="15"/>
      <c r="C326">
        <v>35</v>
      </c>
      <c r="D326">
        <v>290.29000000000002</v>
      </c>
      <c r="E326">
        <v>156.31</v>
      </c>
      <c r="F326">
        <v>671</v>
      </c>
      <c r="G326">
        <v>1171.5999999999999</v>
      </c>
      <c r="H326">
        <v>0</v>
      </c>
      <c r="I326">
        <v>0</v>
      </c>
      <c r="J326">
        <v>0</v>
      </c>
      <c r="K326">
        <v>172.4</v>
      </c>
      <c r="L326">
        <v>56</v>
      </c>
      <c r="M326" s="10">
        <v>24.12</v>
      </c>
      <c r="N326" s="2">
        <f t="shared" si="10"/>
        <v>311.85953999999998</v>
      </c>
      <c r="O326" s="2">
        <f t="shared" si="11"/>
        <v>139.94075999999998</v>
      </c>
      <c r="P326">
        <v>0</v>
      </c>
    </row>
    <row r="327" spans="1:16" x14ac:dyDescent="0.25">
      <c r="A327" s="15"/>
      <c r="B327" s="15"/>
      <c r="C327">
        <v>35</v>
      </c>
      <c r="D327">
        <v>290.29000000000002</v>
      </c>
      <c r="E327">
        <v>156.31</v>
      </c>
      <c r="F327">
        <v>671</v>
      </c>
      <c r="G327">
        <v>1171.5999999999999</v>
      </c>
      <c r="H327">
        <v>0</v>
      </c>
      <c r="I327">
        <v>0</v>
      </c>
      <c r="J327">
        <v>0</v>
      </c>
      <c r="K327">
        <v>172.4</v>
      </c>
      <c r="L327">
        <v>90</v>
      </c>
      <c r="M327" s="10">
        <v>24.62</v>
      </c>
      <c r="N327" s="2">
        <f t="shared" si="10"/>
        <v>311.85953999999998</v>
      </c>
      <c r="O327" s="2">
        <f t="shared" si="11"/>
        <v>139.94075999999998</v>
      </c>
      <c r="P327">
        <v>0</v>
      </c>
    </row>
    <row r="328" spans="1:16" x14ac:dyDescent="0.25">
      <c r="A328" s="15"/>
      <c r="B328" s="15"/>
      <c r="C328">
        <v>40</v>
      </c>
      <c r="D328">
        <v>267.95999999999998</v>
      </c>
      <c r="E328">
        <v>178.64</v>
      </c>
      <c r="F328">
        <v>671</v>
      </c>
      <c r="G328">
        <v>1171.5999999999999</v>
      </c>
      <c r="H328">
        <v>0</v>
      </c>
      <c r="I328">
        <v>0</v>
      </c>
      <c r="J328">
        <v>0</v>
      </c>
      <c r="K328">
        <v>172.4</v>
      </c>
      <c r="L328">
        <v>14</v>
      </c>
      <c r="M328" s="10">
        <v>18.84</v>
      </c>
      <c r="N328" s="2">
        <f t="shared" si="10"/>
        <v>294.44213999999994</v>
      </c>
      <c r="O328" s="2">
        <f t="shared" si="11"/>
        <v>131.51118499999998</v>
      </c>
      <c r="P328">
        <v>0</v>
      </c>
    </row>
    <row r="329" spans="1:16" x14ac:dyDescent="0.25">
      <c r="A329" s="15"/>
      <c r="B329" s="15"/>
      <c r="C329">
        <v>40</v>
      </c>
      <c r="D329">
        <v>267.95999999999998</v>
      </c>
      <c r="E329">
        <v>178.64</v>
      </c>
      <c r="F329">
        <v>671</v>
      </c>
      <c r="G329">
        <v>1171.5999999999999</v>
      </c>
      <c r="H329">
        <v>0</v>
      </c>
      <c r="I329">
        <v>0</v>
      </c>
      <c r="J329">
        <v>0</v>
      </c>
      <c r="K329">
        <v>172.4</v>
      </c>
      <c r="L329">
        <v>21</v>
      </c>
      <c r="M329" s="10">
        <v>18.100000000000001</v>
      </c>
      <c r="N329" s="2">
        <f t="shared" si="10"/>
        <v>294.44213999999994</v>
      </c>
      <c r="O329" s="2">
        <f t="shared" si="11"/>
        <v>131.51118499999998</v>
      </c>
      <c r="P329">
        <v>0</v>
      </c>
    </row>
    <row r="330" spans="1:16" x14ac:dyDescent="0.25">
      <c r="A330" s="15"/>
      <c r="B330" s="15"/>
      <c r="C330">
        <v>40</v>
      </c>
      <c r="D330">
        <v>267.95999999999998</v>
      </c>
      <c r="E330">
        <v>178.64</v>
      </c>
      <c r="F330">
        <v>671</v>
      </c>
      <c r="G330">
        <v>1171.5999999999999</v>
      </c>
      <c r="H330">
        <v>0</v>
      </c>
      <c r="I330">
        <v>0</v>
      </c>
      <c r="J330">
        <v>0</v>
      </c>
      <c r="K330">
        <v>172.4</v>
      </c>
      <c r="L330">
        <v>56</v>
      </c>
      <c r="M330" s="10">
        <v>21.75</v>
      </c>
      <c r="N330" s="2">
        <f t="shared" si="10"/>
        <v>294.44213999999994</v>
      </c>
      <c r="O330" s="2">
        <f t="shared" si="11"/>
        <v>131.51118499999998</v>
      </c>
      <c r="P330">
        <v>0</v>
      </c>
    </row>
    <row r="331" spans="1:16" x14ac:dyDescent="0.25">
      <c r="A331" s="15"/>
      <c r="B331" s="15"/>
      <c r="C331">
        <v>40</v>
      </c>
      <c r="D331">
        <v>267.95999999999998</v>
      </c>
      <c r="E331">
        <v>178.64</v>
      </c>
      <c r="F331">
        <v>671</v>
      </c>
      <c r="G331">
        <v>1171.5999999999999</v>
      </c>
      <c r="H331">
        <v>0</v>
      </c>
      <c r="I331">
        <v>0</v>
      </c>
      <c r="J331">
        <v>0</v>
      </c>
      <c r="K331">
        <v>172.4</v>
      </c>
      <c r="L331">
        <v>90</v>
      </c>
      <c r="M331" s="10">
        <v>23.52</v>
      </c>
      <c r="N331" s="2">
        <f t="shared" si="10"/>
        <v>294.44213999999994</v>
      </c>
      <c r="O331" s="2">
        <f t="shared" si="11"/>
        <v>131.51118499999998</v>
      </c>
      <c r="P331">
        <v>0</v>
      </c>
    </row>
    <row r="332" spans="1:16" x14ac:dyDescent="0.25">
      <c r="A332" s="15"/>
      <c r="B332" s="15"/>
      <c r="C332">
        <v>45</v>
      </c>
      <c r="D332">
        <v>245.63</v>
      </c>
      <c r="E332">
        <v>200.97</v>
      </c>
      <c r="F332">
        <v>671</v>
      </c>
      <c r="G332">
        <v>1171.5999999999999</v>
      </c>
      <c r="H332">
        <v>0</v>
      </c>
      <c r="I332">
        <v>0</v>
      </c>
      <c r="J332">
        <v>0</v>
      </c>
      <c r="K332">
        <v>172.4</v>
      </c>
      <c r="L332">
        <v>14</v>
      </c>
      <c r="M332" s="10">
        <v>17.97</v>
      </c>
      <c r="N332" s="2">
        <f t="shared" si="10"/>
        <v>277.02473999999995</v>
      </c>
      <c r="O332" s="2">
        <f t="shared" si="11"/>
        <v>123.08161</v>
      </c>
      <c r="P332">
        <v>0</v>
      </c>
    </row>
    <row r="333" spans="1:16" x14ac:dyDescent="0.25">
      <c r="A333" s="15"/>
      <c r="B333" s="15"/>
      <c r="C333">
        <v>45</v>
      </c>
      <c r="D333">
        <v>245.63</v>
      </c>
      <c r="E333">
        <v>200.97</v>
      </c>
      <c r="F333">
        <v>671</v>
      </c>
      <c r="G333">
        <v>1171.5999999999999</v>
      </c>
      <c r="H333">
        <v>0</v>
      </c>
      <c r="I333">
        <v>0</v>
      </c>
      <c r="J333">
        <v>0</v>
      </c>
      <c r="K333">
        <v>172.4</v>
      </c>
      <c r="L333">
        <v>21</v>
      </c>
      <c r="M333" s="10">
        <v>20.59</v>
      </c>
      <c r="N333" s="2">
        <f t="shared" si="10"/>
        <v>277.02473999999995</v>
      </c>
      <c r="O333" s="2">
        <f t="shared" si="11"/>
        <v>123.08161</v>
      </c>
      <c r="P333">
        <v>0</v>
      </c>
    </row>
    <row r="334" spans="1:16" x14ac:dyDescent="0.25">
      <c r="A334" s="15"/>
      <c r="B334" s="15"/>
      <c r="C334">
        <v>45</v>
      </c>
      <c r="D334">
        <v>245.63</v>
      </c>
      <c r="E334">
        <v>200.97</v>
      </c>
      <c r="F334">
        <v>671</v>
      </c>
      <c r="G334">
        <v>1171.5999999999999</v>
      </c>
      <c r="H334">
        <v>0</v>
      </c>
      <c r="I334">
        <v>0</v>
      </c>
      <c r="J334">
        <v>0</v>
      </c>
      <c r="K334">
        <v>172.4</v>
      </c>
      <c r="L334">
        <v>56</v>
      </c>
      <c r="M334" s="10">
        <v>21.88</v>
      </c>
      <c r="N334" s="2">
        <f t="shared" si="10"/>
        <v>277.02473999999995</v>
      </c>
      <c r="O334" s="2">
        <f t="shared" si="11"/>
        <v>123.08161</v>
      </c>
      <c r="P334">
        <v>0</v>
      </c>
    </row>
    <row r="335" spans="1:16" x14ac:dyDescent="0.25">
      <c r="A335" s="15"/>
      <c r="B335" s="15"/>
      <c r="C335">
        <v>45</v>
      </c>
      <c r="D335">
        <v>245.63</v>
      </c>
      <c r="E335">
        <v>200.97</v>
      </c>
      <c r="F335">
        <v>671</v>
      </c>
      <c r="G335">
        <v>1171.5999999999999</v>
      </c>
      <c r="H335">
        <v>0</v>
      </c>
      <c r="I335">
        <v>0</v>
      </c>
      <c r="J335">
        <v>0</v>
      </c>
      <c r="K335">
        <v>172.4</v>
      </c>
      <c r="L335">
        <v>90</v>
      </c>
      <c r="M335" s="10">
        <v>22.78</v>
      </c>
      <c r="N335" s="2">
        <f t="shared" si="10"/>
        <v>277.02473999999995</v>
      </c>
      <c r="O335" s="2">
        <f t="shared" si="11"/>
        <v>123.08161</v>
      </c>
      <c r="P335">
        <v>0</v>
      </c>
    </row>
    <row r="336" spans="1:16" x14ac:dyDescent="0.25">
      <c r="A336" s="15"/>
      <c r="B336" s="15"/>
      <c r="C336">
        <v>50</v>
      </c>
      <c r="D336">
        <v>223.3</v>
      </c>
      <c r="E336">
        <v>223.3</v>
      </c>
      <c r="F336">
        <v>671</v>
      </c>
      <c r="G336">
        <v>1171.5999999999999</v>
      </c>
      <c r="H336">
        <v>0</v>
      </c>
      <c r="I336">
        <v>0</v>
      </c>
      <c r="J336">
        <v>0</v>
      </c>
      <c r="K336">
        <v>172.4</v>
      </c>
      <c r="L336">
        <v>14</v>
      </c>
      <c r="M336" s="10">
        <v>19.03</v>
      </c>
      <c r="N336" s="2">
        <f t="shared" si="10"/>
        <v>259.60733999999997</v>
      </c>
      <c r="O336" s="2">
        <f t="shared" si="11"/>
        <v>114.652035</v>
      </c>
      <c r="P336">
        <v>0</v>
      </c>
    </row>
    <row r="337" spans="1:16" x14ac:dyDescent="0.25">
      <c r="A337" s="15"/>
      <c r="B337" s="15"/>
      <c r="C337">
        <v>50</v>
      </c>
      <c r="D337">
        <v>223.3</v>
      </c>
      <c r="E337">
        <v>223.3</v>
      </c>
      <c r="F337">
        <v>671</v>
      </c>
      <c r="G337">
        <v>1171.5999999999999</v>
      </c>
      <c r="H337">
        <v>0</v>
      </c>
      <c r="I337">
        <v>0</v>
      </c>
      <c r="J337">
        <v>0</v>
      </c>
      <c r="K337">
        <v>172.4</v>
      </c>
      <c r="L337">
        <v>21</v>
      </c>
      <c r="M337" s="10">
        <v>16.77</v>
      </c>
      <c r="N337" s="2">
        <f t="shared" si="10"/>
        <v>259.60733999999997</v>
      </c>
      <c r="O337" s="2">
        <f t="shared" si="11"/>
        <v>114.652035</v>
      </c>
      <c r="P337">
        <v>0</v>
      </c>
    </row>
    <row r="338" spans="1:16" x14ac:dyDescent="0.25">
      <c r="A338" s="15"/>
      <c r="B338" s="15"/>
      <c r="C338">
        <v>50</v>
      </c>
      <c r="D338">
        <v>223.3</v>
      </c>
      <c r="E338">
        <v>223.3</v>
      </c>
      <c r="F338">
        <v>671</v>
      </c>
      <c r="G338">
        <v>1171.5999999999999</v>
      </c>
      <c r="H338">
        <v>0</v>
      </c>
      <c r="I338">
        <v>0</v>
      </c>
      <c r="J338">
        <v>0</v>
      </c>
      <c r="K338">
        <v>172.4</v>
      </c>
      <c r="L338">
        <v>56</v>
      </c>
      <c r="M338" s="10">
        <v>25.32</v>
      </c>
      <c r="N338" s="2">
        <f t="shared" si="10"/>
        <v>259.60733999999997</v>
      </c>
      <c r="O338" s="2">
        <f t="shared" si="11"/>
        <v>114.652035</v>
      </c>
      <c r="P338">
        <v>0</v>
      </c>
    </row>
    <row r="339" spans="1:16" x14ac:dyDescent="0.25">
      <c r="A339" s="15"/>
      <c r="B339" s="15"/>
      <c r="C339">
        <v>50</v>
      </c>
      <c r="D339">
        <v>223.3</v>
      </c>
      <c r="E339">
        <v>223.3</v>
      </c>
      <c r="F339">
        <v>671</v>
      </c>
      <c r="G339">
        <v>1171.5999999999999</v>
      </c>
      <c r="H339">
        <v>0</v>
      </c>
      <c r="I339">
        <v>0</v>
      </c>
      <c r="J339">
        <v>0</v>
      </c>
      <c r="K339">
        <v>172.4</v>
      </c>
      <c r="L339">
        <v>90</v>
      </c>
      <c r="M339" s="10">
        <v>22.96</v>
      </c>
      <c r="N339" s="2">
        <f t="shared" si="10"/>
        <v>259.60733999999997</v>
      </c>
      <c r="O339" s="2">
        <f t="shared" si="11"/>
        <v>114.652035</v>
      </c>
      <c r="P339">
        <v>0</v>
      </c>
    </row>
    <row r="340" spans="1:16" x14ac:dyDescent="0.25">
      <c r="A340" s="15" t="s">
        <v>116</v>
      </c>
      <c r="B340" s="15" t="s">
        <v>104</v>
      </c>
      <c r="C340">
        <v>0</v>
      </c>
      <c r="D340">
        <v>416.3</v>
      </c>
      <c r="E340">
        <v>0</v>
      </c>
      <c r="F340">
        <v>812.2</v>
      </c>
      <c r="G340">
        <v>1046.7</v>
      </c>
      <c r="H340">
        <v>0</v>
      </c>
      <c r="I340">
        <v>0</v>
      </c>
      <c r="J340">
        <v>0</v>
      </c>
      <c r="K340">
        <v>179.1</v>
      </c>
      <c r="L340">
        <v>14</v>
      </c>
      <c r="M340" s="10">
        <v>22.58</v>
      </c>
      <c r="N340" s="2">
        <f t="shared" ref="N340:N372" si="12">SUM((D340*0.83)+(E340*0.05)+(F340*0.0139)+(G340*0.0459)+(H340*2))</f>
        <v>404.86211000000003</v>
      </c>
      <c r="O340" s="2">
        <f t="shared" si="11"/>
        <v>188.28869499999999</v>
      </c>
      <c r="P340">
        <v>0</v>
      </c>
    </row>
    <row r="341" spans="1:16" x14ac:dyDescent="0.25">
      <c r="A341" s="15"/>
      <c r="B341" s="15"/>
      <c r="C341">
        <v>0</v>
      </c>
      <c r="D341">
        <v>416.3</v>
      </c>
      <c r="E341">
        <v>0</v>
      </c>
      <c r="F341">
        <v>812.2</v>
      </c>
      <c r="G341">
        <v>1046.7</v>
      </c>
      <c r="H341">
        <v>0</v>
      </c>
      <c r="I341">
        <v>0</v>
      </c>
      <c r="J341">
        <v>0</v>
      </c>
      <c r="K341">
        <v>179.1</v>
      </c>
      <c r="L341">
        <v>21</v>
      </c>
      <c r="M341" s="10">
        <v>27.63</v>
      </c>
      <c r="N341" s="2">
        <f t="shared" si="12"/>
        <v>404.86211000000003</v>
      </c>
      <c r="O341" s="2">
        <f t="shared" si="11"/>
        <v>188.28869499999999</v>
      </c>
      <c r="P341">
        <v>0</v>
      </c>
    </row>
    <row r="342" spans="1:16" x14ac:dyDescent="0.25">
      <c r="A342" s="15"/>
      <c r="B342" s="15"/>
      <c r="C342">
        <v>0</v>
      </c>
      <c r="D342">
        <v>416.3</v>
      </c>
      <c r="E342">
        <v>0</v>
      </c>
      <c r="F342">
        <v>812.2</v>
      </c>
      <c r="G342">
        <v>1046.7</v>
      </c>
      <c r="H342">
        <v>0</v>
      </c>
      <c r="I342">
        <v>0</v>
      </c>
      <c r="J342">
        <v>0</v>
      </c>
      <c r="K342">
        <v>179.1</v>
      </c>
      <c r="L342">
        <v>56</v>
      </c>
      <c r="M342" s="10">
        <v>33.31</v>
      </c>
      <c r="N342" s="2">
        <f t="shared" si="12"/>
        <v>404.86211000000003</v>
      </c>
      <c r="O342" s="2">
        <f t="shared" si="11"/>
        <v>188.28869499999999</v>
      </c>
      <c r="P342">
        <v>0</v>
      </c>
    </row>
    <row r="343" spans="1:16" x14ac:dyDescent="0.25">
      <c r="A343" s="15"/>
      <c r="B343" s="15"/>
      <c r="C343">
        <v>0</v>
      </c>
      <c r="D343">
        <v>416.3</v>
      </c>
      <c r="E343">
        <v>0</v>
      </c>
      <c r="F343">
        <v>812.2</v>
      </c>
      <c r="G343">
        <v>1046.7</v>
      </c>
      <c r="H343">
        <v>0</v>
      </c>
      <c r="I343">
        <v>0</v>
      </c>
      <c r="J343">
        <v>0</v>
      </c>
      <c r="K343">
        <v>179.1</v>
      </c>
      <c r="L343">
        <v>90</v>
      </c>
      <c r="M343" s="10">
        <v>34.880000000000003</v>
      </c>
      <c r="N343" s="2">
        <f t="shared" si="12"/>
        <v>404.86211000000003</v>
      </c>
      <c r="O343" s="2">
        <f t="shared" si="11"/>
        <v>188.28869499999999</v>
      </c>
      <c r="P343">
        <v>0</v>
      </c>
    </row>
    <row r="344" spans="1:16" x14ac:dyDescent="0.25">
      <c r="A344" s="15"/>
      <c r="B344" s="15"/>
      <c r="C344">
        <v>5</v>
      </c>
      <c r="D344">
        <v>395.48500000000001</v>
      </c>
      <c r="E344">
        <v>20.815000000000001</v>
      </c>
      <c r="F344">
        <v>812.2</v>
      </c>
      <c r="G344">
        <v>1046.7</v>
      </c>
      <c r="H344">
        <v>0</v>
      </c>
      <c r="I344">
        <v>0</v>
      </c>
      <c r="J344">
        <v>0</v>
      </c>
      <c r="K344">
        <v>179.1</v>
      </c>
      <c r="L344">
        <v>14</v>
      </c>
      <c r="M344" s="10">
        <v>27.56</v>
      </c>
      <c r="N344" s="2">
        <f t="shared" si="12"/>
        <v>388.62640999999996</v>
      </c>
      <c r="O344" s="2">
        <f t="shared" si="11"/>
        <v>180.43103249999999</v>
      </c>
      <c r="P344">
        <v>0</v>
      </c>
    </row>
    <row r="345" spans="1:16" x14ac:dyDescent="0.25">
      <c r="A345" s="15"/>
      <c r="B345" s="15"/>
      <c r="C345">
        <v>5</v>
      </c>
      <c r="D345">
        <v>395.48500000000001</v>
      </c>
      <c r="E345">
        <v>20.815000000000001</v>
      </c>
      <c r="F345">
        <v>812.2</v>
      </c>
      <c r="G345">
        <v>1046.7</v>
      </c>
      <c r="H345">
        <v>0</v>
      </c>
      <c r="I345">
        <v>0</v>
      </c>
      <c r="J345">
        <v>0</v>
      </c>
      <c r="K345">
        <v>179.1</v>
      </c>
      <c r="L345">
        <v>21</v>
      </c>
      <c r="M345" s="10">
        <v>24.4</v>
      </c>
      <c r="N345" s="2">
        <f t="shared" si="12"/>
        <v>388.62640999999996</v>
      </c>
      <c r="O345" s="2">
        <f t="shared" si="11"/>
        <v>180.43103249999999</v>
      </c>
      <c r="P345">
        <v>0</v>
      </c>
    </row>
    <row r="346" spans="1:16" x14ac:dyDescent="0.25">
      <c r="A346" s="15"/>
      <c r="B346" s="15"/>
      <c r="C346">
        <v>5</v>
      </c>
      <c r="D346">
        <v>395.48500000000001</v>
      </c>
      <c r="E346">
        <v>20.815000000000001</v>
      </c>
      <c r="F346">
        <v>812.2</v>
      </c>
      <c r="G346">
        <v>1046.7</v>
      </c>
      <c r="H346">
        <v>0</v>
      </c>
      <c r="I346">
        <v>0</v>
      </c>
      <c r="J346">
        <v>0</v>
      </c>
      <c r="K346">
        <v>179.1</v>
      </c>
      <c r="L346">
        <v>56</v>
      </c>
      <c r="M346" s="10">
        <v>29.32</v>
      </c>
      <c r="N346" s="2">
        <f t="shared" si="12"/>
        <v>388.62640999999996</v>
      </c>
      <c r="O346" s="2">
        <f t="shared" si="11"/>
        <v>180.43103249999999</v>
      </c>
      <c r="P346">
        <v>0</v>
      </c>
    </row>
    <row r="347" spans="1:16" x14ac:dyDescent="0.25">
      <c r="A347" s="15"/>
      <c r="B347" s="15"/>
      <c r="C347">
        <v>5</v>
      </c>
      <c r="D347">
        <v>395.48500000000001</v>
      </c>
      <c r="E347">
        <v>20.815000000000001</v>
      </c>
      <c r="F347">
        <v>812.2</v>
      </c>
      <c r="G347">
        <v>1046.7</v>
      </c>
      <c r="H347">
        <v>0</v>
      </c>
      <c r="I347">
        <v>0</v>
      </c>
      <c r="J347">
        <v>0</v>
      </c>
      <c r="K347">
        <v>179.1</v>
      </c>
      <c r="L347">
        <v>90</v>
      </c>
      <c r="M347" s="10">
        <v>30.52</v>
      </c>
      <c r="N347" s="2">
        <f t="shared" si="12"/>
        <v>388.62640999999996</v>
      </c>
      <c r="O347" s="2">
        <f t="shared" si="11"/>
        <v>180.43103249999999</v>
      </c>
      <c r="P347">
        <v>0</v>
      </c>
    </row>
    <row r="348" spans="1:16" x14ac:dyDescent="0.25">
      <c r="A348" s="15"/>
      <c r="B348" s="15"/>
      <c r="C348">
        <v>10</v>
      </c>
      <c r="D348">
        <v>374.67</v>
      </c>
      <c r="E348">
        <v>41.63</v>
      </c>
      <c r="F348">
        <v>812.2</v>
      </c>
      <c r="G348">
        <v>1046.7</v>
      </c>
      <c r="H348">
        <v>0</v>
      </c>
      <c r="I348">
        <v>0</v>
      </c>
      <c r="J348">
        <v>0</v>
      </c>
      <c r="K348">
        <v>179.1</v>
      </c>
      <c r="L348">
        <v>14</v>
      </c>
      <c r="M348" s="10">
        <v>26.87</v>
      </c>
      <c r="N348" s="2">
        <f t="shared" si="12"/>
        <v>372.39071000000001</v>
      </c>
      <c r="O348" s="2">
        <f t="shared" si="11"/>
        <v>172.57337000000001</v>
      </c>
      <c r="P348">
        <v>0</v>
      </c>
    </row>
    <row r="349" spans="1:16" x14ac:dyDescent="0.25">
      <c r="A349" s="15"/>
      <c r="B349" s="15"/>
      <c r="C349">
        <v>10</v>
      </c>
      <c r="D349">
        <v>374.67</v>
      </c>
      <c r="E349">
        <v>41.63</v>
      </c>
      <c r="F349">
        <v>812.2</v>
      </c>
      <c r="G349">
        <v>1046.7</v>
      </c>
      <c r="H349">
        <v>0</v>
      </c>
      <c r="I349">
        <v>0</v>
      </c>
      <c r="J349">
        <v>0</v>
      </c>
      <c r="K349">
        <v>179.1</v>
      </c>
      <c r="L349">
        <v>21</v>
      </c>
      <c r="M349" s="10">
        <v>27.06</v>
      </c>
      <c r="N349" s="2">
        <f t="shared" si="12"/>
        <v>372.39071000000001</v>
      </c>
      <c r="O349" s="2">
        <f t="shared" si="11"/>
        <v>172.57337000000001</v>
      </c>
      <c r="P349">
        <v>0</v>
      </c>
    </row>
    <row r="350" spans="1:16" x14ac:dyDescent="0.25">
      <c r="A350" s="15"/>
      <c r="B350" s="15"/>
      <c r="C350">
        <v>10</v>
      </c>
      <c r="D350">
        <v>374.67</v>
      </c>
      <c r="E350">
        <v>41.63</v>
      </c>
      <c r="F350">
        <v>812.2</v>
      </c>
      <c r="G350">
        <v>1046.7</v>
      </c>
      <c r="H350">
        <v>0</v>
      </c>
      <c r="I350">
        <v>0</v>
      </c>
      <c r="J350">
        <v>0</v>
      </c>
      <c r="K350">
        <v>179.1</v>
      </c>
      <c r="L350">
        <v>56</v>
      </c>
      <c r="M350" s="10">
        <v>31.84</v>
      </c>
      <c r="N350" s="2">
        <f t="shared" si="12"/>
        <v>372.39071000000001</v>
      </c>
      <c r="O350" s="2">
        <f t="shared" si="11"/>
        <v>172.57337000000001</v>
      </c>
      <c r="P350">
        <v>0</v>
      </c>
    </row>
    <row r="351" spans="1:16" x14ac:dyDescent="0.25">
      <c r="A351" s="15"/>
      <c r="B351" s="15"/>
      <c r="C351">
        <v>10</v>
      </c>
      <c r="D351">
        <v>374.67</v>
      </c>
      <c r="E351">
        <v>41.63</v>
      </c>
      <c r="F351">
        <v>812.2</v>
      </c>
      <c r="G351">
        <v>1046.7</v>
      </c>
      <c r="H351">
        <v>0</v>
      </c>
      <c r="I351">
        <v>0</v>
      </c>
      <c r="J351">
        <v>0</v>
      </c>
      <c r="K351">
        <v>179.1</v>
      </c>
      <c r="L351">
        <v>90</v>
      </c>
      <c r="M351" s="10">
        <v>28.78</v>
      </c>
      <c r="N351" s="2">
        <f t="shared" si="12"/>
        <v>372.39071000000001</v>
      </c>
      <c r="O351" s="2">
        <f t="shared" si="11"/>
        <v>172.57337000000001</v>
      </c>
      <c r="P351">
        <v>0</v>
      </c>
    </row>
    <row r="352" spans="1:16" x14ac:dyDescent="0.25">
      <c r="A352" s="15"/>
      <c r="B352" s="15"/>
      <c r="C352">
        <v>15</v>
      </c>
      <c r="D352">
        <v>353.85500000000002</v>
      </c>
      <c r="E352">
        <v>62.445</v>
      </c>
      <c r="F352">
        <v>812.2</v>
      </c>
      <c r="G352">
        <v>1046.7</v>
      </c>
      <c r="H352">
        <v>0</v>
      </c>
      <c r="I352">
        <v>0</v>
      </c>
      <c r="J352">
        <v>0</v>
      </c>
      <c r="K352">
        <v>179.1</v>
      </c>
      <c r="L352">
        <v>14</v>
      </c>
      <c r="M352" s="10">
        <v>22.47</v>
      </c>
      <c r="N352" s="2">
        <f t="shared" si="12"/>
        <v>356.15501000000006</v>
      </c>
      <c r="O352" s="2">
        <f t="shared" si="11"/>
        <v>164.71570749999998</v>
      </c>
      <c r="P352">
        <v>0</v>
      </c>
    </row>
    <row r="353" spans="1:16" x14ac:dyDescent="0.25">
      <c r="A353" s="15"/>
      <c r="B353" s="15"/>
      <c r="C353">
        <v>15</v>
      </c>
      <c r="D353">
        <v>353.85500000000002</v>
      </c>
      <c r="E353">
        <v>62.445</v>
      </c>
      <c r="F353">
        <v>812.2</v>
      </c>
      <c r="G353">
        <v>1046.7</v>
      </c>
      <c r="H353">
        <v>0</v>
      </c>
      <c r="I353">
        <v>0</v>
      </c>
      <c r="J353">
        <v>0</v>
      </c>
      <c r="K353">
        <v>179.1</v>
      </c>
      <c r="L353">
        <v>21</v>
      </c>
      <c r="M353" s="10">
        <v>26.38</v>
      </c>
      <c r="N353" s="2">
        <f t="shared" si="12"/>
        <v>356.15501000000006</v>
      </c>
      <c r="O353" s="2">
        <f t="shared" si="11"/>
        <v>164.71570749999998</v>
      </c>
      <c r="P353">
        <v>0</v>
      </c>
    </row>
    <row r="354" spans="1:16" x14ac:dyDescent="0.25">
      <c r="A354" s="15"/>
      <c r="B354" s="15"/>
      <c r="C354">
        <v>15</v>
      </c>
      <c r="D354">
        <v>353.85500000000002</v>
      </c>
      <c r="E354">
        <v>62.445</v>
      </c>
      <c r="F354">
        <v>812.2</v>
      </c>
      <c r="G354">
        <v>1046.7</v>
      </c>
      <c r="H354">
        <v>0</v>
      </c>
      <c r="I354">
        <v>0</v>
      </c>
      <c r="J354">
        <v>0</v>
      </c>
      <c r="K354">
        <v>179.1</v>
      </c>
      <c r="L354">
        <v>56</v>
      </c>
      <c r="M354" s="10">
        <v>23.97</v>
      </c>
      <c r="N354" s="2">
        <f t="shared" si="12"/>
        <v>356.15501000000006</v>
      </c>
      <c r="O354" s="2">
        <f t="shared" si="11"/>
        <v>164.71570749999998</v>
      </c>
      <c r="P354">
        <v>0</v>
      </c>
    </row>
    <row r="355" spans="1:16" x14ac:dyDescent="0.25">
      <c r="A355" s="15"/>
      <c r="B355" s="15"/>
      <c r="C355">
        <v>15</v>
      </c>
      <c r="D355">
        <v>353.85500000000002</v>
      </c>
      <c r="E355">
        <v>62.445</v>
      </c>
      <c r="F355">
        <v>812.2</v>
      </c>
      <c r="G355">
        <v>1046.7</v>
      </c>
      <c r="H355">
        <v>0</v>
      </c>
      <c r="I355">
        <v>0</v>
      </c>
      <c r="J355">
        <v>0</v>
      </c>
      <c r="K355">
        <v>179.1</v>
      </c>
      <c r="L355">
        <v>90</v>
      </c>
      <c r="M355" s="10">
        <v>29.25</v>
      </c>
      <c r="N355" s="2">
        <f t="shared" si="12"/>
        <v>356.15501000000006</v>
      </c>
      <c r="O355" s="2">
        <f t="shared" si="11"/>
        <v>164.71570749999998</v>
      </c>
      <c r="P355">
        <v>0</v>
      </c>
    </row>
    <row r="356" spans="1:16" x14ac:dyDescent="0.25">
      <c r="A356" s="15"/>
      <c r="B356" s="15"/>
      <c r="C356">
        <v>20</v>
      </c>
      <c r="D356">
        <v>333.04</v>
      </c>
      <c r="E356">
        <v>83.26</v>
      </c>
      <c r="F356">
        <v>812.2</v>
      </c>
      <c r="G356">
        <v>1046.7</v>
      </c>
      <c r="H356">
        <v>0</v>
      </c>
      <c r="I356">
        <v>0</v>
      </c>
      <c r="J356">
        <v>0</v>
      </c>
      <c r="K356">
        <v>179.1</v>
      </c>
      <c r="L356">
        <v>14</v>
      </c>
      <c r="M356" s="10">
        <v>25.77</v>
      </c>
      <c r="N356" s="2">
        <f t="shared" si="12"/>
        <v>339.91931</v>
      </c>
      <c r="O356" s="2">
        <f t="shared" si="11"/>
        <v>156.858045</v>
      </c>
      <c r="P356">
        <v>0</v>
      </c>
    </row>
    <row r="357" spans="1:16" x14ac:dyDescent="0.25">
      <c r="A357" s="15"/>
      <c r="B357" s="15"/>
      <c r="C357">
        <v>20</v>
      </c>
      <c r="D357">
        <v>333.04</v>
      </c>
      <c r="E357">
        <v>83.26</v>
      </c>
      <c r="F357">
        <v>812.2</v>
      </c>
      <c r="G357">
        <v>1046.7</v>
      </c>
      <c r="H357">
        <v>0</v>
      </c>
      <c r="I357">
        <v>0</v>
      </c>
      <c r="J357">
        <v>0</v>
      </c>
      <c r="K357">
        <v>179.1</v>
      </c>
      <c r="L357">
        <v>21</v>
      </c>
      <c r="M357" s="10">
        <v>25.39</v>
      </c>
      <c r="N357" s="2">
        <f t="shared" si="12"/>
        <v>339.91931</v>
      </c>
      <c r="O357" s="2">
        <f t="shared" si="11"/>
        <v>156.858045</v>
      </c>
      <c r="P357">
        <v>0</v>
      </c>
    </row>
    <row r="358" spans="1:16" x14ac:dyDescent="0.25">
      <c r="A358" s="15"/>
      <c r="B358" s="15"/>
      <c r="C358">
        <v>20</v>
      </c>
      <c r="D358">
        <v>333.04</v>
      </c>
      <c r="E358">
        <v>83.26</v>
      </c>
      <c r="F358">
        <v>812.2</v>
      </c>
      <c r="G358">
        <v>1046.7</v>
      </c>
      <c r="H358">
        <v>0</v>
      </c>
      <c r="I358">
        <v>0</v>
      </c>
      <c r="J358">
        <v>0</v>
      </c>
      <c r="K358">
        <v>179.1</v>
      </c>
      <c r="L358">
        <v>56</v>
      </c>
      <c r="M358" s="10">
        <v>28.84</v>
      </c>
      <c r="N358" s="2">
        <f t="shared" si="12"/>
        <v>339.91931</v>
      </c>
      <c r="O358" s="2">
        <f t="shared" si="11"/>
        <v>156.858045</v>
      </c>
      <c r="P358">
        <v>0</v>
      </c>
    </row>
    <row r="359" spans="1:16" x14ac:dyDescent="0.25">
      <c r="A359" s="15"/>
      <c r="B359" s="15"/>
      <c r="C359">
        <v>20</v>
      </c>
      <c r="D359">
        <v>333.04</v>
      </c>
      <c r="E359">
        <v>83.26</v>
      </c>
      <c r="F359">
        <v>812.2</v>
      </c>
      <c r="G359">
        <v>1046.7</v>
      </c>
      <c r="H359">
        <v>0</v>
      </c>
      <c r="I359">
        <v>0</v>
      </c>
      <c r="J359">
        <v>0</v>
      </c>
      <c r="K359">
        <v>179.1</v>
      </c>
      <c r="L359">
        <v>90</v>
      </c>
      <c r="M359" s="10">
        <v>24.21</v>
      </c>
      <c r="N359" s="2">
        <f t="shared" si="12"/>
        <v>339.91931</v>
      </c>
      <c r="O359" s="2">
        <f t="shared" si="11"/>
        <v>156.858045</v>
      </c>
      <c r="P359">
        <v>0</v>
      </c>
    </row>
    <row r="360" spans="1:16" x14ac:dyDescent="0.25">
      <c r="A360" s="15"/>
      <c r="B360" s="15"/>
      <c r="C360">
        <v>25</v>
      </c>
      <c r="D360">
        <v>312.22500000000002</v>
      </c>
      <c r="E360">
        <v>104.075</v>
      </c>
      <c r="F360">
        <v>812.2</v>
      </c>
      <c r="G360">
        <v>1046.7</v>
      </c>
      <c r="H360">
        <v>0</v>
      </c>
      <c r="I360">
        <v>0</v>
      </c>
      <c r="J360">
        <v>0</v>
      </c>
      <c r="K360">
        <v>179.1</v>
      </c>
      <c r="L360">
        <v>14</v>
      </c>
      <c r="M360" s="10">
        <v>19.510000000000002</v>
      </c>
      <c r="N360" s="2">
        <f t="shared" si="12"/>
        <v>323.68361000000004</v>
      </c>
      <c r="O360" s="2">
        <f t="shared" si="11"/>
        <v>149.0003825</v>
      </c>
      <c r="P360">
        <v>0</v>
      </c>
    </row>
    <row r="361" spans="1:16" x14ac:dyDescent="0.25">
      <c r="A361" s="15"/>
      <c r="B361" s="15"/>
      <c r="C361">
        <v>25</v>
      </c>
      <c r="D361">
        <v>312.22500000000002</v>
      </c>
      <c r="E361">
        <v>104.075</v>
      </c>
      <c r="F361">
        <v>812.2</v>
      </c>
      <c r="G361">
        <v>1046.7</v>
      </c>
      <c r="H361">
        <v>0</v>
      </c>
      <c r="I361">
        <v>0</v>
      </c>
      <c r="J361">
        <v>0</v>
      </c>
      <c r="K361">
        <v>179.1</v>
      </c>
      <c r="L361">
        <v>21</v>
      </c>
      <c r="M361" s="10">
        <v>24.94</v>
      </c>
      <c r="N361" s="2">
        <f t="shared" si="12"/>
        <v>323.68361000000004</v>
      </c>
      <c r="O361" s="2">
        <f t="shared" si="11"/>
        <v>149.0003825</v>
      </c>
      <c r="P361">
        <v>0</v>
      </c>
    </row>
    <row r="362" spans="1:16" x14ac:dyDescent="0.25">
      <c r="A362" s="15"/>
      <c r="B362" s="15"/>
      <c r="C362">
        <v>25</v>
      </c>
      <c r="D362">
        <v>312.22500000000002</v>
      </c>
      <c r="E362">
        <v>104.075</v>
      </c>
      <c r="F362">
        <v>812.2</v>
      </c>
      <c r="G362">
        <v>1046.7</v>
      </c>
      <c r="H362">
        <v>0</v>
      </c>
      <c r="I362">
        <v>0</v>
      </c>
      <c r="J362">
        <v>0</v>
      </c>
      <c r="K362">
        <v>179.1</v>
      </c>
      <c r="L362">
        <v>56</v>
      </c>
      <c r="M362" s="10">
        <v>28.08</v>
      </c>
      <c r="N362" s="2">
        <f t="shared" si="12"/>
        <v>323.68361000000004</v>
      </c>
      <c r="O362" s="2">
        <f t="shared" si="11"/>
        <v>149.0003825</v>
      </c>
      <c r="P362">
        <v>0</v>
      </c>
    </row>
    <row r="363" spans="1:16" x14ac:dyDescent="0.25">
      <c r="A363" s="15"/>
      <c r="B363" s="15"/>
      <c r="C363">
        <v>25</v>
      </c>
      <c r="D363">
        <v>312.22500000000002</v>
      </c>
      <c r="E363">
        <v>104.075</v>
      </c>
      <c r="F363">
        <v>812.2</v>
      </c>
      <c r="G363">
        <v>1046.7</v>
      </c>
      <c r="H363">
        <v>0</v>
      </c>
      <c r="I363">
        <v>0</v>
      </c>
      <c r="J363">
        <v>0</v>
      </c>
      <c r="K363">
        <v>179.1</v>
      </c>
      <c r="L363">
        <v>90</v>
      </c>
      <c r="M363" s="10">
        <v>24.54</v>
      </c>
      <c r="N363" s="2">
        <f t="shared" si="12"/>
        <v>323.68361000000004</v>
      </c>
      <c r="O363" s="2">
        <f t="shared" si="11"/>
        <v>149.0003825</v>
      </c>
      <c r="P363">
        <v>0</v>
      </c>
    </row>
    <row r="364" spans="1:16" x14ac:dyDescent="0.25">
      <c r="A364" s="15"/>
      <c r="B364" s="15"/>
      <c r="C364">
        <v>30</v>
      </c>
      <c r="D364">
        <v>291.41000000000003</v>
      </c>
      <c r="E364">
        <v>124.89</v>
      </c>
      <c r="F364">
        <v>812.2</v>
      </c>
      <c r="G364">
        <v>1046.7</v>
      </c>
      <c r="H364">
        <v>0</v>
      </c>
      <c r="I364">
        <v>0</v>
      </c>
      <c r="J364">
        <v>0</v>
      </c>
      <c r="K364">
        <v>179.1</v>
      </c>
      <c r="L364">
        <v>14</v>
      </c>
      <c r="M364" s="10">
        <v>21.35</v>
      </c>
      <c r="N364" s="2">
        <f t="shared" si="12"/>
        <v>307.44790999999998</v>
      </c>
      <c r="O364" s="2">
        <f t="shared" si="11"/>
        <v>141.14272000000003</v>
      </c>
      <c r="P364">
        <v>0</v>
      </c>
    </row>
    <row r="365" spans="1:16" x14ac:dyDescent="0.25">
      <c r="A365" s="15"/>
      <c r="B365" s="15"/>
      <c r="C365">
        <v>30</v>
      </c>
      <c r="D365">
        <v>291.41000000000003</v>
      </c>
      <c r="E365">
        <v>124.89</v>
      </c>
      <c r="F365">
        <v>812.2</v>
      </c>
      <c r="G365">
        <v>1046.7</v>
      </c>
      <c r="H365">
        <v>0</v>
      </c>
      <c r="I365">
        <v>0</v>
      </c>
      <c r="J365">
        <v>0</v>
      </c>
      <c r="K365">
        <v>179.1</v>
      </c>
      <c r="L365">
        <v>21</v>
      </c>
      <c r="M365" s="10">
        <v>20.21</v>
      </c>
      <c r="N365" s="2">
        <f t="shared" si="12"/>
        <v>307.44790999999998</v>
      </c>
      <c r="O365" s="2">
        <f t="shared" si="11"/>
        <v>141.14272000000003</v>
      </c>
      <c r="P365">
        <v>0</v>
      </c>
    </row>
    <row r="366" spans="1:16" x14ac:dyDescent="0.25">
      <c r="A366" s="15"/>
      <c r="B366" s="15"/>
      <c r="C366">
        <v>30</v>
      </c>
      <c r="D366">
        <v>291.41000000000003</v>
      </c>
      <c r="E366">
        <v>124.89</v>
      </c>
      <c r="F366">
        <v>812.2</v>
      </c>
      <c r="G366">
        <v>1046.7</v>
      </c>
      <c r="H366">
        <v>0</v>
      </c>
      <c r="I366">
        <v>0</v>
      </c>
      <c r="J366">
        <v>0</v>
      </c>
      <c r="K366">
        <v>179.1</v>
      </c>
      <c r="L366">
        <v>56</v>
      </c>
      <c r="M366" s="10">
        <v>23.4</v>
      </c>
      <c r="N366" s="2">
        <f t="shared" si="12"/>
        <v>307.44790999999998</v>
      </c>
      <c r="O366" s="2">
        <f t="shared" si="11"/>
        <v>141.14272000000003</v>
      </c>
      <c r="P366">
        <v>0</v>
      </c>
    </row>
    <row r="367" spans="1:16" x14ac:dyDescent="0.25">
      <c r="A367" s="15"/>
      <c r="B367" s="15"/>
      <c r="C367">
        <v>30</v>
      </c>
      <c r="D367">
        <v>291.41000000000003</v>
      </c>
      <c r="E367">
        <v>124.89</v>
      </c>
      <c r="F367">
        <v>812.2</v>
      </c>
      <c r="G367">
        <v>1046.7</v>
      </c>
      <c r="H367">
        <v>0</v>
      </c>
      <c r="I367">
        <v>0</v>
      </c>
      <c r="J367">
        <v>0</v>
      </c>
      <c r="K367">
        <v>179.1</v>
      </c>
      <c r="L367">
        <v>90</v>
      </c>
      <c r="M367" s="10">
        <v>27.51</v>
      </c>
      <c r="N367" s="2">
        <f t="shared" si="12"/>
        <v>307.44790999999998</v>
      </c>
      <c r="O367" s="2">
        <f t="shared" si="11"/>
        <v>141.14272000000003</v>
      </c>
      <c r="P367">
        <v>0</v>
      </c>
    </row>
    <row r="368" spans="1:16" x14ac:dyDescent="0.25">
      <c r="A368" s="15"/>
      <c r="B368" s="15"/>
      <c r="C368">
        <v>35</v>
      </c>
      <c r="D368">
        <v>270.59500000000003</v>
      </c>
      <c r="E368">
        <v>145.70500000000001</v>
      </c>
      <c r="F368">
        <v>812.2</v>
      </c>
      <c r="G368">
        <v>1046.7</v>
      </c>
      <c r="H368">
        <v>0</v>
      </c>
      <c r="I368">
        <v>0</v>
      </c>
      <c r="J368">
        <v>0</v>
      </c>
      <c r="K368">
        <v>179.1</v>
      </c>
      <c r="L368">
        <v>14</v>
      </c>
      <c r="M368" s="10">
        <v>23.5</v>
      </c>
      <c r="N368" s="2">
        <f t="shared" si="12"/>
        <v>291.21221000000003</v>
      </c>
      <c r="O368" s="2">
        <f t="shared" si="11"/>
        <v>133.28505750000002</v>
      </c>
      <c r="P368">
        <v>0</v>
      </c>
    </row>
    <row r="369" spans="1:16" x14ac:dyDescent="0.25">
      <c r="A369" s="15"/>
      <c r="B369" s="15"/>
      <c r="C369">
        <v>35</v>
      </c>
      <c r="D369">
        <v>270.59500000000003</v>
      </c>
      <c r="E369">
        <v>145.70500000000001</v>
      </c>
      <c r="F369">
        <v>812.2</v>
      </c>
      <c r="G369">
        <v>1046.7</v>
      </c>
      <c r="H369">
        <v>0</v>
      </c>
      <c r="I369">
        <v>0</v>
      </c>
      <c r="J369">
        <v>0</v>
      </c>
      <c r="K369">
        <v>179.1</v>
      </c>
      <c r="L369">
        <v>21</v>
      </c>
      <c r="M369" s="10">
        <v>23.12</v>
      </c>
      <c r="N369" s="2">
        <f t="shared" si="12"/>
        <v>291.21221000000003</v>
      </c>
      <c r="O369" s="2">
        <f t="shared" si="11"/>
        <v>133.28505750000002</v>
      </c>
      <c r="P369">
        <v>0</v>
      </c>
    </row>
    <row r="370" spans="1:16" x14ac:dyDescent="0.25">
      <c r="A370" s="15"/>
      <c r="B370" s="15"/>
      <c r="C370">
        <v>35</v>
      </c>
      <c r="D370">
        <v>270.59500000000003</v>
      </c>
      <c r="E370">
        <v>145.70500000000001</v>
      </c>
      <c r="F370">
        <v>812.2</v>
      </c>
      <c r="G370">
        <v>1046.7</v>
      </c>
      <c r="H370">
        <v>0</v>
      </c>
      <c r="I370">
        <v>0</v>
      </c>
      <c r="J370">
        <v>0</v>
      </c>
      <c r="K370">
        <v>179.1</v>
      </c>
      <c r="L370">
        <v>56</v>
      </c>
      <c r="M370" s="10">
        <v>25.35</v>
      </c>
      <c r="N370" s="2">
        <f t="shared" si="12"/>
        <v>291.21221000000003</v>
      </c>
      <c r="O370" s="2">
        <f t="shared" si="11"/>
        <v>133.28505750000002</v>
      </c>
      <c r="P370">
        <v>0</v>
      </c>
    </row>
    <row r="371" spans="1:16" x14ac:dyDescent="0.25">
      <c r="A371" s="15"/>
      <c r="B371" s="15"/>
      <c r="C371">
        <v>35</v>
      </c>
      <c r="D371">
        <v>270.59500000000003</v>
      </c>
      <c r="E371">
        <v>145.70500000000001</v>
      </c>
      <c r="F371">
        <v>812.2</v>
      </c>
      <c r="G371">
        <v>1046.7</v>
      </c>
      <c r="H371">
        <v>0</v>
      </c>
      <c r="I371">
        <v>0</v>
      </c>
      <c r="J371">
        <v>0</v>
      </c>
      <c r="K371">
        <v>179.1</v>
      </c>
      <c r="L371">
        <v>90</v>
      </c>
      <c r="M371" s="10">
        <v>27.36</v>
      </c>
      <c r="N371" s="2">
        <f t="shared" si="12"/>
        <v>291.21221000000003</v>
      </c>
      <c r="O371" s="2">
        <f t="shared" si="11"/>
        <v>133.28505750000002</v>
      </c>
      <c r="P371">
        <v>0</v>
      </c>
    </row>
    <row r="372" spans="1:16" x14ac:dyDescent="0.25">
      <c r="A372" s="15"/>
      <c r="B372" s="15"/>
      <c r="C372">
        <v>40</v>
      </c>
      <c r="D372">
        <v>249.78</v>
      </c>
      <c r="E372">
        <v>166.52</v>
      </c>
      <c r="F372">
        <v>812.2</v>
      </c>
      <c r="G372">
        <v>1046.7</v>
      </c>
      <c r="H372">
        <v>0</v>
      </c>
      <c r="I372">
        <v>0</v>
      </c>
      <c r="J372">
        <v>0</v>
      </c>
      <c r="K372">
        <v>179.1</v>
      </c>
      <c r="L372">
        <v>14</v>
      </c>
      <c r="M372" s="10">
        <v>18.149999999999999</v>
      </c>
      <c r="N372" s="2">
        <f t="shared" si="12"/>
        <v>274.97650999999996</v>
      </c>
      <c r="O372" s="2">
        <f t="shared" si="11"/>
        <v>125.427395</v>
      </c>
      <c r="P372">
        <v>0</v>
      </c>
    </row>
    <row r="373" spans="1:16" x14ac:dyDescent="0.25">
      <c r="A373" s="15"/>
      <c r="B373" s="15"/>
      <c r="C373">
        <v>40</v>
      </c>
      <c r="D373">
        <v>249.78</v>
      </c>
      <c r="E373">
        <v>166.52</v>
      </c>
      <c r="F373">
        <v>812.2</v>
      </c>
      <c r="G373">
        <v>1046.7</v>
      </c>
      <c r="H373">
        <v>0</v>
      </c>
      <c r="I373">
        <v>0</v>
      </c>
      <c r="J373">
        <v>0</v>
      </c>
      <c r="K373">
        <v>179.1</v>
      </c>
      <c r="L373">
        <v>21</v>
      </c>
      <c r="M373" s="10">
        <v>20.07</v>
      </c>
      <c r="N373" s="2">
        <f t="shared" ref="N373:N432" si="13">SUM((D373*0.83)+(E373*0.05)+(F373*0.0139)+(G373*0.0459)+(H373*2))</f>
        <v>274.97650999999996</v>
      </c>
      <c r="O373" s="2">
        <f t="shared" si="11"/>
        <v>125.427395</v>
      </c>
      <c r="P373">
        <v>0</v>
      </c>
    </row>
    <row r="374" spans="1:16" x14ac:dyDescent="0.25">
      <c r="A374" s="15"/>
      <c r="B374" s="15"/>
      <c r="C374">
        <v>40</v>
      </c>
      <c r="D374">
        <v>249.78</v>
      </c>
      <c r="E374">
        <v>166.52</v>
      </c>
      <c r="F374">
        <v>812.2</v>
      </c>
      <c r="G374">
        <v>1046.7</v>
      </c>
      <c r="H374">
        <v>0</v>
      </c>
      <c r="I374">
        <v>0</v>
      </c>
      <c r="J374">
        <v>0</v>
      </c>
      <c r="K374">
        <v>179.1</v>
      </c>
      <c r="L374">
        <v>56</v>
      </c>
      <c r="M374" s="10">
        <v>20.69</v>
      </c>
      <c r="N374" s="2">
        <f t="shared" si="13"/>
        <v>274.97650999999996</v>
      </c>
      <c r="O374" s="2">
        <f t="shared" si="11"/>
        <v>125.427395</v>
      </c>
      <c r="P374">
        <v>0</v>
      </c>
    </row>
    <row r="375" spans="1:16" x14ac:dyDescent="0.25">
      <c r="A375" s="15"/>
      <c r="B375" s="15"/>
      <c r="C375">
        <v>40</v>
      </c>
      <c r="D375">
        <v>249.78</v>
      </c>
      <c r="E375">
        <v>166.52</v>
      </c>
      <c r="F375">
        <v>812.2</v>
      </c>
      <c r="G375">
        <v>1046.7</v>
      </c>
      <c r="H375">
        <v>0</v>
      </c>
      <c r="I375">
        <v>0</v>
      </c>
      <c r="J375">
        <v>0</v>
      </c>
      <c r="K375">
        <v>179.1</v>
      </c>
      <c r="L375">
        <v>90</v>
      </c>
      <c r="M375" s="10">
        <v>25.05</v>
      </c>
      <c r="N375" s="2">
        <f t="shared" si="13"/>
        <v>274.97650999999996</v>
      </c>
      <c r="O375" s="2">
        <f t="shared" si="11"/>
        <v>125.427395</v>
      </c>
      <c r="P375">
        <v>0</v>
      </c>
    </row>
    <row r="376" spans="1:16" x14ac:dyDescent="0.25">
      <c r="A376" s="15"/>
      <c r="B376" s="15"/>
      <c r="C376">
        <v>45</v>
      </c>
      <c r="D376">
        <v>228.965</v>
      </c>
      <c r="E376">
        <v>187.33500000000001</v>
      </c>
      <c r="F376">
        <v>812.2</v>
      </c>
      <c r="G376">
        <v>1046.7</v>
      </c>
      <c r="H376">
        <v>0</v>
      </c>
      <c r="I376">
        <v>0</v>
      </c>
      <c r="J376">
        <v>0</v>
      </c>
      <c r="K376">
        <v>179.1</v>
      </c>
      <c r="L376">
        <v>14</v>
      </c>
      <c r="M376" s="10">
        <v>21.43</v>
      </c>
      <c r="N376" s="2">
        <f t="shared" si="13"/>
        <v>258.74081000000001</v>
      </c>
      <c r="O376" s="2">
        <f t="shared" si="11"/>
        <v>117.5697325</v>
      </c>
      <c r="P376">
        <v>0</v>
      </c>
    </row>
    <row r="377" spans="1:16" x14ac:dyDescent="0.25">
      <c r="A377" s="15"/>
      <c r="B377" s="15"/>
      <c r="C377">
        <v>45</v>
      </c>
      <c r="D377">
        <v>228.965</v>
      </c>
      <c r="E377">
        <v>187.33500000000001</v>
      </c>
      <c r="F377">
        <v>812.2</v>
      </c>
      <c r="G377">
        <v>1046.7</v>
      </c>
      <c r="H377">
        <v>0</v>
      </c>
      <c r="I377">
        <v>0</v>
      </c>
      <c r="J377">
        <v>0</v>
      </c>
      <c r="K377">
        <v>179.1</v>
      </c>
      <c r="L377">
        <v>21</v>
      </c>
      <c r="M377" s="10">
        <v>19.72</v>
      </c>
      <c r="N377" s="2">
        <f t="shared" si="13"/>
        <v>258.74081000000001</v>
      </c>
      <c r="O377" s="2">
        <f t="shared" si="11"/>
        <v>117.5697325</v>
      </c>
      <c r="P377">
        <v>0</v>
      </c>
    </row>
    <row r="378" spans="1:16" x14ac:dyDescent="0.25">
      <c r="A378" s="15"/>
      <c r="B378" s="15"/>
      <c r="C378">
        <v>45</v>
      </c>
      <c r="D378">
        <v>228.965</v>
      </c>
      <c r="E378">
        <v>187.33500000000001</v>
      </c>
      <c r="F378">
        <v>812.2</v>
      </c>
      <c r="G378">
        <v>1046.7</v>
      </c>
      <c r="H378">
        <v>0</v>
      </c>
      <c r="I378">
        <v>0</v>
      </c>
      <c r="J378">
        <v>0</v>
      </c>
      <c r="K378">
        <v>179.1</v>
      </c>
      <c r="L378">
        <v>56</v>
      </c>
      <c r="M378" s="10">
        <v>22.73</v>
      </c>
      <c r="N378" s="2">
        <f t="shared" si="13"/>
        <v>258.74081000000001</v>
      </c>
      <c r="O378" s="2">
        <f t="shared" si="11"/>
        <v>117.5697325</v>
      </c>
      <c r="P378">
        <v>0</v>
      </c>
    </row>
    <row r="379" spans="1:16" x14ac:dyDescent="0.25">
      <c r="A379" s="15"/>
      <c r="B379" s="15"/>
      <c r="C379">
        <v>45</v>
      </c>
      <c r="D379">
        <v>228.965</v>
      </c>
      <c r="E379">
        <v>187.33500000000001</v>
      </c>
      <c r="F379">
        <v>812.2</v>
      </c>
      <c r="G379">
        <v>1046.7</v>
      </c>
      <c r="H379">
        <v>0</v>
      </c>
      <c r="I379">
        <v>0</v>
      </c>
      <c r="J379">
        <v>0</v>
      </c>
      <c r="K379">
        <v>179.1</v>
      </c>
      <c r="L379">
        <v>90</v>
      </c>
      <c r="M379" s="10">
        <v>19.649999999999999</v>
      </c>
      <c r="N379" s="2">
        <f t="shared" si="13"/>
        <v>258.74081000000001</v>
      </c>
      <c r="O379" s="2">
        <f t="shared" si="11"/>
        <v>117.5697325</v>
      </c>
      <c r="P379">
        <v>0</v>
      </c>
    </row>
    <row r="380" spans="1:16" x14ac:dyDescent="0.25">
      <c r="A380" s="15"/>
      <c r="B380" s="15"/>
      <c r="C380">
        <v>50</v>
      </c>
      <c r="D380">
        <v>208.15</v>
      </c>
      <c r="E380">
        <v>208.15</v>
      </c>
      <c r="F380">
        <v>812.2</v>
      </c>
      <c r="G380">
        <v>1046.7</v>
      </c>
      <c r="H380">
        <v>0</v>
      </c>
      <c r="I380">
        <v>0</v>
      </c>
      <c r="J380">
        <v>0</v>
      </c>
      <c r="K380">
        <v>179.1</v>
      </c>
      <c r="L380">
        <v>14</v>
      </c>
      <c r="M380" s="10">
        <v>15</v>
      </c>
      <c r="N380" s="2">
        <f t="shared" si="13"/>
        <v>242.50511</v>
      </c>
      <c r="O380" s="2">
        <f t="shared" si="11"/>
        <v>109.71207</v>
      </c>
      <c r="P380">
        <v>0</v>
      </c>
    </row>
    <row r="381" spans="1:16" x14ac:dyDescent="0.25">
      <c r="A381" s="15"/>
      <c r="B381" s="15"/>
      <c r="C381">
        <v>50</v>
      </c>
      <c r="D381">
        <v>208.15</v>
      </c>
      <c r="E381">
        <v>208.15</v>
      </c>
      <c r="F381">
        <v>812.2</v>
      </c>
      <c r="G381">
        <v>1046.7</v>
      </c>
      <c r="H381">
        <v>0</v>
      </c>
      <c r="I381">
        <v>0</v>
      </c>
      <c r="J381">
        <v>0</v>
      </c>
      <c r="K381">
        <v>179.1</v>
      </c>
      <c r="L381">
        <v>21</v>
      </c>
      <c r="M381" s="10">
        <v>18.8</v>
      </c>
      <c r="N381" s="2">
        <f t="shared" si="13"/>
        <v>242.50511</v>
      </c>
      <c r="O381" s="2">
        <f t="shared" si="11"/>
        <v>109.71207</v>
      </c>
      <c r="P381">
        <v>0</v>
      </c>
    </row>
    <row r="382" spans="1:16" x14ac:dyDescent="0.25">
      <c r="A382" s="15"/>
      <c r="B382" s="15"/>
      <c r="C382">
        <v>50</v>
      </c>
      <c r="D382">
        <v>208.15</v>
      </c>
      <c r="E382">
        <v>208.15</v>
      </c>
      <c r="F382">
        <v>812.2</v>
      </c>
      <c r="G382">
        <v>1046.7</v>
      </c>
      <c r="H382">
        <v>0</v>
      </c>
      <c r="I382">
        <v>0</v>
      </c>
      <c r="J382">
        <v>0</v>
      </c>
      <c r="K382">
        <v>179.1</v>
      </c>
      <c r="L382">
        <v>56</v>
      </c>
      <c r="M382" s="10">
        <v>23.02</v>
      </c>
      <c r="N382" s="2">
        <f t="shared" si="13"/>
        <v>242.50511</v>
      </c>
      <c r="O382" s="2">
        <f t="shared" si="11"/>
        <v>109.71207</v>
      </c>
      <c r="P382">
        <v>0</v>
      </c>
    </row>
    <row r="383" spans="1:16" x14ac:dyDescent="0.25">
      <c r="A383" s="15"/>
      <c r="B383" s="15"/>
      <c r="C383">
        <v>50</v>
      </c>
      <c r="D383">
        <v>208.15</v>
      </c>
      <c r="E383">
        <v>208.15</v>
      </c>
      <c r="F383">
        <v>812.2</v>
      </c>
      <c r="G383">
        <v>1046.7</v>
      </c>
      <c r="H383">
        <v>0</v>
      </c>
      <c r="I383">
        <v>0</v>
      </c>
      <c r="J383">
        <v>0</v>
      </c>
      <c r="K383">
        <v>179.1</v>
      </c>
      <c r="L383">
        <v>90</v>
      </c>
      <c r="M383" s="10">
        <v>20.09</v>
      </c>
      <c r="N383" s="2">
        <f t="shared" si="13"/>
        <v>242.50511</v>
      </c>
      <c r="O383" s="2">
        <f t="shared" si="11"/>
        <v>109.71207</v>
      </c>
      <c r="P383">
        <v>0</v>
      </c>
    </row>
    <row r="384" spans="1:16" x14ac:dyDescent="0.25">
      <c r="A384" s="15" t="s">
        <v>117</v>
      </c>
      <c r="B384" s="15" t="s">
        <v>118</v>
      </c>
      <c r="C384">
        <v>0</v>
      </c>
      <c r="D384">
        <v>527.5</v>
      </c>
      <c r="E384">
        <v>0</v>
      </c>
      <c r="F384">
        <v>783.5</v>
      </c>
      <c r="G384">
        <v>1008.4</v>
      </c>
      <c r="H384">
        <v>0</v>
      </c>
      <c r="I384">
        <v>0</v>
      </c>
      <c r="J384">
        <v>0</v>
      </c>
      <c r="K384">
        <v>186.1</v>
      </c>
      <c r="L384">
        <v>14</v>
      </c>
      <c r="M384" s="10">
        <v>25</v>
      </c>
      <c r="N384" s="2">
        <f t="shared" si="13"/>
        <v>495.00121000000001</v>
      </c>
      <c r="O384" s="2">
        <f t="shared" si="11"/>
        <v>229.14665249999999</v>
      </c>
      <c r="P384">
        <v>0</v>
      </c>
    </row>
    <row r="385" spans="1:16" x14ac:dyDescent="0.25">
      <c r="A385" s="15"/>
      <c r="B385" s="15"/>
      <c r="C385">
        <v>0</v>
      </c>
      <c r="D385">
        <v>527.5</v>
      </c>
      <c r="E385">
        <v>0</v>
      </c>
      <c r="F385">
        <v>783.5</v>
      </c>
      <c r="G385">
        <v>1008.4</v>
      </c>
      <c r="H385">
        <v>0</v>
      </c>
      <c r="I385">
        <v>0</v>
      </c>
      <c r="J385">
        <v>0</v>
      </c>
      <c r="K385">
        <v>186.1</v>
      </c>
      <c r="L385">
        <v>56</v>
      </c>
      <c r="M385" s="10">
        <v>28.95</v>
      </c>
      <c r="N385" s="2">
        <f t="shared" si="13"/>
        <v>495.00121000000001</v>
      </c>
      <c r="O385" s="2">
        <f t="shared" si="11"/>
        <v>229.14665249999999</v>
      </c>
      <c r="P385">
        <v>0</v>
      </c>
    </row>
    <row r="386" spans="1:16" x14ac:dyDescent="0.25">
      <c r="A386" s="15"/>
      <c r="B386" s="15"/>
      <c r="C386">
        <v>0</v>
      </c>
      <c r="D386">
        <v>527.5</v>
      </c>
      <c r="E386">
        <v>0</v>
      </c>
      <c r="F386">
        <v>783.5</v>
      </c>
      <c r="G386">
        <v>1008.4</v>
      </c>
      <c r="H386">
        <v>0</v>
      </c>
      <c r="I386">
        <v>0</v>
      </c>
      <c r="J386">
        <v>0</v>
      </c>
      <c r="K386">
        <v>186.1</v>
      </c>
      <c r="L386">
        <v>90</v>
      </c>
      <c r="M386" s="10">
        <v>31.69</v>
      </c>
      <c r="N386" s="2">
        <f t="shared" si="13"/>
        <v>495.00121000000001</v>
      </c>
      <c r="O386" s="2">
        <f t="shared" si="11"/>
        <v>229.14665249999999</v>
      </c>
      <c r="P386">
        <v>0</v>
      </c>
    </row>
    <row r="387" spans="1:16" x14ac:dyDescent="0.25">
      <c r="A387" s="15"/>
      <c r="B387" s="15"/>
      <c r="C387">
        <v>5</v>
      </c>
      <c r="D387">
        <v>501.125</v>
      </c>
      <c r="E387">
        <v>26.375</v>
      </c>
      <c r="F387">
        <v>783.5</v>
      </c>
      <c r="G387">
        <v>1008.4</v>
      </c>
      <c r="H387">
        <v>0</v>
      </c>
      <c r="I387">
        <v>0</v>
      </c>
      <c r="J387">
        <v>0</v>
      </c>
      <c r="K387">
        <v>186.1</v>
      </c>
      <c r="L387">
        <v>14</v>
      </c>
      <c r="M387" s="10">
        <v>27.2</v>
      </c>
      <c r="N387" s="2">
        <f t="shared" si="13"/>
        <v>474.42871000000002</v>
      </c>
      <c r="O387" s="2">
        <f t="shared" ref="O387:O450" si="14">SUM((D387*5)+((F387*0.25)+(G387*0.2)+(H387*20)))*0.0755</f>
        <v>219.19008999999997</v>
      </c>
      <c r="P387">
        <v>0</v>
      </c>
    </row>
    <row r="388" spans="1:16" x14ac:dyDescent="0.25">
      <c r="A388" s="15"/>
      <c r="B388" s="15"/>
      <c r="C388">
        <v>5</v>
      </c>
      <c r="D388">
        <v>501.125</v>
      </c>
      <c r="E388">
        <v>26.375</v>
      </c>
      <c r="F388">
        <v>783.5</v>
      </c>
      <c r="G388">
        <v>1008.4</v>
      </c>
      <c r="H388">
        <v>0</v>
      </c>
      <c r="I388">
        <v>0</v>
      </c>
      <c r="J388">
        <v>0</v>
      </c>
      <c r="K388">
        <v>186.1</v>
      </c>
      <c r="L388">
        <v>56</v>
      </c>
      <c r="M388" s="10">
        <v>29.49</v>
      </c>
      <c r="N388" s="2">
        <f t="shared" si="13"/>
        <v>474.42871000000002</v>
      </c>
      <c r="O388" s="2">
        <f t="shared" si="14"/>
        <v>219.19008999999997</v>
      </c>
      <c r="P388">
        <v>0</v>
      </c>
    </row>
    <row r="389" spans="1:16" x14ac:dyDescent="0.25">
      <c r="A389" s="15"/>
      <c r="B389" s="15"/>
      <c r="C389">
        <v>5</v>
      </c>
      <c r="D389">
        <v>501.125</v>
      </c>
      <c r="E389">
        <v>26.375</v>
      </c>
      <c r="F389">
        <v>783.5</v>
      </c>
      <c r="G389">
        <v>1008.4</v>
      </c>
      <c r="H389">
        <v>0</v>
      </c>
      <c r="I389">
        <v>0</v>
      </c>
      <c r="J389">
        <v>0</v>
      </c>
      <c r="K389">
        <v>186.1</v>
      </c>
      <c r="L389">
        <v>90</v>
      </c>
      <c r="M389" s="10">
        <v>29.39</v>
      </c>
      <c r="N389" s="2">
        <f t="shared" si="13"/>
        <v>474.42871000000002</v>
      </c>
      <c r="O389" s="2">
        <f t="shared" si="14"/>
        <v>219.19008999999997</v>
      </c>
      <c r="P389">
        <v>0</v>
      </c>
    </row>
    <row r="390" spans="1:16" x14ac:dyDescent="0.25">
      <c r="A390" s="15"/>
      <c r="B390" s="15"/>
      <c r="C390">
        <v>10</v>
      </c>
      <c r="D390">
        <v>474.75</v>
      </c>
      <c r="E390">
        <v>52.75</v>
      </c>
      <c r="F390">
        <v>783.5</v>
      </c>
      <c r="G390">
        <v>1008.4</v>
      </c>
      <c r="H390">
        <v>0</v>
      </c>
      <c r="I390">
        <v>0</v>
      </c>
      <c r="J390">
        <v>0</v>
      </c>
      <c r="K390">
        <v>186.1</v>
      </c>
      <c r="L390">
        <v>14</v>
      </c>
      <c r="M390" s="10">
        <v>23.4</v>
      </c>
      <c r="N390" s="2">
        <f t="shared" si="13"/>
        <v>453.85620999999992</v>
      </c>
      <c r="O390" s="2">
        <f t="shared" si="14"/>
        <v>209.23352749999998</v>
      </c>
      <c r="P390">
        <v>0</v>
      </c>
    </row>
    <row r="391" spans="1:16" x14ac:dyDescent="0.25">
      <c r="A391" s="15"/>
      <c r="B391" s="15"/>
      <c r="C391">
        <v>10</v>
      </c>
      <c r="D391">
        <v>474.75</v>
      </c>
      <c r="E391">
        <v>52.75</v>
      </c>
      <c r="F391">
        <v>783.5</v>
      </c>
      <c r="G391">
        <v>1008.4</v>
      </c>
      <c r="H391">
        <v>0</v>
      </c>
      <c r="I391">
        <v>0</v>
      </c>
      <c r="J391">
        <v>0</v>
      </c>
      <c r="K391">
        <v>186.1</v>
      </c>
      <c r="L391">
        <v>56</v>
      </c>
      <c r="M391" s="10">
        <v>29.66</v>
      </c>
      <c r="N391" s="2">
        <f t="shared" si="13"/>
        <v>453.85620999999992</v>
      </c>
      <c r="O391" s="2">
        <f t="shared" si="14"/>
        <v>209.23352749999998</v>
      </c>
      <c r="P391">
        <v>0</v>
      </c>
    </row>
    <row r="392" spans="1:16" x14ac:dyDescent="0.25">
      <c r="A392" s="15"/>
      <c r="B392" s="15"/>
      <c r="C392">
        <v>10</v>
      </c>
      <c r="D392">
        <v>474.75</v>
      </c>
      <c r="E392">
        <v>52.75</v>
      </c>
      <c r="F392">
        <v>783.5</v>
      </c>
      <c r="G392">
        <v>1008.4</v>
      </c>
      <c r="H392">
        <v>0</v>
      </c>
      <c r="I392">
        <v>0</v>
      </c>
      <c r="J392">
        <v>0</v>
      </c>
      <c r="K392">
        <v>186.1</v>
      </c>
      <c r="L392">
        <v>90</v>
      </c>
      <c r="M392" s="10">
        <v>31.46</v>
      </c>
      <c r="N392" s="2">
        <f t="shared" si="13"/>
        <v>453.85620999999992</v>
      </c>
      <c r="O392" s="2">
        <f t="shared" si="14"/>
        <v>209.23352749999998</v>
      </c>
      <c r="P392">
        <v>0</v>
      </c>
    </row>
    <row r="393" spans="1:16" x14ac:dyDescent="0.25">
      <c r="A393" s="15"/>
      <c r="B393" s="15"/>
      <c r="C393">
        <v>15</v>
      </c>
      <c r="D393">
        <v>448.375</v>
      </c>
      <c r="E393">
        <v>79.125</v>
      </c>
      <c r="F393">
        <v>783.5</v>
      </c>
      <c r="G393">
        <v>1008.4</v>
      </c>
      <c r="H393">
        <v>0</v>
      </c>
      <c r="I393">
        <v>0</v>
      </c>
      <c r="J393">
        <v>0</v>
      </c>
      <c r="K393">
        <v>186.1</v>
      </c>
      <c r="L393">
        <v>14</v>
      </c>
      <c r="M393" s="10">
        <v>22.32</v>
      </c>
      <c r="N393" s="2">
        <f t="shared" si="13"/>
        <v>433.28371000000004</v>
      </c>
      <c r="O393" s="2">
        <f t="shared" si="14"/>
        <v>199.27696499999999</v>
      </c>
      <c r="P393">
        <v>0</v>
      </c>
    </row>
    <row r="394" spans="1:16" x14ac:dyDescent="0.25">
      <c r="A394" s="15"/>
      <c r="B394" s="15"/>
      <c r="C394">
        <v>15</v>
      </c>
      <c r="D394">
        <v>448.375</v>
      </c>
      <c r="E394">
        <v>79.125</v>
      </c>
      <c r="F394">
        <v>783.5</v>
      </c>
      <c r="G394">
        <v>1008.4</v>
      </c>
      <c r="H394">
        <v>0</v>
      </c>
      <c r="I394">
        <v>0</v>
      </c>
      <c r="J394">
        <v>0</v>
      </c>
      <c r="K394">
        <v>186.1</v>
      </c>
      <c r="L394">
        <v>56</v>
      </c>
      <c r="M394" s="10">
        <v>30.58</v>
      </c>
      <c r="N394" s="2">
        <f t="shared" si="13"/>
        <v>433.28371000000004</v>
      </c>
      <c r="O394" s="2">
        <f t="shared" si="14"/>
        <v>199.27696499999999</v>
      </c>
      <c r="P394">
        <v>0</v>
      </c>
    </row>
    <row r="395" spans="1:16" x14ac:dyDescent="0.25">
      <c r="A395" s="15"/>
      <c r="B395" s="15"/>
      <c r="C395">
        <v>15</v>
      </c>
      <c r="D395">
        <v>448.375</v>
      </c>
      <c r="E395">
        <v>79.125</v>
      </c>
      <c r="F395">
        <v>783.5</v>
      </c>
      <c r="G395">
        <v>1008.4</v>
      </c>
      <c r="H395">
        <v>0</v>
      </c>
      <c r="I395">
        <v>0</v>
      </c>
      <c r="J395">
        <v>0</v>
      </c>
      <c r="K395">
        <v>186.1</v>
      </c>
      <c r="L395">
        <v>90</v>
      </c>
      <c r="M395" s="10">
        <v>32.14</v>
      </c>
      <c r="N395" s="2">
        <f t="shared" si="13"/>
        <v>433.28371000000004</v>
      </c>
      <c r="O395" s="2">
        <f t="shared" si="14"/>
        <v>199.27696499999999</v>
      </c>
      <c r="P395">
        <v>0</v>
      </c>
    </row>
    <row r="396" spans="1:16" x14ac:dyDescent="0.25">
      <c r="A396" s="15"/>
      <c r="B396" s="15"/>
      <c r="C396">
        <v>20</v>
      </c>
      <c r="D396">
        <v>422</v>
      </c>
      <c r="E396">
        <v>105.5</v>
      </c>
      <c r="F396">
        <v>783.5</v>
      </c>
      <c r="G396">
        <v>1008.4</v>
      </c>
      <c r="H396">
        <v>0</v>
      </c>
      <c r="I396">
        <v>0</v>
      </c>
      <c r="J396">
        <v>0</v>
      </c>
      <c r="K396">
        <v>186.1</v>
      </c>
      <c r="L396">
        <v>14</v>
      </c>
      <c r="M396" s="10">
        <v>20.28</v>
      </c>
      <c r="N396" s="2">
        <f t="shared" si="13"/>
        <v>412.71120999999994</v>
      </c>
      <c r="O396" s="2">
        <f t="shared" si="14"/>
        <v>189.32040249999997</v>
      </c>
      <c r="P396">
        <v>0</v>
      </c>
    </row>
    <row r="397" spans="1:16" x14ac:dyDescent="0.25">
      <c r="A397" s="15"/>
      <c r="B397" s="15"/>
      <c r="C397">
        <v>20</v>
      </c>
      <c r="D397">
        <v>422</v>
      </c>
      <c r="E397">
        <v>105.5</v>
      </c>
      <c r="F397">
        <v>783.5</v>
      </c>
      <c r="G397">
        <v>1008.4</v>
      </c>
      <c r="H397">
        <v>0</v>
      </c>
      <c r="I397">
        <v>0</v>
      </c>
      <c r="J397">
        <v>0</v>
      </c>
      <c r="K397">
        <v>186.1</v>
      </c>
      <c r="L397">
        <v>56</v>
      </c>
      <c r="M397" s="10">
        <v>23.32</v>
      </c>
      <c r="N397" s="2">
        <f t="shared" si="13"/>
        <v>412.71120999999994</v>
      </c>
      <c r="O397" s="2">
        <f t="shared" si="14"/>
        <v>189.32040249999997</v>
      </c>
      <c r="P397">
        <v>0</v>
      </c>
    </row>
    <row r="398" spans="1:16" x14ac:dyDescent="0.25">
      <c r="A398" s="15"/>
      <c r="B398" s="15"/>
      <c r="C398">
        <v>20</v>
      </c>
      <c r="D398">
        <v>422</v>
      </c>
      <c r="E398">
        <v>105.5</v>
      </c>
      <c r="F398">
        <v>783.5</v>
      </c>
      <c r="G398">
        <v>1008.4</v>
      </c>
      <c r="H398">
        <v>0</v>
      </c>
      <c r="I398">
        <v>0</v>
      </c>
      <c r="J398">
        <v>0</v>
      </c>
      <c r="K398">
        <v>186.1</v>
      </c>
      <c r="L398">
        <v>90</v>
      </c>
      <c r="M398" s="10">
        <v>31.3</v>
      </c>
      <c r="N398" s="2">
        <f t="shared" si="13"/>
        <v>412.71120999999994</v>
      </c>
      <c r="O398" s="2">
        <f t="shared" si="14"/>
        <v>189.32040249999997</v>
      </c>
      <c r="P398">
        <v>0</v>
      </c>
    </row>
    <row r="399" spans="1:16" x14ac:dyDescent="0.25">
      <c r="A399" s="15"/>
      <c r="B399" s="15"/>
      <c r="C399">
        <v>25</v>
      </c>
      <c r="D399">
        <v>395.625</v>
      </c>
      <c r="E399">
        <v>131.875</v>
      </c>
      <c r="F399">
        <v>783.5</v>
      </c>
      <c r="G399">
        <v>1008.4</v>
      </c>
      <c r="H399">
        <v>0</v>
      </c>
      <c r="I399">
        <v>0</v>
      </c>
      <c r="J399">
        <v>0</v>
      </c>
      <c r="K399">
        <v>186.1</v>
      </c>
      <c r="L399">
        <v>14</v>
      </c>
      <c r="M399" s="10">
        <v>22.43</v>
      </c>
      <c r="N399" s="2">
        <f t="shared" si="13"/>
        <v>392.13870999999995</v>
      </c>
      <c r="O399" s="2">
        <f t="shared" si="14"/>
        <v>179.36383999999998</v>
      </c>
      <c r="P399">
        <v>0</v>
      </c>
    </row>
    <row r="400" spans="1:16" x14ac:dyDescent="0.25">
      <c r="A400" s="15"/>
      <c r="B400" s="15"/>
      <c r="C400">
        <v>25</v>
      </c>
      <c r="D400">
        <v>395.625</v>
      </c>
      <c r="E400">
        <v>131.875</v>
      </c>
      <c r="F400">
        <v>783.5</v>
      </c>
      <c r="G400">
        <v>1008.4</v>
      </c>
      <c r="H400">
        <v>0</v>
      </c>
      <c r="I400">
        <v>0</v>
      </c>
      <c r="J400">
        <v>0</v>
      </c>
      <c r="K400">
        <v>186.1</v>
      </c>
      <c r="L400">
        <v>56</v>
      </c>
      <c r="M400" s="10">
        <v>24.97</v>
      </c>
      <c r="N400" s="2">
        <f t="shared" si="13"/>
        <v>392.13870999999995</v>
      </c>
      <c r="O400" s="2">
        <f t="shared" si="14"/>
        <v>179.36383999999998</v>
      </c>
      <c r="P400">
        <v>0</v>
      </c>
    </row>
    <row r="401" spans="1:16" x14ac:dyDescent="0.25">
      <c r="A401" s="15"/>
      <c r="B401" s="15"/>
      <c r="C401">
        <v>25</v>
      </c>
      <c r="D401">
        <v>395.625</v>
      </c>
      <c r="E401">
        <v>131.875</v>
      </c>
      <c r="F401">
        <v>783.5</v>
      </c>
      <c r="G401">
        <v>1008.4</v>
      </c>
      <c r="H401">
        <v>0</v>
      </c>
      <c r="I401">
        <v>0</v>
      </c>
      <c r="J401">
        <v>0</v>
      </c>
      <c r="K401">
        <v>186.1</v>
      </c>
      <c r="L401">
        <v>90</v>
      </c>
      <c r="M401" s="10">
        <v>31.12</v>
      </c>
      <c r="N401" s="2">
        <f t="shared" si="13"/>
        <v>392.13870999999995</v>
      </c>
      <c r="O401" s="2">
        <f t="shared" si="14"/>
        <v>179.36383999999998</v>
      </c>
      <c r="P401">
        <v>0</v>
      </c>
    </row>
    <row r="402" spans="1:16" x14ac:dyDescent="0.25">
      <c r="A402" s="15"/>
      <c r="B402" s="15"/>
      <c r="C402">
        <v>30</v>
      </c>
      <c r="D402">
        <v>369.25</v>
      </c>
      <c r="E402">
        <v>158.25</v>
      </c>
      <c r="F402">
        <v>783.5</v>
      </c>
      <c r="G402">
        <v>1008.4</v>
      </c>
      <c r="H402">
        <v>0</v>
      </c>
      <c r="I402">
        <v>0</v>
      </c>
      <c r="J402">
        <v>0</v>
      </c>
      <c r="K402">
        <v>186.1</v>
      </c>
      <c r="L402">
        <v>14</v>
      </c>
      <c r="M402" s="10">
        <v>19.899999999999999</v>
      </c>
      <c r="N402" s="2">
        <f t="shared" si="13"/>
        <v>371.56620999999996</v>
      </c>
      <c r="O402" s="2">
        <f t="shared" si="14"/>
        <v>169.40727749999999</v>
      </c>
      <c r="P402">
        <v>0</v>
      </c>
    </row>
    <row r="403" spans="1:16" x14ac:dyDescent="0.25">
      <c r="A403" s="15"/>
      <c r="B403" s="15"/>
      <c r="C403">
        <v>30</v>
      </c>
      <c r="D403">
        <v>369.25</v>
      </c>
      <c r="E403">
        <v>158.25</v>
      </c>
      <c r="F403">
        <v>783.5</v>
      </c>
      <c r="G403">
        <v>1008.4</v>
      </c>
      <c r="H403">
        <v>0</v>
      </c>
      <c r="I403">
        <v>0</v>
      </c>
      <c r="J403">
        <v>0</v>
      </c>
      <c r="K403">
        <v>186.1</v>
      </c>
      <c r="L403">
        <v>56</v>
      </c>
      <c r="M403" s="10">
        <v>24.17</v>
      </c>
      <c r="N403" s="2">
        <f t="shared" si="13"/>
        <v>371.56620999999996</v>
      </c>
      <c r="O403" s="2">
        <f t="shared" si="14"/>
        <v>169.40727749999999</v>
      </c>
      <c r="P403">
        <v>0</v>
      </c>
    </row>
    <row r="404" spans="1:16" x14ac:dyDescent="0.25">
      <c r="A404" s="15"/>
      <c r="B404" s="15"/>
      <c r="C404">
        <v>30</v>
      </c>
      <c r="D404">
        <v>369.25</v>
      </c>
      <c r="E404">
        <v>158.25</v>
      </c>
      <c r="F404">
        <v>783.5</v>
      </c>
      <c r="G404">
        <v>1008.4</v>
      </c>
      <c r="H404">
        <v>0</v>
      </c>
      <c r="I404">
        <v>0</v>
      </c>
      <c r="J404">
        <v>0</v>
      </c>
      <c r="K404">
        <v>186.1</v>
      </c>
      <c r="L404">
        <v>90</v>
      </c>
      <c r="M404" s="10">
        <v>28.74</v>
      </c>
      <c r="N404" s="2">
        <f t="shared" si="13"/>
        <v>371.56620999999996</v>
      </c>
      <c r="O404" s="2">
        <f t="shared" si="14"/>
        <v>169.40727749999999</v>
      </c>
      <c r="P404">
        <v>0</v>
      </c>
    </row>
    <row r="405" spans="1:16" x14ac:dyDescent="0.25">
      <c r="A405" s="15"/>
      <c r="B405" s="15"/>
      <c r="C405">
        <v>35</v>
      </c>
      <c r="D405">
        <v>342.875</v>
      </c>
      <c r="E405">
        <v>184.625</v>
      </c>
      <c r="F405">
        <v>783.5</v>
      </c>
      <c r="G405">
        <v>1008.4</v>
      </c>
      <c r="H405">
        <v>0</v>
      </c>
      <c r="I405">
        <v>0</v>
      </c>
      <c r="J405">
        <v>0</v>
      </c>
      <c r="K405">
        <v>186.1</v>
      </c>
      <c r="L405">
        <v>14</v>
      </c>
      <c r="M405" s="10">
        <v>20.59</v>
      </c>
      <c r="N405" s="2">
        <f t="shared" si="13"/>
        <v>350.99370999999996</v>
      </c>
      <c r="O405" s="2">
        <f t="shared" si="14"/>
        <v>159.45071499999997</v>
      </c>
      <c r="P405">
        <v>0</v>
      </c>
    </row>
    <row r="406" spans="1:16" x14ac:dyDescent="0.25">
      <c r="A406" s="15"/>
      <c r="B406" s="15"/>
      <c r="C406">
        <v>35</v>
      </c>
      <c r="D406">
        <v>342.875</v>
      </c>
      <c r="E406">
        <v>184.625</v>
      </c>
      <c r="F406">
        <v>783.5</v>
      </c>
      <c r="G406">
        <v>1008.4</v>
      </c>
      <c r="H406">
        <v>0</v>
      </c>
      <c r="I406">
        <v>0</v>
      </c>
      <c r="J406">
        <v>0</v>
      </c>
      <c r="K406">
        <v>186.1</v>
      </c>
      <c r="L406">
        <v>56</v>
      </c>
      <c r="M406" s="10">
        <v>21.5</v>
      </c>
      <c r="N406" s="2">
        <f t="shared" si="13"/>
        <v>350.99370999999996</v>
      </c>
      <c r="O406" s="2">
        <f t="shared" si="14"/>
        <v>159.45071499999997</v>
      </c>
      <c r="P406">
        <v>0</v>
      </c>
    </row>
    <row r="407" spans="1:16" x14ac:dyDescent="0.25">
      <c r="A407" s="15"/>
      <c r="B407" s="15"/>
      <c r="C407">
        <v>35</v>
      </c>
      <c r="D407">
        <v>342.875</v>
      </c>
      <c r="E407">
        <v>184.625</v>
      </c>
      <c r="F407">
        <v>783.5</v>
      </c>
      <c r="G407">
        <v>1008.4</v>
      </c>
      <c r="H407">
        <v>0</v>
      </c>
      <c r="I407">
        <v>0</v>
      </c>
      <c r="J407">
        <v>0</v>
      </c>
      <c r="K407">
        <v>186.1</v>
      </c>
      <c r="L407">
        <v>90</v>
      </c>
      <c r="M407" s="10">
        <v>24.22</v>
      </c>
      <c r="N407" s="2">
        <f t="shared" si="13"/>
        <v>350.99370999999996</v>
      </c>
      <c r="O407" s="2">
        <f t="shared" si="14"/>
        <v>159.45071499999997</v>
      </c>
      <c r="P407">
        <v>0</v>
      </c>
    </row>
    <row r="408" spans="1:16" x14ac:dyDescent="0.25">
      <c r="A408" s="15"/>
      <c r="B408" s="15"/>
      <c r="C408">
        <v>40</v>
      </c>
      <c r="D408">
        <v>316.5</v>
      </c>
      <c r="E408">
        <v>211</v>
      </c>
      <c r="F408">
        <v>783.5</v>
      </c>
      <c r="G408">
        <v>1008.4</v>
      </c>
      <c r="H408">
        <v>0</v>
      </c>
      <c r="I408">
        <v>0</v>
      </c>
      <c r="J408">
        <v>0</v>
      </c>
      <c r="K408">
        <v>186.1</v>
      </c>
      <c r="L408">
        <v>14</v>
      </c>
      <c r="M408" s="10">
        <v>21.55</v>
      </c>
      <c r="N408" s="2">
        <f t="shared" si="13"/>
        <v>330.42120999999997</v>
      </c>
      <c r="O408" s="2">
        <f t="shared" si="14"/>
        <v>149.49415250000001</v>
      </c>
      <c r="P408">
        <v>0</v>
      </c>
    </row>
    <row r="409" spans="1:16" x14ac:dyDescent="0.25">
      <c r="A409" s="15"/>
      <c r="B409" s="15"/>
      <c r="C409">
        <v>40</v>
      </c>
      <c r="D409">
        <v>316.5</v>
      </c>
      <c r="E409">
        <v>211</v>
      </c>
      <c r="F409">
        <v>783.5</v>
      </c>
      <c r="G409">
        <v>1008.4</v>
      </c>
      <c r="H409">
        <v>0</v>
      </c>
      <c r="I409">
        <v>0</v>
      </c>
      <c r="J409">
        <v>0</v>
      </c>
      <c r="K409">
        <v>186.1</v>
      </c>
      <c r="L409">
        <v>56</v>
      </c>
      <c r="M409" s="10">
        <v>25.81</v>
      </c>
      <c r="N409" s="2">
        <f t="shared" si="13"/>
        <v>330.42120999999997</v>
      </c>
      <c r="O409" s="2">
        <f t="shared" si="14"/>
        <v>149.49415250000001</v>
      </c>
      <c r="P409">
        <v>0</v>
      </c>
    </row>
    <row r="410" spans="1:16" x14ac:dyDescent="0.25">
      <c r="A410" s="15"/>
      <c r="B410" s="15"/>
      <c r="C410">
        <v>40</v>
      </c>
      <c r="D410">
        <v>316.5</v>
      </c>
      <c r="E410">
        <v>211</v>
      </c>
      <c r="F410">
        <v>783.5</v>
      </c>
      <c r="G410">
        <v>1008.4</v>
      </c>
      <c r="H410">
        <v>0</v>
      </c>
      <c r="I410">
        <v>0</v>
      </c>
      <c r="J410">
        <v>0</v>
      </c>
      <c r="K410">
        <v>186.1</v>
      </c>
      <c r="L410">
        <v>90</v>
      </c>
      <c r="M410" s="10">
        <v>23.58</v>
      </c>
      <c r="N410" s="2">
        <f t="shared" si="13"/>
        <v>330.42120999999997</v>
      </c>
      <c r="O410" s="2">
        <f t="shared" si="14"/>
        <v>149.49415250000001</v>
      </c>
      <c r="P410">
        <v>0</v>
      </c>
    </row>
    <row r="411" spans="1:16" x14ac:dyDescent="0.25">
      <c r="A411" s="15"/>
      <c r="B411" s="15"/>
      <c r="C411">
        <v>45</v>
      </c>
      <c r="D411">
        <v>290.125</v>
      </c>
      <c r="E411">
        <v>237.375</v>
      </c>
      <c r="F411">
        <v>783.5</v>
      </c>
      <c r="G411">
        <v>1008.4</v>
      </c>
      <c r="H411">
        <v>0</v>
      </c>
      <c r="I411">
        <v>0</v>
      </c>
      <c r="J411">
        <v>0</v>
      </c>
      <c r="K411">
        <v>186.1</v>
      </c>
      <c r="L411">
        <v>14</v>
      </c>
      <c r="M411" s="10">
        <v>19.64</v>
      </c>
      <c r="N411" s="2">
        <f t="shared" si="13"/>
        <v>309.84870999999998</v>
      </c>
      <c r="O411" s="2">
        <f t="shared" si="14"/>
        <v>139.53758999999999</v>
      </c>
      <c r="P411">
        <v>0</v>
      </c>
    </row>
    <row r="412" spans="1:16" x14ac:dyDescent="0.25">
      <c r="A412" s="15"/>
      <c r="B412" s="15"/>
      <c r="C412">
        <v>45</v>
      </c>
      <c r="D412">
        <v>290.125</v>
      </c>
      <c r="E412">
        <v>237.375</v>
      </c>
      <c r="F412">
        <v>783.5</v>
      </c>
      <c r="G412">
        <v>1008.4</v>
      </c>
      <c r="H412">
        <v>0</v>
      </c>
      <c r="I412">
        <v>0</v>
      </c>
      <c r="J412">
        <v>0</v>
      </c>
      <c r="K412">
        <v>186.1</v>
      </c>
      <c r="L412">
        <v>56</v>
      </c>
      <c r="M412" s="10">
        <v>22.98</v>
      </c>
      <c r="N412" s="2">
        <f t="shared" si="13"/>
        <v>309.84870999999998</v>
      </c>
      <c r="O412" s="2">
        <f t="shared" si="14"/>
        <v>139.53758999999999</v>
      </c>
      <c r="P412">
        <v>0</v>
      </c>
    </row>
    <row r="413" spans="1:16" x14ac:dyDescent="0.25">
      <c r="A413" s="15"/>
      <c r="B413" s="15"/>
      <c r="C413">
        <v>45</v>
      </c>
      <c r="D413">
        <v>290.125</v>
      </c>
      <c r="E413">
        <v>237.375</v>
      </c>
      <c r="F413">
        <v>783.5</v>
      </c>
      <c r="G413">
        <v>1008.4</v>
      </c>
      <c r="H413">
        <v>0</v>
      </c>
      <c r="I413">
        <v>0</v>
      </c>
      <c r="J413">
        <v>0</v>
      </c>
      <c r="K413">
        <v>186.1</v>
      </c>
      <c r="L413">
        <v>90</v>
      </c>
      <c r="M413" s="10">
        <v>24.38</v>
      </c>
      <c r="N413" s="2">
        <f t="shared" si="13"/>
        <v>309.84870999999998</v>
      </c>
      <c r="O413" s="2">
        <f t="shared" si="14"/>
        <v>139.53758999999999</v>
      </c>
      <c r="P413">
        <v>0</v>
      </c>
    </row>
    <row r="414" spans="1:16" x14ac:dyDescent="0.25">
      <c r="A414" s="15"/>
      <c r="B414" s="15"/>
      <c r="C414">
        <v>50</v>
      </c>
      <c r="D414">
        <v>263.75</v>
      </c>
      <c r="E414">
        <v>263.75</v>
      </c>
      <c r="F414">
        <v>783.5</v>
      </c>
      <c r="G414">
        <v>1008.4</v>
      </c>
      <c r="H414">
        <v>0</v>
      </c>
      <c r="I414">
        <v>0</v>
      </c>
      <c r="J414">
        <v>0</v>
      </c>
      <c r="K414">
        <v>186.1</v>
      </c>
      <c r="L414">
        <v>14</v>
      </c>
      <c r="M414" s="10">
        <v>17.32</v>
      </c>
      <c r="N414" s="2">
        <f t="shared" si="13"/>
        <v>289.27620999999999</v>
      </c>
      <c r="O414" s="2">
        <f t="shared" si="14"/>
        <v>129.5810275</v>
      </c>
      <c r="P414">
        <v>0</v>
      </c>
    </row>
    <row r="415" spans="1:16" x14ac:dyDescent="0.25">
      <c r="A415" s="15"/>
      <c r="B415" s="15"/>
      <c r="C415">
        <v>50</v>
      </c>
      <c r="D415">
        <v>263.75</v>
      </c>
      <c r="E415">
        <v>263.75</v>
      </c>
      <c r="F415">
        <v>783.5</v>
      </c>
      <c r="G415">
        <v>1008.4</v>
      </c>
      <c r="H415">
        <v>0</v>
      </c>
      <c r="I415">
        <v>0</v>
      </c>
      <c r="J415">
        <v>0</v>
      </c>
      <c r="K415">
        <v>186.1</v>
      </c>
      <c r="L415">
        <v>56</v>
      </c>
      <c r="M415" s="10">
        <v>23.05</v>
      </c>
      <c r="N415" s="2">
        <f t="shared" si="13"/>
        <v>289.27620999999999</v>
      </c>
      <c r="O415" s="2">
        <f t="shared" si="14"/>
        <v>129.5810275</v>
      </c>
      <c r="P415">
        <v>0</v>
      </c>
    </row>
    <row r="416" spans="1:16" x14ac:dyDescent="0.25">
      <c r="A416" s="15"/>
      <c r="B416" s="15"/>
      <c r="C416">
        <v>50</v>
      </c>
      <c r="D416">
        <v>263.75</v>
      </c>
      <c r="E416">
        <v>263.75</v>
      </c>
      <c r="F416">
        <v>783.5</v>
      </c>
      <c r="G416">
        <v>1008.4</v>
      </c>
      <c r="H416">
        <v>0</v>
      </c>
      <c r="I416">
        <v>0</v>
      </c>
      <c r="J416">
        <v>0</v>
      </c>
      <c r="K416">
        <v>186.1</v>
      </c>
      <c r="L416">
        <v>90</v>
      </c>
      <c r="M416" s="10">
        <v>23.8</v>
      </c>
      <c r="N416" s="2">
        <f t="shared" si="13"/>
        <v>289.27620999999999</v>
      </c>
      <c r="O416" s="2">
        <f t="shared" si="14"/>
        <v>129.5810275</v>
      </c>
      <c r="P416">
        <v>0</v>
      </c>
    </row>
    <row r="417" spans="1:16" x14ac:dyDescent="0.25">
      <c r="A417" s="15" t="s">
        <v>101</v>
      </c>
      <c r="B417" s="15" t="s">
        <v>102</v>
      </c>
      <c r="C417" s="3">
        <v>0</v>
      </c>
      <c r="D417" s="3">
        <v>373</v>
      </c>
      <c r="E417" s="2">
        <v>0</v>
      </c>
      <c r="F417">
        <v>560</v>
      </c>
      <c r="G417">
        <v>1120</v>
      </c>
      <c r="H417">
        <v>0</v>
      </c>
      <c r="I417">
        <v>0</v>
      </c>
      <c r="J417">
        <v>0</v>
      </c>
      <c r="K417">
        <v>180</v>
      </c>
      <c r="L417">
        <v>28</v>
      </c>
      <c r="M417" s="10">
        <v>29</v>
      </c>
      <c r="N417" s="2">
        <f t="shared" si="13"/>
        <v>368.78199999999998</v>
      </c>
      <c r="O417" s="2">
        <f t="shared" si="14"/>
        <v>168.2895</v>
      </c>
      <c r="P417">
        <v>58</v>
      </c>
    </row>
    <row r="418" spans="1:16" x14ac:dyDescent="0.25">
      <c r="A418" s="15"/>
      <c r="B418" s="15"/>
      <c r="C418" s="3">
        <v>5</v>
      </c>
      <c r="D418" s="3">
        <v>354.35</v>
      </c>
      <c r="E418" s="2">
        <v>18.649999999999999</v>
      </c>
      <c r="F418">
        <v>560</v>
      </c>
      <c r="G418">
        <v>1120</v>
      </c>
      <c r="H418">
        <v>20.53</v>
      </c>
      <c r="I418">
        <v>0</v>
      </c>
      <c r="J418">
        <v>0</v>
      </c>
      <c r="K418">
        <v>180</v>
      </c>
      <c r="L418">
        <v>28</v>
      </c>
      <c r="M418" s="10">
        <v>31</v>
      </c>
      <c r="N418" s="2">
        <f t="shared" si="13"/>
        <v>395.29500000000002</v>
      </c>
      <c r="O418" s="2">
        <f t="shared" si="14"/>
        <v>192.24942499999997</v>
      </c>
      <c r="P418">
        <v>49</v>
      </c>
    </row>
    <row r="419" spans="1:16" x14ac:dyDescent="0.25">
      <c r="A419" s="15"/>
      <c r="B419" s="15"/>
      <c r="C419" s="3">
        <v>5</v>
      </c>
      <c r="D419" s="3">
        <v>354.35</v>
      </c>
      <c r="E419" s="2">
        <v>18.649999999999999</v>
      </c>
      <c r="F419">
        <v>560</v>
      </c>
      <c r="G419">
        <v>1120</v>
      </c>
      <c r="H419">
        <v>20.53</v>
      </c>
      <c r="I419">
        <v>0</v>
      </c>
      <c r="J419">
        <v>0</v>
      </c>
      <c r="K419">
        <v>180</v>
      </c>
      <c r="L419">
        <v>28</v>
      </c>
      <c r="M419" s="10">
        <v>32</v>
      </c>
      <c r="N419" s="2">
        <f t="shared" si="13"/>
        <v>395.29500000000002</v>
      </c>
      <c r="O419" s="2">
        <f t="shared" si="14"/>
        <v>192.24942499999997</v>
      </c>
      <c r="P419">
        <v>40</v>
      </c>
    </row>
    <row r="420" spans="1:16" x14ac:dyDescent="0.25">
      <c r="A420" s="15"/>
      <c r="B420" s="15"/>
      <c r="C420" s="3">
        <v>5</v>
      </c>
      <c r="D420" s="3">
        <v>354.35</v>
      </c>
      <c r="E420" s="2">
        <v>18.649999999999999</v>
      </c>
      <c r="F420">
        <v>560</v>
      </c>
      <c r="G420">
        <v>1120</v>
      </c>
      <c r="H420">
        <v>20.53</v>
      </c>
      <c r="I420">
        <v>0</v>
      </c>
      <c r="J420">
        <v>0</v>
      </c>
      <c r="K420">
        <v>180</v>
      </c>
      <c r="L420">
        <v>28</v>
      </c>
      <c r="M420" s="10">
        <v>30</v>
      </c>
      <c r="N420" s="2">
        <f t="shared" si="13"/>
        <v>395.29500000000002</v>
      </c>
      <c r="O420" s="2">
        <f t="shared" si="14"/>
        <v>192.24942499999997</v>
      </c>
      <c r="P420">
        <v>35</v>
      </c>
    </row>
    <row r="421" spans="1:16" x14ac:dyDescent="0.25">
      <c r="A421" s="15"/>
      <c r="B421" s="15"/>
      <c r="C421" s="3" t="s">
        <v>316</v>
      </c>
      <c r="D421" s="3">
        <v>354.35</v>
      </c>
      <c r="E421" s="2">
        <v>18.649999999999999</v>
      </c>
      <c r="F421">
        <v>560</v>
      </c>
      <c r="G421">
        <v>1120</v>
      </c>
      <c r="H421">
        <v>20.53</v>
      </c>
      <c r="I421">
        <v>0</v>
      </c>
      <c r="J421">
        <v>0</v>
      </c>
      <c r="K421">
        <v>180</v>
      </c>
      <c r="L421">
        <v>28</v>
      </c>
      <c r="M421" s="10">
        <v>28</v>
      </c>
      <c r="N421" s="2">
        <f t="shared" si="13"/>
        <v>395.29500000000002</v>
      </c>
      <c r="O421" s="2">
        <f t="shared" si="14"/>
        <v>192.24942499999997</v>
      </c>
      <c r="P421">
        <v>25</v>
      </c>
    </row>
    <row r="422" spans="1:16" x14ac:dyDescent="0.25">
      <c r="A422" s="15"/>
      <c r="B422" s="15"/>
      <c r="C422" s="3">
        <v>10</v>
      </c>
      <c r="D422" s="3">
        <v>336</v>
      </c>
      <c r="E422" s="2">
        <v>37.299999999999997</v>
      </c>
      <c r="F422">
        <v>560</v>
      </c>
      <c r="G422">
        <v>1120</v>
      </c>
      <c r="H422">
        <v>20.53</v>
      </c>
      <c r="I422">
        <v>0</v>
      </c>
      <c r="J422">
        <v>0</v>
      </c>
      <c r="K422">
        <v>180</v>
      </c>
      <c r="L422">
        <v>28</v>
      </c>
      <c r="M422" s="10">
        <v>33</v>
      </c>
      <c r="N422" s="2">
        <f t="shared" si="13"/>
        <v>380.99700000000001</v>
      </c>
      <c r="O422" s="2">
        <f t="shared" si="14"/>
        <v>185.32229999999998</v>
      </c>
      <c r="P422">
        <v>45</v>
      </c>
    </row>
    <row r="423" spans="1:16" x14ac:dyDescent="0.25">
      <c r="A423" s="15"/>
      <c r="B423" s="15"/>
      <c r="C423" s="3">
        <v>10</v>
      </c>
      <c r="D423" s="3" t="s">
        <v>316</v>
      </c>
      <c r="E423" s="2">
        <v>37.299999999999997</v>
      </c>
      <c r="F423">
        <v>560</v>
      </c>
      <c r="G423">
        <v>1120</v>
      </c>
      <c r="H423">
        <v>20.53</v>
      </c>
      <c r="I423">
        <v>0</v>
      </c>
      <c r="J423">
        <v>0</v>
      </c>
      <c r="K423">
        <v>180</v>
      </c>
      <c r="L423">
        <v>28</v>
      </c>
      <c r="M423" s="10">
        <v>33</v>
      </c>
      <c r="N423" s="2" t="e">
        <f t="shared" si="13"/>
        <v>#VALUE!</v>
      </c>
      <c r="O423" s="2" t="e">
        <f t="shared" si="14"/>
        <v>#VALUE!</v>
      </c>
      <c r="P423">
        <v>38</v>
      </c>
    </row>
    <row r="424" spans="1:16" x14ac:dyDescent="0.25">
      <c r="A424" s="15"/>
      <c r="B424" s="15"/>
      <c r="C424" s="3">
        <v>10</v>
      </c>
      <c r="D424" s="3">
        <v>336</v>
      </c>
      <c r="E424" s="2">
        <v>37.299999999999997</v>
      </c>
      <c r="F424">
        <v>560</v>
      </c>
      <c r="G424">
        <v>1120</v>
      </c>
      <c r="H424">
        <v>20.53</v>
      </c>
      <c r="I424">
        <v>0</v>
      </c>
      <c r="J424">
        <v>0</v>
      </c>
      <c r="K424">
        <v>180</v>
      </c>
      <c r="L424">
        <v>28</v>
      </c>
      <c r="M424" s="10">
        <v>30</v>
      </c>
      <c r="N424" s="2">
        <f t="shared" si="13"/>
        <v>380.99700000000001</v>
      </c>
      <c r="O424" s="2">
        <f t="shared" si="14"/>
        <v>185.32229999999998</v>
      </c>
      <c r="P424">
        <v>32</v>
      </c>
    </row>
    <row r="425" spans="1:16" x14ac:dyDescent="0.25">
      <c r="A425" s="15"/>
      <c r="B425" s="15"/>
      <c r="C425" s="3">
        <v>10</v>
      </c>
      <c r="D425" s="3">
        <v>336</v>
      </c>
      <c r="E425" s="2">
        <v>37.299999999999997</v>
      </c>
      <c r="F425">
        <v>560</v>
      </c>
      <c r="G425">
        <v>1120</v>
      </c>
      <c r="H425">
        <v>20.53</v>
      </c>
      <c r="I425">
        <v>0</v>
      </c>
      <c r="J425">
        <v>0</v>
      </c>
      <c r="K425">
        <v>180</v>
      </c>
      <c r="L425">
        <v>28</v>
      </c>
      <c r="M425" s="10">
        <v>28</v>
      </c>
      <c r="N425" s="2">
        <f t="shared" si="13"/>
        <v>380.99700000000001</v>
      </c>
      <c r="O425" s="2">
        <f t="shared" si="14"/>
        <v>185.32229999999998</v>
      </c>
      <c r="P425">
        <v>25</v>
      </c>
    </row>
    <row r="426" spans="1:16" x14ac:dyDescent="0.25">
      <c r="A426" s="15"/>
      <c r="B426" s="15"/>
      <c r="C426" s="3">
        <v>15</v>
      </c>
      <c r="D426" s="3">
        <v>317</v>
      </c>
      <c r="E426" s="3">
        <v>55.95</v>
      </c>
      <c r="F426">
        <v>560</v>
      </c>
      <c r="G426">
        <v>1120</v>
      </c>
      <c r="H426">
        <v>20.53</v>
      </c>
      <c r="I426">
        <v>0</v>
      </c>
      <c r="J426">
        <v>0</v>
      </c>
      <c r="K426">
        <v>180</v>
      </c>
      <c r="L426">
        <v>28</v>
      </c>
      <c r="M426" s="10">
        <v>30</v>
      </c>
      <c r="N426" s="2">
        <f t="shared" si="13"/>
        <v>366.15950000000004</v>
      </c>
      <c r="O426" s="2">
        <f t="shared" si="14"/>
        <v>178.1498</v>
      </c>
      <c r="P426">
        <v>36</v>
      </c>
    </row>
    <row r="427" spans="1:16" x14ac:dyDescent="0.25">
      <c r="A427" s="15"/>
      <c r="B427" s="15"/>
      <c r="C427" s="3">
        <v>15</v>
      </c>
      <c r="D427" s="3">
        <v>317</v>
      </c>
      <c r="E427" s="3">
        <v>55.95</v>
      </c>
      <c r="F427">
        <v>560</v>
      </c>
      <c r="G427">
        <v>1120</v>
      </c>
      <c r="H427">
        <v>20.53</v>
      </c>
      <c r="I427">
        <v>0</v>
      </c>
      <c r="J427">
        <v>0</v>
      </c>
      <c r="K427">
        <v>180</v>
      </c>
      <c r="L427">
        <v>28</v>
      </c>
      <c r="M427" s="10">
        <v>32</v>
      </c>
      <c r="N427" s="2">
        <f t="shared" si="13"/>
        <v>366.15950000000004</v>
      </c>
      <c r="O427" s="2">
        <f t="shared" si="14"/>
        <v>178.1498</v>
      </c>
      <c r="P427">
        <v>23</v>
      </c>
    </row>
    <row r="428" spans="1:16" x14ac:dyDescent="0.25">
      <c r="A428" s="15"/>
      <c r="B428" s="15"/>
      <c r="C428" s="3">
        <v>15</v>
      </c>
      <c r="D428" s="3">
        <v>317</v>
      </c>
      <c r="E428" s="3">
        <v>55.95</v>
      </c>
      <c r="F428">
        <v>560</v>
      </c>
      <c r="G428">
        <v>1120</v>
      </c>
      <c r="H428">
        <v>20.53</v>
      </c>
      <c r="I428">
        <v>0</v>
      </c>
      <c r="J428">
        <v>0</v>
      </c>
      <c r="K428">
        <v>180</v>
      </c>
      <c r="L428">
        <v>28</v>
      </c>
      <c r="M428" s="10">
        <v>29</v>
      </c>
      <c r="N428" s="2">
        <f t="shared" si="13"/>
        <v>366.15950000000004</v>
      </c>
      <c r="O428" s="2">
        <f t="shared" si="14"/>
        <v>178.1498</v>
      </c>
      <c r="P428">
        <v>26</v>
      </c>
    </row>
    <row r="429" spans="1:16" x14ac:dyDescent="0.25">
      <c r="A429" s="15"/>
      <c r="B429" s="15"/>
      <c r="C429" s="3">
        <v>15</v>
      </c>
      <c r="D429" s="3">
        <v>317</v>
      </c>
      <c r="E429" s="3">
        <v>55.95</v>
      </c>
      <c r="F429">
        <v>560</v>
      </c>
      <c r="G429">
        <v>1120</v>
      </c>
      <c r="H429">
        <v>20.53</v>
      </c>
      <c r="I429">
        <v>0</v>
      </c>
      <c r="J429">
        <v>0</v>
      </c>
      <c r="K429">
        <v>180</v>
      </c>
      <c r="L429">
        <v>28</v>
      </c>
      <c r="M429" s="10">
        <v>27</v>
      </c>
      <c r="N429" s="2">
        <f t="shared" si="13"/>
        <v>366.15950000000004</v>
      </c>
      <c r="O429" s="2">
        <f t="shared" si="14"/>
        <v>178.1498</v>
      </c>
      <c r="P429">
        <v>21</v>
      </c>
    </row>
    <row r="430" spans="1:16" x14ac:dyDescent="0.25">
      <c r="A430" s="15"/>
      <c r="B430" s="15"/>
      <c r="C430" s="3">
        <v>20</v>
      </c>
      <c r="D430" s="3">
        <v>298</v>
      </c>
      <c r="E430" s="3">
        <v>74.599999999999994</v>
      </c>
      <c r="F430">
        <v>560</v>
      </c>
      <c r="G430">
        <v>1120</v>
      </c>
      <c r="H430">
        <v>20.53</v>
      </c>
      <c r="I430">
        <v>0</v>
      </c>
      <c r="J430">
        <v>0</v>
      </c>
      <c r="K430">
        <v>180</v>
      </c>
      <c r="L430">
        <v>28</v>
      </c>
      <c r="M430" s="10">
        <v>30</v>
      </c>
      <c r="N430" s="2">
        <f t="shared" si="13"/>
        <v>351.322</v>
      </c>
      <c r="O430" s="2">
        <f t="shared" si="14"/>
        <v>170.97729999999999</v>
      </c>
      <c r="P430">
        <v>28</v>
      </c>
    </row>
    <row r="431" spans="1:16" x14ac:dyDescent="0.25">
      <c r="A431" s="15"/>
      <c r="B431" s="15"/>
      <c r="C431" s="3">
        <v>20</v>
      </c>
      <c r="D431" s="3">
        <v>298</v>
      </c>
      <c r="E431" s="3">
        <v>74.599999999999994</v>
      </c>
      <c r="F431">
        <v>560</v>
      </c>
      <c r="G431">
        <v>1120</v>
      </c>
      <c r="H431">
        <v>20.53</v>
      </c>
      <c r="I431">
        <v>0</v>
      </c>
      <c r="J431">
        <v>0</v>
      </c>
      <c r="K431">
        <v>180</v>
      </c>
      <c r="L431">
        <v>28</v>
      </c>
      <c r="M431" s="10">
        <v>30</v>
      </c>
      <c r="N431" s="2">
        <f t="shared" si="13"/>
        <v>351.322</v>
      </c>
      <c r="O431" s="2">
        <f t="shared" si="14"/>
        <v>170.97729999999999</v>
      </c>
      <c r="P431">
        <v>25</v>
      </c>
    </row>
    <row r="432" spans="1:16" x14ac:dyDescent="0.25">
      <c r="A432" s="15"/>
      <c r="B432" s="15"/>
      <c r="C432" s="3">
        <v>20</v>
      </c>
      <c r="D432" s="3">
        <v>298</v>
      </c>
      <c r="E432" s="3">
        <v>74.599999999999994</v>
      </c>
      <c r="F432">
        <v>560</v>
      </c>
      <c r="G432">
        <v>1120</v>
      </c>
      <c r="H432">
        <v>20.53</v>
      </c>
      <c r="I432">
        <v>0</v>
      </c>
      <c r="J432">
        <v>0</v>
      </c>
      <c r="K432">
        <v>180</v>
      </c>
      <c r="L432">
        <v>28</v>
      </c>
      <c r="M432" s="10">
        <v>29</v>
      </c>
      <c r="N432" s="2">
        <f t="shared" si="13"/>
        <v>351.322</v>
      </c>
      <c r="O432" s="2">
        <f t="shared" si="14"/>
        <v>170.97729999999999</v>
      </c>
      <c r="P432">
        <v>18</v>
      </c>
    </row>
    <row r="433" spans="1:16" x14ac:dyDescent="0.25">
      <c r="A433" s="15"/>
      <c r="B433" s="15"/>
      <c r="C433" s="3">
        <v>20</v>
      </c>
      <c r="D433" s="3">
        <v>298</v>
      </c>
      <c r="E433" s="3">
        <v>74.599999999999994</v>
      </c>
      <c r="F433">
        <v>560</v>
      </c>
      <c r="G433">
        <v>1120</v>
      </c>
      <c r="H433">
        <v>20.53</v>
      </c>
      <c r="I433">
        <v>0</v>
      </c>
      <c r="J433">
        <v>0</v>
      </c>
      <c r="K433">
        <v>180</v>
      </c>
      <c r="L433">
        <v>28</v>
      </c>
      <c r="M433" s="10">
        <v>26</v>
      </c>
      <c r="N433" s="2">
        <f t="shared" ref="N433:N464" si="15">SUM((D433*0.83)+(E433*0.05)+(F433*0.0139)+(G433*0.0459)+(H433*2))</f>
        <v>351.322</v>
      </c>
      <c r="O433" s="2">
        <f t="shared" si="14"/>
        <v>170.97729999999999</v>
      </c>
      <c r="P433">
        <v>12</v>
      </c>
    </row>
    <row r="434" spans="1:16" x14ac:dyDescent="0.25">
      <c r="A434" s="15" t="s">
        <v>371</v>
      </c>
      <c r="B434" s="15" t="s">
        <v>370</v>
      </c>
      <c r="C434" s="3">
        <v>0</v>
      </c>
      <c r="D434" s="3">
        <v>320</v>
      </c>
      <c r="E434" s="3">
        <v>0</v>
      </c>
      <c r="F434">
        <v>620</v>
      </c>
      <c r="G434">
        <v>1240</v>
      </c>
      <c r="H434" s="3">
        <v>0</v>
      </c>
      <c r="I434">
        <v>0</v>
      </c>
      <c r="J434">
        <v>0</v>
      </c>
      <c r="K434">
        <v>160</v>
      </c>
      <c r="L434">
        <v>7</v>
      </c>
      <c r="M434" s="10">
        <v>18</v>
      </c>
      <c r="N434" s="2">
        <f t="shared" si="15"/>
        <v>331.13399999999996</v>
      </c>
      <c r="O434" s="2">
        <f t="shared" si="14"/>
        <v>151.22649999999999</v>
      </c>
      <c r="P434">
        <v>56</v>
      </c>
    </row>
    <row r="435" spans="1:16" x14ac:dyDescent="0.25">
      <c r="A435" s="15"/>
      <c r="B435" s="15"/>
      <c r="C435" s="3">
        <v>0</v>
      </c>
      <c r="D435" s="3">
        <v>320</v>
      </c>
      <c r="E435" s="3">
        <v>0</v>
      </c>
      <c r="F435">
        <v>620</v>
      </c>
      <c r="G435">
        <v>1240</v>
      </c>
      <c r="H435" s="3">
        <v>0</v>
      </c>
      <c r="I435">
        <v>0</v>
      </c>
      <c r="J435">
        <v>0</v>
      </c>
      <c r="K435">
        <v>160</v>
      </c>
      <c r="L435">
        <v>14</v>
      </c>
      <c r="M435" s="10">
        <v>23</v>
      </c>
      <c r="N435" s="2">
        <f t="shared" si="15"/>
        <v>331.13399999999996</v>
      </c>
      <c r="O435" s="2">
        <f t="shared" si="14"/>
        <v>151.22649999999999</v>
      </c>
      <c r="P435">
        <v>56</v>
      </c>
    </row>
    <row r="436" spans="1:16" x14ac:dyDescent="0.25">
      <c r="A436" s="15"/>
      <c r="B436" s="15"/>
      <c r="C436" s="3">
        <v>0</v>
      </c>
      <c r="D436" s="3">
        <v>320</v>
      </c>
      <c r="E436" s="3">
        <v>0</v>
      </c>
      <c r="F436">
        <v>620</v>
      </c>
      <c r="G436">
        <v>1240</v>
      </c>
      <c r="H436" s="3">
        <v>0</v>
      </c>
      <c r="I436">
        <v>0</v>
      </c>
      <c r="J436">
        <v>0</v>
      </c>
      <c r="K436">
        <v>160</v>
      </c>
      <c r="L436">
        <v>28</v>
      </c>
      <c r="M436" s="10">
        <v>26</v>
      </c>
      <c r="N436" s="2">
        <f t="shared" si="15"/>
        <v>331.13399999999996</v>
      </c>
      <c r="O436" s="2">
        <f t="shared" si="14"/>
        <v>151.22649999999999</v>
      </c>
      <c r="P436">
        <v>56</v>
      </c>
    </row>
    <row r="437" spans="1:16" x14ac:dyDescent="0.25">
      <c r="A437" s="15"/>
      <c r="B437" s="15"/>
      <c r="C437" s="3">
        <v>5</v>
      </c>
      <c r="D437" s="3">
        <v>311</v>
      </c>
      <c r="E437" s="3">
        <v>16</v>
      </c>
      <c r="F437">
        <v>620</v>
      </c>
      <c r="G437">
        <v>1240</v>
      </c>
      <c r="H437" s="3">
        <v>0</v>
      </c>
      <c r="I437">
        <v>0</v>
      </c>
      <c r="J437">
        <v>0</v>
      </c>
      <c r="K437">
        <v>160</v>
      </c>
      <c r="L437">
        <v>7</v>
      </c>
      <c r="M437" s="10">
        <v>19</v>
      </c>
      <c r="N437" s="2">
        <f t="shared" si="15"/>
        <v>324.464</v>
      </c>
      <c r="O437" s="2">
        <f t="shared" si="14"/>
        <v>147.82900000000001</v>
      </c>
      <c r="P437">
        <v>50</v>
      </c>
    </row>
    <row r="438" spans="1:16" x14ac:dyDescent="0.25">
      <c r="A438" s="15"/>
      <c r="B438" s="15"/>
      <c r="C438" s="3">
        <v>5</v>
      </c>
      <c r="D438" s="3">
        <v>311</v>
      </c>
      <c r="E438" s="3">
        <v>16</v>
      </c>
      <c r="F438">
        <v>620</v>
      </c>
      <c r="G438">
        <v>1240</v>
      </c>
      <c r="H438" s="3">
        <v>0</v>
      </c>
      <c r="I438">
        <v>0</v>
      </c>
      <c r="J438">
        <v>0</v>
      </c>
      <c r="K438">
        <v>160</v>
      </c>
      <c r="L438">
        <v>14</v>
      </c>
      <c r="M438" s="10">
        <v>24</v>
      </c>
      <c r="N438" s="2">
        <f t="shared" si="15"/>
        <v>324.464</v>
      </c>
      <c r="O438" s="2">
        <f t="shared" si="14"/>
        <v>147.82900000000001</v>
      </c>
      <c r="P438">
        <v>50</v>
      </c>
    </row>
    <row r="439" spans="1:16" x14ac:dyDescent="0.25">
      <c r="A439" s="15"/>
      <c r="B439" s="15"/>
      <c r="C439" s="3">
        <v>5</v>
      </c>
      <c r="D439" s="3">
        <v>311</v>
      </c>
      <c r="E439" s="3">
        <v>16</v>
      </c>
      <c r="F439">
        <v>620</v>
      </c>
      <c r="G439">
        <v>1240</v>
      </c>
      <c r="H439" s="3">
        <v>0</v>
      </c>
      <c r="I439">
        <v>0</v>
      </c>
      <c r="J439">
        <v>0</v>
      </c>
      <c r="K439">
        <v>160</v>
      </c>
      <c r="L439">
        <v>28</v>
      </c>
      <c r="M439" s="10">
        <v>28</v>
      </c>
      <c r="N439" s="2">
        <f t="shared" si="15"/>
        <v>324.464</v>
      </c>
      <c r="O439" s="2">
        <f t="shared" si="14"/>
        <v>147.82900000000001</v>
      </c>
      <c r="P439">
        <v>50</v>
      </c>
    </row>
    <row r="440" spans="1:16" x14ac:dyDescent="0.25">
      <c r="A440" s="15"/>
      <c r="B440" s="15"/>
      <c r="C440" s="3">
        <v>10</v>
      </c>
      <c r="D440" s="3">
        <v>295</v>
      </c>
      <c r="E440" s="3">
        <v>32</v>
      </c>
      <c r="F440">
        <v>620</v>
      </c>
      <c r="G440">
        <v>1240</v>
      </c>
      <c r="H440" s="3">
        <v>0</v>
      </c>
      <c r="I440">
        <v>0</v>
      </c>
      <c r="J440">
        <v>0</v>
      </c>
      <c r="K440">
        <v>160</v>
      </c>
      <c r="L440">
        <v>7</v>
      </c>
      <c r="M440" s="10">
        <v>20</v>
      </c>
      <c r="N440" s="2">
        <f t="shared" si="15"/>
        <v>311.98399999999998</v>
      </c>
      <c r="O440" s="2">
        <f t="shared" si="14"/>
        <v>141.78899999999999</v>
      </c>
      <c r="P440">
        <v>41</v>
      </c>
    </row>
    <row r="441" spans="1:16" x14ac:dyDescent="0.25">
      <c r="A441" s="15"/>
      <c r="B441" s="15"/>
      <c r="C441" s="3">
        <v>10</v>
      </c>
      <c r="D441" s="3">
        <v>295</v>
      </c>
      <c r="E441" s="3">
        <v>32</v>
      </c>
      <c r="F441">
        <v>620</v>
      </c>
      <c r="G441">
        <v>1240</v>
      </c>
      <c r="H441" s="3">
        <v>0</v>
      </c>
      <c r="I441">
        <v>0</v>
      </c>
      <c r="J441">
        <v>0</v>
      </c>
      <c r="K441">
        <v>160</v>
      </c>
      <c r="L441">
        <v>14</v>
      </c>
      <c r="M441" s="10">
        <v>25</v>
      </c>
      <c r="N441" s="2">
        <f t="shared" si="15"/>
        <v>311.98399999999998</v>
      </c>
      <c r="O441" s="2">
        <f t="shared" si="14"/>
        <v>141.78899999999999</v>
      </c>
      <c r="P441">
        <v>41</v>
      </c>
    </row>
    <row r="442" spans="1:16" x14ac:dyDescent="0.25">
      <c r="A442" s="15"/>
      <c r="B442" s="15"/>
      <c r="C442" s="3">
        <v>10</v>
      </c>
      <c r="D442" s="3">
        <v>295</v>
      </c>
      <c r="E442" s="3">
        <v>32</v>
      </c>
      <c r="F442">
        <v>620</v>
      </c>
      <c r="G442">
        <v>1240</v>
      </c>
      <c r="H442" s="3">
        <v>0</v>
      </c>
      <c r="I442">
        <v>0</v>
      </c>
      <c r="J442">
        <v>0</v>
      </c>
      <c r="K442">
        <v>160</v>
      </c>
      <c r="L442">
        <v>28</v>
      </c>
      <c r="M442" s="10">
        <v>29</v>
      </c>
      <c r="N442" s="2">
        <f t="shared" si="15"/>
        <v>311.98399999999998</v>
      </c>
      <c r="O442" s="2">
        <f t="shared" si="14"/>
        <v>141.78899999999999</v>
      </c>
      <c r="P442">
        <v>41</v>
      </c>
    </row>
    <row r="443" spans="1:16" x14ac:dyDescent="0.25">
      <c r="A443" s="15"/>
      <c r="B443" s="15"/>
      <c r="C443" s="3">
        <v>15</v>
      </c>
      <c r="D443" s="3">
        <v>278</v>
      </c>
      <c r="E443" s="3">
        <v>48</v>
      </c>
      <c r="F443">
        <v>620</v>
      </c>
      <c r="G443">
        <v>1240</v>
      </c>
      <c r="H443" s="3">
        <v>0</v>
      </c>
      <c r="I443">
        <v>0</v>
      </c>
      <c r="J443">
        <v>0</v>
      </c>
      <c r="K443">
        <v>160</v>
      </c>
      <c r="L443">
        <v>7</v>
      </c>
      <c r="M443" s="10">
        <v>18</v>
      </c>
      <c r="N443" s="2">
        <f t="shared" si="15"/>
        <v>298.67399999999998</v>
      </c>
      <c r="O443" s="2">
        <f t="shared" si="14"/>
        <v>135.3715</v>
      </c>
      <c r="P443">
        <v>32</v>
      </c>
    </row>
    <row r="444" spans="1:16" x14ac:dyDescent="0.25">
      <c r="A444" s="15"/>
      <c r="B444" s="15"/>
      <c r="C444" s="3">
        <v>15</v>
      </c>
      <c r="D444" s="3">
        <v>278</v>
      </c>
      <c r="E444" s="3">
        <v>48</v>
      </c>
      <c r="F444">
        <v>620</v>
      </c>
      <c r="G444">
        <v>1240</v>
      </c>
      <c r="H444" s="3">
        <v>0</v>
      </c>
      <c r="I444">
        <v>0</v>
      </c>
      <c r="J444">
        <v>0</v>
      </c>
      <c r="K444">
        <v>160</v>
      </c>
      <c r="L444">
        <v>14</v>
      </c>
      <c r="M444" s="10">
        <v>22</v>
      </c>
      <c r="N444" s="2">
        <f t="shared" si="15"/>
        <v>298.67399999999998</v>
      </c>
      <c r="O444" s="2">
        <f t="shared" si="14"/>
        <v>135.3715</v>
      </c>
      <c r="P444">
        <v>32</v>
      </c>
    </row>
    <row r="445" spans="1:16" x14ac:dyDescent="0.25">
      <c r="A445" s="15"/>
      <c r="B445" s="15"/>
      <c r="C445" s="3">
        <v>15</v>
      </c>
      <c r="D445" s="3">
        <v>278</v>
      </c>
      <c r="E445" s="3">
        <v>48</v>
      </c>
      <c r="F445">
        <v>620</v>
      </c>
      <c r="G445">
        <v>1240</v>
      </c>
      <c r="H445" s="3">
        <v>0</v>
      </c>
      <c r="I445">
        <v>0</v>
      </c>
      <c r="J445">
        <v>0</v>
      </c>
      <c r="K445">
        <v>160</v>
      </c>
      <c r="L445">
        <v>28</v>
      </c>
      <c r="M445" s="10">
        <v>26</v>
      </c>
      <c r="N445" s="2">
        <f t="shared" si="15"/>
        <v>298.67399999999998</v>
      </c>
      <c r="O445" s="2">
        <f t="shared" si="14"/>
        <v>135.3715</v>
      </c>
      <c r="P445">
        <v>32</v>
      </c>
    </row>
    <row r="446" spans="1:16" x14ac:dyDescent="0.25">
      <c r="A446" s="15"/>
      <c r="B446" s="15"/>
      <c r="C446" s="3">
        <v>20</v>
      </c>
      <c r="D446" s="3">
        <v>262</v>
      </c>
      <c r="E446" s="3">
        <v>64</v>
      </c>
      <c r="F446">
        <v>620</v>
      </c>
      <c r="G446">
        <v>1240</v>
      </c>
      <c r="H446" s="3">
        <v>0</v>
      </c>
      <c r="I446">
        <v>0</v>
      </c>
      <c r="J446">
        <v>0</v>
      </c>
      <c r="K446">
        <v>160</v>
      </c>
      <c r="L446">
        <v>7</v>
      </c>
      <c r="M446" s="10">
        <v>16</v>
      </c>
      <c r="N446" s="2">
        <f t="shared" si="15"/>
        <v>286.19399999999996</v>
      </c>
      <c r="O446" s="2">
        <f t="shared" si="14"/>
        <v>129.33150000000001</v>
      </c>
      <c r="P446">
        <v>27</v>
      </c>
    </row>
    <row r="447" spans="1:16" x14ac:dyDescent="0.25">
      <c r="A447" s="15"/>
      <c r="B447" s="15"/>
      <c r="C447" s="3">
        <v>20</v>
      </c>
      <c r="D447" s="3">
        <v>262</v>
      </c>
      <c r="E447" s="3">
        <v>64</v>
      </c>
      <c r="F447">
        <v>620</v>
      </c>
      <c r="G447">
        <v>1240</v>
      </c>
      <c r="H447" s="3">
        <v>0</v>
      </c>
      <c r="I447">
        <v>0</v>
      </c>
      <c r="J447">
        <v>0</v>
      </c>
      <c r="K447">
        <v>160</v>
      </c>
      <c r="L447">
        <v>14</v>
      </c>
      <c r="M447" s="10">
        <v>21</v>
      </c>
      <c r="N447" s="2">
        <f t="shared" si="15"/>
        <v>286.19399999999996</v>
      </c>
      <c r="O447" s="2">
        <f t="shared" si="14"/>
        <v>129.33150000000001</v>
      </c>
      <c r="P447">
        <v>27</v>
      </c>
    </row>
    <row r="448" spans="1:16" x14ac:dyDescent="0.25">
      <c r="A448" s="15"/>
      <c r="B448" s="15"/>
      <c r="C448" s="3">
        <v>20</v>
      </c>
      <c r="D448" s="3">
        <v>262</v>
      </c>
      <c r="E448" s="3">
        <v>64</v>
      </c>
      <c r="F448">
        <v>620</v>
      </c>
      <c r="G448">
        <v>1240</v>
      </c>
      <c r="H448" s="3">
        <v>0</v>
      </c>
      <c r="I448">
        <v>0</v>
      </c>
      <c r="J448">
        <v>0</v>
      </c>
      <c r="K448">
        <v>160</v>
      </c>
      <c r="L448">
        <v>28</v>
      </c>
      <c r="M448" s="10">
        <v>23</v>
      </c>
      <c r="N448" s="2">
        <f t="shared" si="15"/>
        <v>286.19399999999996</v>
      </c>
      <c r="O448" s="2">
        <f t="shared" si="14"/>
        <v>129.33150000000001</v>
      </c>
      <c r="P448">
        <v>27</v>
      </c>
    </row>
    <row r="449" spans="1:16" x14ac:dyDescent="0.25">
      <c r="A449" s="15" t="s">
        <v>373</v>
      </c>
      <c r="B449" s="15" t="s">
        <v>372</v>
      </c>
      <c r="C449" s="3">
        <v>0</v>
      </c>
      <c r="D449" s="3">
        <v>292.3</v>
      </c>
      <c r="E449" s="3">
        <v>0</v>
      </c>
      <c r="F449" s="10">
        <v>1127.3</v>
      </c>
      <c r="G449" s="10">
        <v>336.7</v>
      </c>
      <c r="H449" s="10">
        <v>0</v>
      </c>
      <c r="I449">
        <v>0</v>
      </c>
      <c r="J449">
        <v>0</v>
      </c>
      <c r="K449" s="10">
        <v>146.1</v>
      </c>
      <c r="L449">
        <v>7</v>
      </c>
      <c r="M449" s="10">
        <v>16.3</v>
      </c>
      <c r="N449" s="2">
        <f t="shared" si="15"/>
        <v>273.733</v>
      </c>
      <c r="O449" s="2">
        <f t="shared" si="14"/>
        <v>136.7052075</v>
      </c>
      <c r="P449">
        <v>51</v>
      </c>
    </row>
    <row r="450" spans="1:16" x14ac:dyDescent="0.25">
      <c r="A450" s="15"/>
      <c r="B450" s="15"/>
      <c r="C450" s="3">
        <v>0</v>
      </c>
      <c r="D450" s="3">
        <v>292.3</v>
      </c>
      <c r="E450" s="3">
        <v>0</v>
      </c>
      <c r="F450" s="10">
        <v>1127.3</v>
      </c>
      <c r="G450" s="10">
        <v>336.7</v>
      </c>
      <c r="H450" s="10">
        <v>0</v>
      </c>
      <c r="I450">
        <v>0</v>
      </c>
      <c r="J450">
        <v>0</v>
      </c>
      <c r="K450" s="10">
        <v>146.1</v>
      </c>
      <c r="L450">
        <v>28</v>
      </c>
      <c r="M450" s="10">
        <v>21</v>
      </c>
      <c r="N450" s="2">
        <f t="shared" si="15"/>
        <v>273.733</v>
      </c>
      <c r="O450" s="2">
        <f t="shared" si="14"/>
        <v>136.7052075</v>
      </c>
      <c r="P450">
        <v>51</v>
      </c>
    </row>
    <row r="451" spans="1:16" x14ac:dyDescent="0.25">
      <c r="A451" s="15"/>
      <c r="B451" s="15"/>
      <c r="C451" s="3">
        <v>0</v>
      </c>
      <c r="D451" s="3">
        <v>292.3</v>
      </c>
      <c r="E451" s="3">
        <v>0</v>
      </c>
      <c r="F451" s="10">
        <v>1127.3</v>
      </c>
      <c r="G451" s="10">
        <v>336.7</v>
      </c>
      <c r="H451" s="10">
        <v>0</v>
      </c>
      <c r="I451">
        <v>0</v>
      </c>
      <c r="J451">
        <v>0</v>
      </c>
      <c r="K451" s="10">
        <v>146.1</v>
      </c>
      <c r="L451">
        <v>56</v>
      </c>
      <c r="M451" s="10">
        <v>23.7</v>
      </c>
      <c r="N451" s="2">
        <f t="shared" si="15"/>
        <v>273.733</v>
      </c>
      <c r="O451" s="2">
        <f t="shared" ref="O451:O508" si="16">SUM((D451*5)+((F451*0.25)+(G451*0.2)+(H451*20)))*0.0755</f>
        <v>136.7052075</v>
      </c>
      <c r="P451">
        <v>51</v>
      </c>
    </row>
    <row r="452" spans="1:16" x14ac:dyDescent="0.25">
      <c r="A452" s="15"/>
      <c r="B452" s="15"/>
      <c r="C452" s="3">
        <v>0</v>
      </c>
      <c r="D452" s="3">
        <v>292.3</v>
      </c>
      <c r="E452" s="3">
        <v>0</v>
      </c>
      <c r="F452" s="10">
        <v>1127.3</v>
      </c>
      <c r="G452" s="10">
        <v>336.7</v>
      </c>
      <c r="H452" s="10">
        <v>0</v>
      </c>
      <c r="I452">
        <v>0</v>
      </c>
      <c r="J452">
        <v>0</v>
      </c>
      <c r="K452" s="10">
        <v>146.1</v>
      </c>
      <c r="L452">
        <v>90</v>
      </c>
      <c r="M452" s="10">
        <v>25.6</v>
      </c>
      <c r="N452" s="2">
        <f t="shared" si="15"/>
        <v>273.733</v>
      </c>
      <c r="O452" s="2">
        <f t="shared" si="16"/>
        <v>136.7052075</v>
      </c>
      <c r="P452">
        <v>51</v>
      </c>
    </row>
    <row r="453" spans="1:16" x14ac:dyDescent="0.25">
      <c r="A453" s="15"/>
      <c r="B453" s="15"/>
      <c r="C453" s="3">
        <v>10</v>
      </c>
      <c r="D453" s="3">
        <v>262.8</v>
      </c>
      <c r="E453" s="3">
        <v>29</v>
      </c>
      <c r="F453" s="10">
        <v>1127.3</v>
      </c>
      <c r="G453" s="10">
        <v>336.7</v>
      </c>
      <c r="H453" s="10">
        <v>0</v>
      </c>
      <c r="I453">
        <v>0</v>
      </c>
      <c r="J453">
        <v>0</v>
      </c>
      <c r="K453" s="10">
        <v>146.1</v>
      </c>
      <c r="L453">
        <v>7</v>
      </c>
      <c r="M453" s="10">
        <v>15.8</v>
      </c>
      <c r="N453" s="2">
        <f t="shared" si="15"/>
        <v>250.69799999999998</v>
      </c>
      <c r="O453" s="2">
        <f t="shared" si="16"/>
        <v>125.5689575</v>
      </c>
      <c r="P453">
        <v>36</v>
      </c>
    </row>
    <row r="454" spans="1:16" x14ac:dyDescent="0.25">
      <c r="A454" s="15"/>
      <c r="B454" s="15"/>
      <c r="C454" s="3">
        <v>10</v>
      </c>
      <c r="D454" s="3">
        <v>262.8</v>
      </c>
      <c r="E454" s="3">
        <v>29</v>
      </c>
      <c r="F454" s="10">
        <v>1127.3</v>
      </c>
      <c r="G454" s="10">
        <v>336.7</v>
      </c>
      <c r="H454" s="10">
        <v>0</v>
      </c>
      <c r="I454">
        <v>0</v>
      </c>
      <c r="J454">
        <v>0</v>
      </c>
      <c r="K454" s="10">
        <v>146.1</v>
      </c>
      <c r="L454">
        <v>28</v>
      </c>
      <c r="M454" s="10">
        <v>20.7</v>
      </c>
      <c r="N454" s="2">
        <f t="shared" si="15"/>
        <v>250.69799999999998</v>
      </c>
      <c r="O454" s="2">
        <f t="shared" si="16"/>
        <v>125.5689575</v>
      </c>
      <c r="P454">
        <v>36</v>
      </c>
    </row>
    <row r="455" spans="1:16" x14ac:dyDescent="0.25">
      <c r="A455" s="15"/>
      <c r="B455" s="15"/>
      <c r="C455" s="3">
        <v>10</v>
      </c>
      <c r="D455" s="3">
        <v>262.8</v>
      </c>
      <c r="E455" s="3">
        <v>29</v>
      </c>
      <c r="F455" s="10">
        <v>1127.3</v>
      </c>
      <c r="G455" s="10">
        <v>336.7</v>
      </c>
      <c r="H455" s="10">
        <v>0</v>
      </c>
      <c r="I455">
        <v>0</v>
      </c>
      <c r="J455">
        <v>0</v>
      </c>
      <c r="K455" s="10">
        <v>146.1</v>
      </c>
      <c r="L455">
        <v>56</v>
      </c>
      <c r="M455" s="10">
        <v>22.1</v>
      </c>
      <c r="N455" s="2">
        <f t="shared" si="15"/>
        <v>250.69799999999998</v>
      </c>
      <c r="O455" s="2">
        <f t="shared" si="16"/>
        <v>125.5689575</v>
      </c>
      <c r="P455">
        <v>36</v>
      </c>
    </row>
    <row r="456" spans="1:16" x14ac:dyDescent="0.25">
      <c r="A456" s="15"/>
      <c r="B456" s="15"/>
      <c r="C456" s="3">
        <v>10</v>
      </c>
      <c r="D456" s="3">
        <v>262.8</v>
      </c>
      <c r="E456" s="3">
        <v>29</v>
      </c>
      <c r="F456" s="10">
        <v>1127.3</v>
      </c>
      <c r="G456" s="10">
        <v>336.7</v>
      </c>
      <c r="H456" s="10">
        <v>0</v>
      </c>
      <c r="I456">
        <v>0</v>
      </c>
      <c r="J456">
        <v>0</v>
      </c>
      <c r="K456" s="10">
        <v>146.1</v>
      </c>
      <c r="L456">
        <v>90</v>
      </c>
      <c r="M456" s="10">
        <v>23</v>
      </c>
      <c r="N456" s="2">
        <f t="shared" si="15"/>
        <v>250.69799999999998</v>
      </c>
      <c r="O456" s="2">
        <f t="shared" si="16"/>
        <v>125.5689575</v>
      </c>
      <c r="P456">
        <v>36</v>
      </c>
    </row>
    <row r="457" spans="1:16" x14ac:dyDescent="0.25">
      <c r="A457" s="15"/>
      <c r="B457" s="15"/>
      <c r="C457" s="3">
        <v>20</v>
      </c>
      <c r="D457" s="3">
        <v>233.4</v>
      </c>
      <c r="E457" s="3">
        <v>58</v>
      </c>
      <c r="F457" s="10">
        <v>1127.3</v>
      </c>
      <c r="G457" s="10">
        <v>336.7</v>
      </c>
      <c r="H457" s="10">
        <v>0</v>
      </c>
      <c r="I457">
        <v>0</v>
      </c>
      <c r="J457">
        <v>0</v>
      </c>
      <c r="K457" s="10">
        <v>146.1</v>
      </c>
      <c r="L457">
        <v>7</v>
      </c>
      <c r="M457" s="10">
        <v>12.5</v>
      </c>
      <c r="N457" s="2">
        <f t="shared" si="15"/>
        <v>227.74600000000001</v>
      </c>
      <c r="O457" s="2">
        <f t="shared" si="16"/>
        <v>114.47045749999999</v>
      </c>
      <c r="P457">
        <v>24</v>
      </c>
    </row>
    <row r="458" spans="1:16" x14ac:dyDescent="0.25">
      <c r="A458" s="15"/>
      <c r="B458" s="15"/>
      <c r="C458" s="3">
        <v>20</v>
      </c>
      <c r="D458" s="3">
        <v>233.4</v>
      </c>
      <c r="E458" s="3">
        <v>58</v>
      </c>
      <c r="F458" s="10">
        <v>1127.3</v>
      </c>
      <c r="G458" s="10">
        <v>336.7</v>
      </c>
      <c r="H458" s="10">
        <v>0</v>
      </c>
      <c r="I458">
        <v>0</v>
      </c>
      <c r="J458">
        <v>0</v>
      </c>
      <c r="K458" s="10">
        <v>146.1</v>
      </c>
      <c r="L458">
        <v>28</v>
      </c>
      <c r="M458" s="10">
        <v>15.2</v>
      </c>
      <c r="N458" s="2">
        <f t="shared" si="15"/>
        <v>227.74600000000001</v>
      </c>
      <c r="O458" s="2">
        <f t="shared" si="16"/>
        <v>114.47045749999999</v>
      </c>
      <c r="P458">
        <v>24</v>
      </c>
    </row>
    <row r="459" spans="1:16" x14ac:dyDescent="0.25">
      <c r="A459" s="15"/>
      <c r="B459" s="15"/>
      <c r="C459" s="3">
        <v>20</v>
      </c>
      <c r="D459" s="3">
        <v>233.4</v>
      </c>
      <c r="E459" s="3">
        <v>58</v>
      </c>
      <c r="F459" s="10">
        <v>1127.3</v>
      </c>
      <c r="G459" s="10">
        <v>336.7</v>
      </c>
      <c r="H459" s="10">
        <v>0</v>
      </c>
      <c r="I459">
        <v>0</v>
      </c>
      <c r="J459">
        <v>0</v>
      </c>
      <c r="K459" s="10">
        <v>146.1</v>
      </c>
      <c r="L459">
        <v>56</v>
      </c>
      <c r="M459" s="10">
        <v>15.9</v>
      </c>
      <c r="N459" s="2">
        <f t="shared" si="15"/>
        <v>227.74600000000001</v>
      </c>
      <c r="O459" s="2">
        <f t="shared" si="16"/>
        <v>114.47045749999999</v>
      </c>
      <c r="P459">
        <v>24</v>
      </c>
    </row>
    <row r="460" spans="1:16" x14ac:dyDescent="0.25">
      <c r="A460" s="15"/>
      <c r="B460" s="15"/>
      <c r="C460" s="3">
        <v>20</v>
      </c>
      <c r="D460" s="3">
        <v>233.4</v>
      </c>
      <c r="E460" s="3">
        <v>58</v>
      </c>
      <c r="F460" s="10">
        <v>1127.3</v>
      </c>
      <c r="G460" s="10">
        <v>336.7</v>
      </c>
      <c r="H460" s="10">
        <v>0</v>
      </c>
      <c r="I460">
        <v>0</v>
      </c>
      <c r="J460">
        <v>0</v>
      </c>
      <c r="K460" s="10">
        <v>146.1</v>
      </c>
      <c r="L460">
        <v>90</v>
      </c>
      <c r="M460" s="10">
        <v>16.399999999999999</v>
      </c>
      <c r="N460" s="2">
        <f t="shared" si="15"/>
        <v>227.74600000000001</v>
      </c>
      <c r="O460" s="2">
        <f t="shared" si="16"/>
        <v>114.47045749999999</v>
      </c>
      <c r="P460">
        <v>24</v>
      </c>
    </row>
    <row r="461" spans="1:16" x14ac:dyDescent="0.25">
      <c r="A461" s="15"/>
      <c r="B461" s="15"/>
      <c r="C461" s="3">
        <v>30</v>
      </c>
      <c r="D461" s="3">
        <v>204.4</v>
      </c>
      <c r="E461" s="3">
        <v>88</v>
      </c>
      <c r="F461" s="10">
        <v>1127.3</v>
      </c>
      <c r="G461" s="10">
        <v>336.7</v>
      </c>
      <c r="H461" s="10">
        <v>0</v>
      </c>
      <c r="I461">
        <v>0</v>
      </c>
      <c r="J461">
        <v>0</v>
      </c>
      <c r="K461" s="10">
        <v>146.1</v>
      </c>
      <c r="L461">
        <v>7</v>
      </c>
      <c r="M461" s="10">
        <v>10</v>
      </c>
      <c r="N461" s="2">
        <f t="shared" si="15"/>
        <v>205.17599999999999</v>
      </c>
      <c r="O461" s="2">
        <f t="shared" si="16"/>
        <v>103.52295749999999</v>
      </c>
      <c r="P461">
        <v>13</v>
      </c>
    </row>
    <row r="462" spans="1:16" x14ac:dyDescent="0.25">
      <c r="A462" s="15"/>
      <c r="B462" s="15"/>
      <c r="C462" s="3">
        <v>30</v>
      </c>
      <c r="D462" s="3">
        <v>204.4</v>
      </c>
      <c r="E462" s="3">
        <v>88</v>
      </c>
      <c r="F462" s="10">
        <v>1127.3</v>
      </c>
      <c r="G462" s="10">
        <v>336.7</v>
      </c>
      <c r="H462" s="10">
        <v>0</v>
      </c>
      <c r="I462">
        <v>0</v>
      </c>
      <c r="J462">
        <v>0</v>
      </c>
      <c r="K462" s="10">
        <v>146.1</v>
      </c>
      <c r="L462">
        <v>28</v>
      </c>
      <c r="M462" s="10">
        <v>13.5</v>
      </c>
      <c r="N462" s="2">
        <f t="shared" si="15"/>
        <v>205.17599999999999</v>
      </c>
      <c r="O462" s="2">
        <f t="shared" si="16"/>
        <v>103.52295749999999</v>
      </c>
      <c r="P462">
        <v>13</v>
      </c>
    </row>
    <row r="463" spans="1:16" x14ac:dyDescent="0.25">
      <c r="A463" s="15"/>
      <c r="B463" s="15"/>
      <c r="C463" s="3">
        <v>30</v>
      </c>
      <c r="D463" s="3">
        <v>204.4</v>
      </c>
      <c r="E463" s="3">
        <v>88</v>
      </c>
      <c r="F463" s="10">
        <v>1127.3</v>
      </c>
      <c r="G463" s="10">
        <v>336.7</v>
      </c>
      <c r="H463" s="10">
        <v>0</v>
      </c>
      <c r="I463">
        <v>0</v>
      </c>
      <c r="J463">
        <v>0</v>
      </c>
      <c r="K463" s="10">
        <v>146.1</v>
      </c>
      <c r="L463">
        <v>56</v>
      </c>
      <c r="M463" s="10">
        <v>13.7</v>
      </c>
      <c r="N463" s="2">
        <f t="shared" si="15"/>
        <v>205.17599999999999</v>
      </c>
      <c r="O463" s="2">
        <f t="shared" si="16"/>
        <v>103.52295749999999</v>
      </c>
      <c r="P463">
        <v>13</v>
      </c>
    </row>
    <row r="464" spans="1:16" x14ac:dyDescent="0.25">
      <c r="A464" s="15"/>
      <c r="B464" s="15"/>
      <c r="C464" s="3">
        <v>30</v>
      </c>
      <c r="D464" s="3">
        <v>204.4</v>
      </c>
      <c r="E464" s="3">
        <v>88</v>
      </c>
      <c r="F464" s="10">
        <v>1127.3</v>
      </c>
      <c r="G464" s="10">
        <v>336.7</v>
      </c>
      <c r="H464" s="10">
        <v>0</v>
      </c>
      <c r="I464">
        <v>0</v>
      </c>
      <c r="J464">
        <v>0</v>
      </c>
      <c r="K464" s="10">
        <v>146.1</v>
      </c>
      <c r="L464">
        <v>90</v>
      </c>
      <c r="M464" s="10">
        <v>13.8</v>
      </c>
      <c r="N464" s="2">
        <f t="shared" si="15"/>
        <v>205.17599999999999</v>
      </c>
      <c r="O464" s="2">
        <f t="shared" si="16"/>
        <v>103.52295749999999</v>
      </c>
      <c r="P464">
        <v>13</v>
      </c>
    </row>
    <row r="465" spans="1:16" x14ac:dyDescent="0.25">
      <c r="A465" s="15" t="s">
        <v>378</v>
      </c>
      <c r="B465" s="15" t="s">
        <v>376</v>
      </c>
      <c r="C465" s="3">
        <v>0</v>
      </c>
      <c r="D465">
        <v>550</v>
      </c>
      <c r="E465" s="3">
        <v>0</v>
      </c>
      <c r="F465">
        <v>690</v>
      </c>
      <c r="G465">
        <v>905</v>
      </c>
      <c r="H465" s="10">
        <v>6.05</v>
      </c>
      <c r="I465">
        <v>13.75</v>
      </c>
      <c r="J465">
        <v>0</v>
      </c>
      <c r="K465">
        <v>210</v>
      </c>
      <c r="L465">
        <v>28</v>
      </c>
      <c r="M465" s="10">
        <v>63.8</v>
      </c>
      <c r="N465" s="2">
        <f>SUM((D465*0.83)+(E465*0.05)+(F465*0.0139)+(G465*0.0459)+(H465*2))</f>
        <v>519.73050000000001</v>
      </c>
      <c r="O465" s="2">
        <f t="shared" si="16"/>
        <v>243.44974999999999</v>
      </c>
      <c r="P465">
        <v>0</v>
      </c>
    </row>
    <row r="466" spans="1:16" x14ac:dyDescent="0.25">
      <c r="A466" s="15"/>
      <c r="B466" s="15"/>
      <c r="C466" s="3">
        <v>0</v>
      </c>
      <c r="D466">
        <v>550</v>
      </c>
      <c r="E466" s="3">
        <v>0</v>
      </c>
      <c r="F466">
        <v>690</v>
      </c>
      <c r="G466">
        <v>905</v>
      </c>
      <c r="H466" s="10">
        <v>6.05</v>
      </c>
      <c r="I466">
        <v>13.75</v>
      </c>
      <c r="J466">
        <v>0</v>
      </c>
      <c r="K466">
        <v>210</v>
      </c>
      <c r="L466">
        <v>56</v>
      </c>
      <c r="M466" s="10">
        <v>77.400000000000006</v>
      </c>
      <c r="N466" s="2">
        <f t="shared" ref="N466:N508" si="17">SUM((D466*0.83)+(E466*0.05)+(F466*0.0139)+(G466*0.0459)+(H466*2))</f>
        <v>519.73050000000001</v>
      </c>
      <c r="O466" s="2">
        <f t="shared" si="16"/>
        <v>243.44974999999999</v>
      </c>
      <c r="P466">
        <v>0</v>
      </c>
    </row>
    <row r="467" spans="1:16" x14ac:dyDescent="0.25">
      <c r="A467" s="15"/>
      <c r="B467" s="15"/>
      <c r="C467" s="3">
        <v>0</v>
      </c>
      <c r="D467">
        <v>550</v>
      </c>
      <c r="E467" s="3">
        <v>0</v>
      </c>
      <c r="F467">
        <v>690</v>
      </c>
      <c r="G467">
        <v>905</v>
      </c>
      <c r="H467" s="10">
        <v>6.05</v>
      </c>
      <c r="I467">
        <v>13.75</v>
      </c>
      <c r="J467">
        <v>0</v>
      </c>
      <c r="K467">
        <v>210</v>
      </c>
      <c r="L467">
        <v>90</v>
      </c>
      <c r="M467" s="10">
        <v>87.4</v>
      </c>
      <c r="N467" s="2">
        <f t="shared" si="17"/>
        <v>519.73050000000001</v>
      </c>
      <c r="O467" s="2">
        <f t="shared" si="16"/>
        <v>243.44974999999999</v>
      </c>
      <c r="P467">
        <v>0</v>
      </c>
    </row>
    <row r="468" spans="1:16" x14ac:dyDescent="0.25">
      <c r="A468" s="15"/>
      <c r="B468" s="15"/>
      <c r="C468" s="3">
        <v>40</v>
      </c>
      <c r="D468">
        <v>330</v>
      </c>
      <c r="E468" s="3">
        <v>220</v>
      </c>
      <c r="F468">
        <v>690</v>
      </c>
      <c r="G468">
        <v>905</v>
      </c>
      <c r="H468" s="10">
        <v>6.05</v>
      </c>
      <c r="I468">
        <v>13.75</v>
      </c>
      <c r="J468">
        <v>0</v>
      </c>
      <c r="K468">
        <v>210</v>
      </c>
      <c r="L468">
        <v>28</v>
      </c>
      <c r="M468" s="10">
        <v>37.200000000000003</v>
      </c>
      <c r="N468" s="2">
        <f t="shared" si="17"/>
        <v>348.13049999999998</v>
      </c>
      <c r="O468" s="2">
        <f t="shared" si="16"/>
        <v>160.39974999999998</v>
      </c>
      <c r="P468">
        <v>0</v>
      </c>
    </row>
    <row r="469" spans="1:16" x14ac:dyDescent="0.25">
      <c r="A469" s="15"/>
      <c r="B469" s="15"/>
      <c r="C469" s="3">
        <v>40</v>
      </c>
      <c r="D469">
        <v>330</v>
      </c>
      <c r="E469" s="3">
        <v>220</v>
      </c>
      <c r="F469">
        <v>690</v>
      </c>
      <c r="G469">
        <v>905</v>
      </c>
      <c r="H469" s="10">
        <v>6.05</v>
      </c>
      <c r="I469">
        <v>13.75</v>
      </c>
      <c r="J469">
        <v>0</v>
      </c>
      <c r="K469">
        <v>210</v>
      </c>
      <c r="L469">
        <v>56</v>
      </c>
      <c r="M469" s="10">
        <v>67.400000000000006</v>
      </c>
      <c r="N469" s="2">
        <f t="shared" si="17"/>
        <v>348.13049999999998</v>
      </c>
      <c r="O469" s="2">
        <f t="shared" si="16"/>
        <v>160.39974999999998</v>
      </c>
      <c r="P469">
        <v>0</v>
      </c>
    </row>
    <row r="470" spans="1:16" x14ac:dyDescent="0.25">
      <c r="A470" s="15"/>
      <c r="B470" s="15"/>
      <c r="C470" s="3">
        <v>40</v>
      </c>
      <c r="D470">
        <v>330</v>
      </c>
      <c r="E470" s="3">
        <v>220</v>
      </c>
      <c r="F470">
        <v>690</v>
      </c>
      <c r="G470">
        <v>905</v>
      </c>
      <c r="H470" s="10">
        <v>6.05</v>
      </c>
      <c r="I470">
        <v>13.75</v>
      </c>
      <c r="J470">
        <v>0</v>
      </c>
      <c r="K470">
        <v>210</v>
      </c>
      <c r="L470">
        <v>90</v>
      </c>
      <c r="M470" s="10">
        <v>75.3</v>
      </c>
      <c r="N470" s="2">
        <f t="shared" si="17"/>
        <v>348.13049999999998</v>
      </c>
      <c r="O470" s="2">
        <f t="shared" si="16"/>
        <v>160.39974999999998</v>
      </c>
      <c r="P470">
        <v>0</v>
      </c>
    </row>
    <row r="471" spans="1:16" x14ac:dyDescent="0.25">
      <c r="A471" s="15"/>
      <c r="B471" s="15"/>
      <c r="C471" s="3">
        <v>40</v>
      </c>
      <c r="D471">
        <v>330</v>
      </c>
      <c r="E471" s="3">
        <v>220</v>
      </c>
      <c r="F471">
        <v>690</v>
      </c>
      <c r="G471">
        <v>905</v>
      </c>
      <c r="H471" s="10">
        <v>6.05</v>
      </c>
      <c r="I471">
        <v>13.75</v>
      </c>
      <c r="J471">
        <v>0</v>
      </c>
      <c r="K471">
        <v>210</v>
      </c>
      <c r="L471">
        <v>28</v>
      </c>
      <c r="M471" s="10">
        <v>58.3</v>
      </c>
      <c r="N471" s="2">
        <f t="shared" si="17"/>
        <v>348.13049999999998</v>
      </c>
      <c r="O471" s="2">
        <f t="shared" si="16"/>
        <v>160.39974999999998</v>
      </c>
      <c r="P471">
        <v>0</v>
      </c>
    </row>
    <row r="472" spans="1:16" x14ac:dyDescent="0.25">
      <c r="A472" s="15"/>
      <c r="B472" s="15"/>
      <c r="C472" s="3">
        <v>40</v>
      </c>
      <c r="D472">
        <v>330</v>
      </c>
      <c r="E472" s="3">
        <v>220</v>
      </c>
      <c r="F472">
        <v>690</v>
      </c>
      <c r="G472">
        <v>905</v>
      </c>
      <c r="H472" s="10">
        <v>6.05</v>
      </c>
      <c r="I472">
        <v>13.75</v>
      </c>
      <c r="J472">
        <v>0</v>
      </c>
      <c r="K472">
        <v>210</v>
      </c>
      <c r="L472">
        <v>56</v>
      </c>
      <c r="M472" s="10">
        <v>80.7</v>
      </c>
      <c r="N472" s="2">
        <f t="shared" si="17"/>
        <v>348.13049999999998</v>
      </c>
      <c r="O472" s="2">
        <f t="shared" si="16"/>
        <v>160.39974999999998</v>
      </c>
      <c r="P472">
        <v>0</v>
      </c>
    </row>
    <row r="473" spans="1:16" x14ac:dyDescent="0.25">
      <c r="A473" s="15"/>
      <c r="B473" s="15"/>
      <c r="C473" s="3">
        <v>40</v>
      </c>
      <c r="D473">
        <v>330</v>
      </c>
      <c r="E473" s="3">
        <v>220</v>
      </c>
      <c r="F473">
        <v>690</v>
      </c>
      <c r="G473">
        <v>905</v>
      </c>
      <c r="H473" s="10">
        <v>6.05</v>
      </c>
      <c r="I473">
        <v>13.75</v>
      </c>
      <c r="J473">
        <v>0</v>
      </c>
      <c r="K473">
        <v>210</v>
      </c>
      <c r="L473">
        <v>90</v>
      </c>
      <c r="M473" s="10">
        <v>90.4</v>
      </c>
      <c r="N473" s="2">
        <f t="shared" si="17"/>
        <v>348.13049999999998</v>
      </c>
      <c r="O473" s="2">
        <f t="shared" si="16"/>
        <v>160.39974999999998</v>
      </c>
      <c r="P473">
        <v>0</v>
      </c>
    </row>
    <row r="474" spans="1:16" x14ac:dyDescent="0.25">
      <c r="A474" s="15"/>
      <c r="B474" s="15"/>
      <c r="C474" s="3">
        <v>40</v>
      </c>
      <c r="D474">
        <v>330</v>
      </c>
      <c r="E474" s="3">
        <v>220</v>
      </c>
      <c r="F474">
        <v>690</v>
      </c>
      <c r="G474">
        <v>905</v>
      </c>
      <c r="H474" s="10">
        <v>6.05</v>
      </c>
      <c r="I474">
        <v>13.75</v>
      </c>
      <c r="J474">
        <v>0</v>
      </c>
      <c r="K474">
        <v>210</v>
      </c>
      <c r="L474">
        <v>28</v>
      </c>
      <c r="M474">
        <v>60.1</v>
      </c>
      <c r="N474" s="2">
        <f t="shared" si="17"/>
        <v>348.13049999999998</v>
      </c>
      <c r="O474" s="2">
        <f t="shared" si="16"/>
        <v>160.39974999999998</v>
      </c>
      <c r="P474">
        <v>0</v>
      </c>
    </row>
    <row r="475" spans="1:16" x14ac:dyDescent="0.25">
      <c r="A475" s="15"/>
      <c r="B475" s="15"/>
      <c r="C475" s="3">
        <v>40</v>
      </c>
      <c r="D475">
        <v>330</v>
      </c>
      <c r="E475" s="3">
        <v>220</v>
      </c>
      <c r="F475">
        <v>690</v>
      </c>
      <c r="G475">
        <v>905</v>
      </c>
      <c r="H475" s="10">
        <v>6.05</v>
      </c>
      <c r="I475">
        <v>13.75</v>
      </c>
      <c r="J475">
        <v>0</v>
      </c>
      <c r="K475">
        <v>210</v>
      </c>
      <c r="L475">
        <v>56</v>
      </c>
      <c r="M475" s="10">
        <v>77.599999999999994</v>
      </c>
      <c r="N475" s="2">
        <f t="shared" si="17"/>
        <v>348.13049999999998</v>
      </c>
      <c r="O475" s="2">
        <f t="shared" si="16"/>
        <v>160.39974999999998</v>
      </c>
      <c r="P475">
        <v>0</v>
      </c>
    </row>
    <row r="476" spans="1:16" x14ac:dyDescent="0.25">
      <c r="A476" s="15"/>
      <c r="B476" s="15"/>
      <c r="C476" s="3">
        <v>40</v>
      </c>
      <c r="D476">
        <v>330</v>
      </c>
      <c r="E476" s="3">
        <v>220</v>
      </c>
      <c r="F476">
        <v>690</v>
      </c>
      <c r="G476">
        <v>905</v>
      </c>
      <c r="H476" s="10">
        <v>6.05</v>
      </c>
      <c r="I476">
        <v>13.75</v>
      </c>
      <c r="J476">
        <v>0</v>
      </c>
      <c r="K476">
        <v>210</v>
      </c>
      <c r="L476">
        <v>90</v>
      </c>
      <c r="M476" s="10">
        <v>83.4</v>
      </c>
      <c r="N476" s="2">
        <f t="shared" si="17"/>
        <v>348.13049999999998</v>
      </c>
      <c r="O476" s="2">
        <f t="shared" si="16"/>
        <v>160.39974999999998</v>
      </c>
      <c r="P476">
        <v>0</v>
      </c>
    </row>
    <row r="477" spans="1:16" x14ac:dyDescent="0.25">
      <c r="A477" s="15" t="s">
        <v>400</v>
      </c>
      <c r="B477" s="15" t="s">
        <v>399</v>
      </c>
      <c r="C477" s="3">
        <v>0</v>
      </c>
      <c r="D477">
        <v>373</v>
      </c>
      <c r="E477" s="3">
        <v>0</v>
      </c>
      <c r="F477">
        <v>560</v>
      </c>
      <c r="G477">
        <v>1120</v>
      </c>
      <c r="H477" s="10">
        <v>0</v>
      </c>
      <c r="I477">
        <v>0</v>
      </c>
      <c r="J477">
        <v>0</v>
      </c>
      <c r="K477">
        <v>180</v>
      </c>
      <c r="L477">
        <v>28</v>
      </c>
      <c r="M477" s="10">
        <v>29</v>
      </c>
      <c r="N477" s="2">
        <f t="shared" si="17"/>
        <v>368.78199999999998</v>
      </c>
      <c r="O477" s="2">
        <f t="shared" si="16"/>
        <v>168.2895</v>
      </c>
      <c r="P477">
        <v>58</v>
      </c>
    </row>
    <row r="478" spans="1:16" x14ac:dyDescent="0.25">
      <c r="A478" s="15"/>
      <c r="B478" s="15"/>
      <c r="C478" s="3">
        <v>5</v>
      </c>
      <c r="D478">
        <v>354.35</v>
      </c>
      <c r="E478" s="3">
        <v>18.649999999999999</v>
      </c>
      <c r="F478">
        <v>560</v>
      </c>
      <c r="G478">
        <v>1120</v>
      </c>
      <c r="H478" s="10">
        <v>0</v>
      </c>
      <c r="I478">
        <v>0</v>
      </c>
      <c r="J478">
        <v>0</v>
      </c>
      <c r="K478">
        <v>180</v>
      </c>
      <c r="L478">
        <v>28</v>
      </c>
      <c r="M478" s="10">
        <v>31</v>
      </c>
      <c r="N478" s="2">
        <f t="shared" si="17"/>
        <v>354.23500000000001</v>
      </c>
      <c r="O478" s="2">
        <f t="shared" si="16"/>
        <v>161.24912499999999</v>
      </c>
      <c r="P478">
        <v>49</v>
      </c>
    </row>
    <row r="479" spans="1:16" x14ac:dyDescent="0.25">
      <c r="A479" s="15"/>
      <c r="B479" s="15"/>
      <c r="C479" s="3">
        <v>5</v>
      </c>
      <c r="D479">
        <v>354.35</v>
      </c>
      <c r="E479" s="3">
        <v>18.649999999999999</v>
      </c>
      <c r="F479">
        <v>560</v>
      </c>
      <c r="G479">
        <v>1120</v>
      </c>
      <c r="H479" s="10">
        <v>0</v>
      </c>
      <c r="I479">
        <v>0</v>
      </c>
      <c r="J479">
        <v>0</v>
      </c>
      <c r="K479">
        <v>180</v>
      </c>
      <c r="L479">
        <v>28</v>
      </c>
      <c r="M479" s="10">
        <v>32</v>
      </c>
      <c r="N479" s="2">
        <f t="shared" si="17"/>
        <v>354.23500000000001</v>
      </c>
      <c r="O479" s="2">
        <f t="shared" si="16"/>
        <v>161.24912499999999</v>
      </c>
      <c r="P479">
        <v>40</v>
      </c>
    </row>
    <row r="480" spans="1:16" x14ac:dyDescent="0.25">
      <c r="A480" s="15"/>
      <c r="B480" s="15"/>
      <c r="C480" s="3">
        <v>5</v>
      </c>
      <c r="D480">
        <v>354.35</v>
      </c>
      <c r="E480" s="3">
        <v>18.649999999999999</v>
      </c>
      <c r="F480">
        <v>560</v>
      </c>
      <c r="G480">
        <v>1120</v>
      </c>
      <c r="H480" s="10">
        <v>0</v>
      </c>
      <c r="I480">
        <v>0</v>
      </c>
      <c r="J480">
        <v>0</v>
      </c>
      <c r="K480">
        <v>180</v>
      </c>
      <c r="L480">
        <v>28</v>
      </c>
      <c r="M480" s="10">
        <v>30</v>
      </c>
      <c r="N480" s="2">
        <f t="shared" si="17"/>
        <v>354.23500000000001</v>
      </c>
      <c r="O480" s="2">
        <f t="shared" si="16"/>
        <v>161.24912499999999</v>
      </c>
      <c r="P480">
        <v>35</v>
      </c>
    </row>
    <row r="481" spans="1:16" x14ac:dyDescent="0.25">
      <c r="A481" s="15"/>
      <c r="B481" s="15"/>
      <c r="C481" s="3">
        <v>5</v>
      </c>
      <c r="D481">
        <v>354.35</v>
      </c>
      <c r="E481" s="3">
        <v>18.649999999999999</v>
      </c>
      <c r="F481">
        <v>560</v>
      </c>
      <c r="G481">
        <v>1120</v>
      </c>
      <c r="H481" s="10">
        <v>0</v>
      </c>
      <c r="I481">
        <v>0</v>
      </c>
      <c r="J481">
        <v>0</v>
      </c>
      <c r="K481">
        <v>180</v>
      </c>
      <c r="L481">
        <v>28</v>
      </c>
      <c r="M481" s="10">
        <v>28</v>
      </c>
      <c r="N481" s="2">
        <f t="shared" si="17"/>
        <v>354.23500000000001</v>
      </c>
      <c r="O481" s="2">
        <f t="shared" si="16"/>
        <v>161.24912499999999</v>
      </c>
      <c r="P481">
        <v>26</v>
      </c>
    </row>
    <row r="482" spans="1:16" x14ac:dyDescent="0.25">
      <c r="A482" s="15"/>
      <c r="B482" s="15"/>
      <c r="C482" s="3">
        <v>10</v>
      </c>
      <c r="D482">
        <v>335.7</v>
      </c>
      <c r="E482" s="3">
        <v>37.299999999999997</v>
      </c>
      <c r="F482">
        <v>560</v>
      </c>
      <c r="G482">
        <v>1120</v>
      </c>
      <c r="H482" s="10">
        <v>0</v>
      </c>
      <c r="I482">
        <v>0</v>
      </c>
      <c r="J482">
        <v>0</v>
      </c>
      <c r="K482">
        <v>180</v>
      </c>
      <c r="L482">
        <v>28</v>
      </c>
      <c r="M482" s="10">
        <v>32.5</v>
      </c>
      <c r="N482" s="2">
        <f t="shared" si="17"/>
        <v>339.68799999999999</v>
      </c>
      <c r="O482" s="2">
        <f t="shared" si="16"/>
        <v>154.20875000000001</v>
      </c>
      <c r="P482">
        <v>45</v>
      </c>
    </row>
    <row r="483" spans="1:16" x14ac:dyDescent="0.25">
      <c r="A483" s="15"/>
      <c r="B483" s="15"/>
      <c r="C483" s="3">
        <v>10</v>
      </c>
      <c r="D483">
        <v>335.7</v>
      </c>
      <c r="E483" s="3">
        <v>37.299999999999997</v>
      </c>
      <c r="F483">
        <v>560</v>
      </c>
      <c r="G483">
        <v>1120</v>
      </c>
      <c r="H483" s="10">
        <v>0</v>
      </c>
      <c r="I483">
        <v>0</v>
      </c>
      <c r="J483">
        <v>0</v>
      </c>
      <c r="K483">
        <v>180</v>
      </c>
      <c r="L483">
        <v>28</v>
      </c>
      <c r="M483" s="10">
        <v>33</v>
      </c>
      <c r="N483" s="2">
        <f t="shared" si="17"/>
        <v>339.68799999999999</v>
      </c>
      <c r="O483" s="2">
        <f t="shared" si="16"/>
        <v>154.20875000000001</v>
      </c>
      <c r="P483">
        <v>38</v>
      </c>
    </row>
    <row r="484" spans="1:16" x14ac:dyDescent="0.25">
      <c r="A484" s="15"/>
      <c r="B484" s="15"/>
      <c r="C484" s="3">
        <v>10</v>
      </c>
      <c r="D484">
        <v>335.7</v>
      </c>
      <c r="E484" s="3">
        <v>37.299999999999997</v>
      </c>
      <c r="F484">
        <v>560</v>
      </c>
      <c r="G484">
        <v>1120</v>
      </c>
      <c r="H484" s="10">
        <v>0</v>
      </c>
      <c r="I484">
        <v>0</v>
      </c>
      <c r="J484">
        <v>0</v>
      </c>
      <c r="K484">
        <v>180</v>
      </c>
      <c r="L484">
        <v>28</v>
      </c>
      <c r="M484" s="10">
        <v>30</v>
      </c>
      <c r="N484" s="2">
        <f t="shared" si="17"/>
        <v>339.68799999999999</v>
      </c>
      <c r="O484" s="2">
        <f t="shared" si="16"/>
        <v>154.20875000000001</v>
      </c>
      <c r="P484">
        <v>33</v>
      </c>
    </row>
    <row r="485" spans="1:16" x14ac:dyDescent="0.25">
      <c r="A485" s="15"/>
      <c r="B485" s="15"/>
      <c r="C485" s="3">
        <v>10</v>
      </c>
      <c r="D485">
        <v>335.7</v>
      </c>
      <c r="E485" s="3">
        <v>37.299999999999997</v>
      </c>
      <c r="F485">
        <v>560</v>
      </c>
      <c r="G485">
        <v>1120</v>
      </c>
      <c r="H485" s="10">
        <v>0</v>
      </c>
      <c r="I485">
        <v>0</v>
      </c>
      <c r="J485">
        <v>0</v>
      </c>
      <c r="K485">
        <v>180</v>
      </c>
      <c r="L485">
        <v>28</v>
      </c>
      <c r="M485" s="10">
        <v>28</v>
      </c>
      <c r="N485" s="2">
        <f t="shared" si="17"/>
        <v>339.68799999999999</v>
      </c>
      <c r="O485" s="2">
        <f t="shared" si="16"/>
        <v>154.20875000000001</v>
      </c>
      <c r="P485">
        <v>25</v>
      </c>
    </row>
    <row r="486" spans="1:16" x14ac:dyDescent="0.25">
      <c r="A486" s="15"/>
      <c r="B486" s="15"/>
      <c r="C486" s="3">
        <v>15</v>
      </c>
      <c r="D486">
        <v>317.05</v>
      </c>
      <c r="E486" s="3">
        <v>56</v>
      </c>
      <c r="F486">
        <v>560</v>
      </c>
      <c r="G486">
        <v>1120</v>
      </c>
      <c r="H486" s="10">
        <v>0</v>
      </c>
      <c r="I486">
        <v>0</v>
      </c>
      <c r="J486">
        <v>0</v>
      </c>
      <c r="K486">
        <v>180</v>
      </c>
      <c r="L486">
        <v>28</v>
      </c>
      <c r="M486" s="10">
        <v>30</v>
      </c>
      <c r="N486" s="2">
        <f t="shared" si="17"/>
        <v>325.14350000000002</v>
      </c>
      <c r="O486" s="2">
        <f t="shared" si="16"/>
        <v>147.168375</v>
      </c>
      <c r="P486">
        <v>35</v>
      </c>
    </row>
    <row r="487" spans="1:16" x14ac:dyDescent="0.25">
      <c r="A487" s="15"/>
      <c r="B487" s="15"/>
      <c r="C487" s="3">
        <v>15</v>
      </c>
      <c r="D487">
        <v>317.05</v>
      </c>
      <c r="E487" s="3">
        <v>56</v>
      </c>
      <c r="F487">
        <v>560</v>
      </c>
      <c r="G487">
        <v>1120</v>
      </c>
      <c r="H487" s="10">
        <v>0</v>
      </c>
      <c r="I487">
        <v>0</v>
      </c>
      <c r="J487">
        <v>0</v>
      </c>
      <c r="K487">
        <v>180</v>
      </c>
      <c r="L487">
        <v>28</v>
      </c>
      <c r="M487" s="10">
        <v>31.6</v>
      </c>
      <c r="N487" s="2">
        <f t="shared" si="17"/>
        <v>325.14350000000002</v>
      </c>
      <c r="O487" s="2">
        <f t="shared" si="16"/>
        <v>147.168375</v>
      </c>
      <c r="P487">
        <v>33</v>
      </c>
    </row>
    <row r="488" spans="1:16" x14ac:dyDescent="0.25">
      <c r="A488" s="15"/>
      <c r="B488" s="15"/>
      <c r="C488" s="3">
        <v>15</v>
      </c>
      <c r="D488">
        <v>317.05</v>
      </c>
      <c r="E488" s="3">
        <v>56</v>
      </c>
      <c r="F488">
        <v>560</v>
      </c>
      <c r="G488">
        <v>1120</v>
      </c>
      <c r="H488" s="10">
        <v>0</v>
      </c>
      <c r="I488">
        <v>0</v>
      </c>
      <c r="J488">
        <v>0</v>
      </c>
      <c r="K488">
        <v>180</v>
      </c>
      <c r="L488">
        <v>28</v>
      </c>
      <c r="M488" s="10">
        <v>29.5</v>
      </c>
      <c r="N488" s="2">
        <f t="shared" si="17"/>
        <v>325.14350000000002</v>
      </c>
      <c r="O488" s="2">
        <f t="shared" si="16"/>
        <v>147.168375</v>
      </c>
      <c r="P488">
        <v>27</v>
      </c>
    </row>
    <row r="489" spans="1:16" x14ac:dyDescent="0.25">
      <c r="A489" s="15"/>
      <c r="B489" s="15"/>
      <c r="C489" s="3">
        <v>15</v>
      </c>
      <c r="D489">
        <v>317.05</v>
      </c>
      <c r="E489" s="3">
        <v>56</v>
      </c>
      <c r="F489">
        <v>560</v>
      </c>
      <c r="G489">
        <v>1120</v>
      </c>
      <c r="H489" s="10">
        <v>0</v>
      </c>
      <c r="I489">
        <v>0</v>
      </c>
      <c r="J489">
        <v>0</v>
      </c>
      <c r="K489">
        <v>180</v>
      </c>
      <c r="L489">
        <v>28</v>
      </c>
      <c r="M489" s="10">
        <v>27.5</v>
      </c>
      <c r="N489" s="2">
        <f t="shared" si="17"/>
        <v>325.14350000000002</v>
      </c>
      <c r="O489" s="2">
        <f t="shared" si="16"/>
        <v>147.168375</v>
      </c>
      <c r="P489">
        <v>21</v>
      </c>
    </row>
    <row r="490" spans="1:16" x14ac:dyDescent="0.25">
      <c r="A490" s="15"/>
      <c r="B490" s="15"/>
      <c r="C490" s="3">
        <v>20</v>
      </c>
      <c r="D490">
        <v>298.39999999999998</v>
      </c>
      <c r="E490" s="3">
        <v>74.599999999999994</v>
      </c>
      <c r="F490">
        <v>560</v>
      </c>
      <c r="G490">
        <v>1120</v>
      </c>
      <c r="H490" s="10">
        <v>0</v>
      </c>
      <c r="I490">
        <v>0</v>
      </c>
      <c r="J490">
        <v>0</v>
      </c>
      <c r="K490">
        <v>180</v>
      </c>
      <c r="L490">
        <v>28</v>
      </c>
      <c r="M490" s="10">
        <v>29.8</v>
      </c>
      <c r="N490" s="2">
        <f t="shared" si="17"/>
        <v>310.59399999999999</v>
      </c>
      <c r="O490" s="2">
        <f t="shared" si="16"/>
        <v>140.12799999999999</v>
      </c>
      <c r="P490">
        <v>28</v>
      </c>
    </row>
    <row r="491" spans="1:16" x14ac:dyDescent="0.25">
      <c r="A491" s="15"/>
      <c r="B491" s="15"/>
      <c r="C491" s="3">
        <v>20</v>
      </c>
      <c r="D491">
        <v>298.39999999999998</v>
      </c>
      <c r="E491" s="3">
        <v>74.599999999999994</v>
      </c>
      <c r="F491">
        <v>560</v>
      </c>
      <c r="G491">
        <v>1120</v>
      </c>
      <c r="H491" s="10">
        <v>0</v>
      </c>
      <c r="I491">
        <v>0</v>
      </c>
      <c r="J491">
        <v>0</v>
      </c>
      <c r="K491">
        <v>180</v>
      </c>
      <c r="L491">
        <v>28</v>
      </c>
      <c r="M491" s="10">
        <v>30</v>
      </c>
      <c r="N491" s="2">
        <f t="shared" si="17"/>
        <v>310.59399999999999</v>
      </c>
      <c r="O491" s="2">
        <f t="shared" si="16"/>
        <v>140.12799999999999</v>
      </c>
      <c r="P491">
        <v>25</v>
      </c>
    </row>
    <row r="492" spans="1:16" x14ac:dyDescent="0.25">
      <c r="A492" s="15"/>
      <c r="B492" s="15"/>
      <c r="C492" s="3">
        <v>20</v>
      </c>
      <c r="D492">
        <v>298.39999999999998</v>
      </c>
      <c r="E492" s="3">
        <v>74.599999999999994</v>
      </c>
      <c r="F492">
        <v>560</v>
      </c>
      <c r="G492">
        <v>1120</v>
      </c>
      <c r="H492" s="10">
        <v>0</v>
      </c>
      <c r="I492">
        <v>0</v>
      </c>
      <c r="J492">
        <v>0</v>
      </c>
      <c r="K492">
        <v>180</v>
      </c>
      <c r="L492">
        <v>28</v>
      </c>
      <c r="M492" s="10">
        <v>28.6</v>
      </c>
      <c r="N492" s="2">
        <f t="shared" si="17"/>
        <v>310.59399999999999</v>
      </c>
      <c r="O492" s="2">
        <f t="shared" si="16"/>
        <v>140.12799999999999</v>
      </c>
      <c r="P492">
        <v>18</v>
      </c>
    </row>
    <row r="493" spans="1:16" x14ac:dyDescent="0.25">
      <c r="A493" s="15"/>
      <c r="B493" s="15"/>
      <c r="C493" s="3">
        <v>20</v>
      </c>
      <c r="D493">
        <v>298.39999999999998</v>
      </c>
      <c r="E493" s="3">
        <v>74.599999999999994</v>
      </c>
      <c r="F493">
        <v>560</v>
      </c>
      <c r="G493">
        <v>1120</v>
      </c>
      <c r="H493" s="10">
        <v>0</v>
      </c>
      <c r="I493">
        <v>0</v>
      </c>
      <c r="J493">
        <v>0</v>
      </c>
      <c r="K493">
        <v>180</v>
      </c>
      <c r="L493">
        <v>28</v>
      </c>
      <c r="M493" s="10">
        <v>26</v>
      </c>
      <c r="N493" s="2">
        <f t="shared" si="17"/>
        <v>310.59399999999999</v>
      </c>
      <c r="O493" s="2">
        <f t="shared" si="16"/>
        <v>140.12799999999999</v>
      </c>
      <c r="P493">
        <v>12</v>
      </c>
    </row>
    <row r="494" spans="1:16" x14ac:dyDescent="0.25">
      <c r="A494" s="15" t="s">
        <v>403</v>
      </c>
      <c r="B494" s="15" t="s">
        <v>402</v>
      </c>
      <c r="C494" s="3">
        <v>0</v>
      </c>
      <c r="D494">
        <v>425</v>
      </c>
      <c r="E494" s="3">
        <v>0</v>
      </c>
      <c r="F494">
        <v>625</v>
      </c>
      <c r="G494">
        <v>1270</v>
      </c>
      <c r="H494" s="10">
        <v>2.12</v>
      </c>
      <c r="I494">
        <v>0</v>
      </c>
      <c r="J494">
        <v>0</v>
      </c>
      <c r="K494">
        <v>191.25</v>
      </c>
      <c r="L494">
        <v>7</v>
      </c>
      <c r="M494" s="10">
        <v>11</v>
      </c>
      <c r="N494" s="2">
        <f t="shared" si="17"/>
        <v>423.97050000000002</v>
      </c>
      <c r="O494" s="2">
        <f t="shared" si="16"/>
        <v>194.61257499999999</v>
      </c>
      <c r="P494">
        <v>0</v>
      </c>
    </row>
    <row r="495" spans="1:16" x14ac:dyDescent="0.25">
      <c r="A495" s="15"/>
      <c r="B495" s="15"/>
      <c r="C495" s="3">
        <v>0</v>
      </c>
      <c r="D495">
        <v>425</v>
      </c>
      <c r="E495" s="3">
        <v>0</v>
      </c>
      <c r="F495">
        <v>625</v>
      </c>
      <c r="G495">
        <v>1270</v>
      </c>
      <c r="H495" s="10">
        <v>2.12</v>
      </c>
      <c r="I495">
        <v>0</v>
      </c>
      <c r="J495">
        <v>0</v>
      </c>
      <c r="K495">
        <v>191.25</v>
      </c>
      <c r="L495">
        <v>14</v>
      </c>
      <c r="M495" s="10">
        <v>18</v>
      </c>
      <c r="N495" s="2">
        <f t="shared" si="17"/>
        <v>423.97050000000002</v>
      </c>
      <c r="O495" s="2">
        <f t="shared" si="16"/>
        <v>194.61257499999999</v>
      </c>
      <c r="P495">
        <v>0</v>
      </c>
    </row>
    <row r="496" spans="1:16" x14ac:dyDescent="0.25">
      <c r="A496" s="15"/>
      <c r="B496" s="15"/>
      <c r="C496" s="3">
        <v>0</v>
      </c>
      <c r="D496">
        <v>425</v>
      </c>
      <c r="E496" s="3">
        <v>0</v>
      </c>
      <c r="F496">
        <v>625</v>
      </c>
      <c r="G496">
        <v>1270</v>
      </c>
      <c r="H496" s="10">
        <v>2.12</v>
      </c>
      <c r="I496">
        <v>0</v>
      </c>
      <c r="J496">
        <v>0</v>
      </c>
      <c r="K496">
        <v>191.25</v>
      </c>
      <c r="L496">
        <v>28</v>
      </c>
      <c r="M496" s="10">
        <v>27</v>
      </c>
      <c r="N496" s="2">
        <f t="shared" si="17"/>
        <v>423.97050000000002</v>
      </c>
      <c r="O496" s="2">
        <f t="shared" si="16"/>
        <v>194.61257499999999</v>
      </c>
      <c r="P496">
        <v>0</v>
      </c>
    </row>
    <row r="497" spans="1:16" x14ac:dyDescent="0.25">
      <c r="A497" s="15"/>
      <c r="B497" s="15"/>
      <c r="C497" s="3">
        <v>5</v>
      </c>
      <c r="D497">
        <v>403.7</v>
      </c>
      <c r="E497" s="3">
        <v>21.3</v>
      </c>
      <c r="F497">
        <v>625</v>
      </c>
      <c r="G497">
        <v>1270</v>
      </c>
      <c r="H497" s="10">
        <v>2.12</v>
      </c>
      <c r="I497">
        <v>0</v>
      </c>
      <c r="J497" s="3">
        <v>21.3</v>
      </c>
      <c r="K497">
        <v>191.25</v>
      </c>
      <c r="L497">
        <v>7</v>
      </c>
      <c r="M497" s="10">
        <v>11</v>
      </c>
      <c r="N497" s="2">
        <f t="shared" si="17"/>
        <v>407.35649999999998</v>
      </c>
      <c r="O497" s="2">
        <f t="shared" si="16"/>
        <v>186.57182499999999</v>
      </c>
      <c r="P497">
        <v>0</v>
      </c>
    </row>
    <row r="498" spans="1:16" x14ac:dyDescent="0.25">
      <c r="A498" s="15"/>
      <c r="B498" s="15"/>
      <c r="C498" s="3">
        <v>5</v>
      </c>
      <c r="D498">
        <v>403.7</v>
      </c>
      <c r="E498" s="3">
        <v>21.3</v>
      </c>
      <c r="F498">
        <v>625</v>
      </c>
      <c r="G498">
        <v>1270</v>
      </c>
      <c r="H498" s="10">
        <v>2.12</v>
      </c>
      <c r="I498">
        <v>0</v>
      </c>
      <c r="J498" s="3">
        <v>21.3</v>
      </c>
      <c r="K498">
        <v>191.25</v>
      </c>
      <c r="L498">
        <v>14</v>
      </c>
      <c r="M498" s="10">
        <v>18</v>
      </c>
      <c r="N498" s="2">
        <f t="shared" si="17"/>
        <v>407.35649999999998</v>
      </c>
      <c r="O498" s="2">
        <f t="shared" si="16"/>
        <v>186.57182499999999</v>
      </c>
      <c r="P498">
        <v>0</v>
      </c>
    </row>
    <row r="499" spans="1:16" x14ac:dyDescent="0.25">
      <c r="A499" s="15"/>
      <c r="B499" s="15"/>
      <c r="C499" s="3">
        <v>5</v>
      </c>
      <c r="D499">
        <v>403.7</v>
      </c>
      <c r="E499" s="3">
        <v>21.3</v>
      </c>
      <c r="F499">
        <v>625</v>
      </c>
      <c r="G499">
        <v>1270</v>
      </c>
      <c r="H499" s="10">
        <v>2.12</v>
      </c>
      <c r="I499">
        <v>0</v>
      </c>
      <c r="J499" s="3">
        <v>21.3</v>
      </c>
      <c r="K499">
        <v>191.25</v>
      </c>
      <c r="L499">
        <v>28</v>
      </c>
      <c r="M499" s="10">
        <v>28</v>
      </c>
      <c r="N499" s="2">
        <f t="shared" si="17"/>
        <v>407.35649999999998</v>
      </c>
      <c r="O499" s="2">
        <f t="shared" si="16"/>
        <v>186.57182499999999</v>
      </c>
      <c r="P499">
        <v>0</v>
      </c>
    </row>
    <row r="500" spans="1:16" x14ac:dyDescent="0.25">
      <c r="A500" s="15"/>
      <c r="B500" s="15"/>
      <c r="C500" s="3">
        <v>10</v>
      </c>
      <c r="D500">
        <v>382.7</v>
      </c>
      <c r="E500" s="3">
        <v>42.5</v>
      </c>
      <c r="F500">
        <v>625</v>
      </c>
      <c r="G500">
        <v>1270</v>
      </c>
      <c r="H500" s="10">
        <v>2.12</v>
      </c>
      <c r="I500">
        <v>0</v>
      </c>
      <c r="J500" s="3">
        <v>42.5</v>
      </c>
      <c r="K500">
        <v>191.25</v>
      </c>
      <c r="L500">
        <v>7</v>
      </c>
      <c r="M500" s="10">
        <v>12</v>
      </c>
      <c r="N500" s="2">
        <f t="shared" si="17"/>
        <v>390.98649999999998</v>
      </c>
      <c r="O500" s="2">
        <f t="shared" si="16"/>
        <v>178.64432500000001</v>
      </c>
      <c r="P500">
        <v>0</v>
      </c>
    </row>
    <row r="501" spans="1:16" x14ac:dyDescent="0.25">
      <c r="A501" s="15"/>
      <c r="B501" s="15"/>
      <c r="C501" s="3">
        <v>10</v>
      </c>
      <c r="D501">
        <v>382.7</v>
      </c>
      <c r="E501" s="3">
        <v>42.5</v>
      </c>
      <c r="F501">
        <v>625</v>
      </c>
      <c r="G501">
        <v>1270</v>
      </c>
      <c r="H501" s="10">
        <v>2.12</v>
      </c>
      <c r="I501">
        <v>0</v>
      </c>
      <c r="J501" s="3">
        <v>42.5</v>
      </c>
      <c r="K501">
        <v>191.25</v>
      </c>
      <c r="L501">
        <v>14</v>
      </c>
      <c r="M501" s="10">
        <v>20</v>
      </c>
      <c r="N501" s="2">
        <f t="shared" si="17"/>
        <v>390.98649999999998</v>
      </c>
      <c r="O501" s="2">
        <f t="shared" si="16"/>
        <v>178.64432500000001</v>
      </c>
      <c r="P501">
        <v>0</v>
      </c>
    </row>
    <row r="502" spans="1:16" x14ac:dyDescent="0.25">
      <c r="A502" s="15"/>
      <c r="B502" s="15"/>
      <c r="C502" s="3">
        <v>10</v>
      </c>
      <c r="D502">
        <v>382.7</v>
      </c>
      <c r="E502" s="3">
        <v>42.5</v>
      </c>
      <c r="F502">
        <v>625</v>
      </c>
      <c r="G502">
        <v>1270</v>
      </c>
      <c r="H502" s="10">
        <v>2.12</v>
      </c>
      <c r="I502">
        <v>0</v>
      </c>
      <c r="J502" s="3">
        <v>42.5</v>
      </c>
      <c r="K502">
        <v>191.25</v>
      </c>
      <c r="L502">
        <v>28</v>
      </c>
      <c r="M502" s="10">
        <v>31</v>
      </c>
      <c r="N502" s="2">
        <f t="shared" si="17"/>
        <v>390.98649999999998</v>
      </c>
      <c r="O502" s="2">
        <f t="shared" si="16"/>
        <v>178.64432500000001</v>
      </c>
      <c r="P502">
        <v>0</v>
      </c>
    </row>
    <row r="503" spans="1:16" x14ac:dyDescent="0.25">
      <c r="A503" s="15"/>
      <c r="B503" s="15"/>
      <c r="C503" s="3">
        <v>15</v>
      </c>
      <c r="D503">
        <v>361.2</v>
      </c>
      <c r="E503" s="3">
        <v>63.75</v>
      </c>
      <c r="F503">
        <v>625</v>
      </c>
      <c r="G503">
        <v>1270</v>
      </c>
      <c r="H503" s="10">
        <v>2.12</v>
      </c>
      <c r="I503">
        <v>0</v>
      </c>
      <c r="J503" s="3">
        <v>63.75</v>
      </c>
      <c r="K503">
        <v>191.25</v>
      </c>
      <c r="L503">
        <v>7</v>
      </c>
      <c r="M503" s="10">
        <v>11</v>
      </c>
      <c r="N503" s="2">
        <f t="shared" si="17"/>
        <v>374.20400000000001</v>
      </c>
      <c r="O503" s="2">
        <f t="shared" si="16"/>
        <v>170.528075</v>
      </c>
      <c r="P503">
        <v>0</v>
      </c>
    </row>
    <row r="504" spans="1:16" x14ac:dyDescent="0.25">
      <c r="A504" s="15"/>
      <c r="B504" s="15"/>
      <c r="C504" s="3">
        <v>15</v>
      </c>
      <c r="D504">
        <v>361.2</v>
      </c>
      <c r="E504" s="3">
        <v>63.75</v>
      </c>
      <c r="F504">
        <v>625</v>
      </c>
      <c r="G504">
        <v>1270</v>
      </c>
      <c r="H504" s="10">
        <v>2.12</v>
      </c>
      <c r="I504">
        <v>0</v>
      </c>
      <c r="J504" s="3">
        <v>63.75</v>
      </c>
      <c r="K504">
        <v>191.25</v>
      </c>
      <c r="L504">
        <v>14</v>
      </c>
      <c r="M504" s="10">
        <v>18</v>
      </c>
      <c r="N504" s="2">
        <f t="shared" si="17"/>
        <v>374.20400000000001</v>
      </c>
      <c r="O504" s="2">
        <f t="shared" si="16"/>
        <v>170.528075</v>
      </c>
      <c r="P504">
        <v>0</v>
      </c>
    </row>
    <row r="505" spans="1:16" x14ac:dyDescent="0.25">
      <c r="A505" s="15"/>
      <c r="B505" s="15"/>
      <c r="C505" s="3">
        <v>15</v>
      </c>
      <c r="D505">
        <v>361.2</v>
      </c>
      <c r="E505" s="3">
        <v>63.75</v>
      </c>
      <c r="F505">
        <v>625</v>
      </c>
      <c r="G505">
        <v>1270</v>
      </c>
      <c r="H505" s="10">
        <v>2.12</v>
      </c>
      <c r="I505">
        <v>0</v>
      </c>
      <c r="J505" s="3">
        <v>63.75</v>
      </c>
      <c r="K505">
        <v>191.25</v>
      </c>
      <c r="L505">
        <v>28</v>
      </c>
      <c r="M505" s="10">
        <v>28</v>
      </c>
      <c r="N505" s="2">
        <f t="shared" si="17"/>
        <v>374.20400000000001</v>
      </c>
      <c r="O505" s="2">
        <f t="shared" si="16"/>
        <v>170.528075</v>
      </c>
      <c r="P505">
        <v>0</v>
      </c>
    </row>
    <row r="506" spans="1:16" x14ac:dyDescent="0.25">
      <c r="A506" s="15"/>
      <c r="B506" s="15"/>
      <c r="C506" s="3">
        <v>20</v>
      </c>
      <c r="D506">
        <v>340</v>
      </c>
      <c r="E506" s="3">
        <v>85</v>
      </c>
      <c r="F506">
        <v>625</v>
      </c>
      <c r="G506">
        <v>1270</v>
      </c>
      <c r="H506" s="10">
        <v>2.12</v>
      </c>
      <c r="I506">
        <v>0</v>
      </c>
      <c r="J506" s="3">
        <v>85</v>
      </c>
      <c r="K506">
        <v>191.25</v>
      </c>
      <c r="L506">
        <v>7</v>
      </c>
      <c r="M506" s="10">
        <v>10</v>
      </c>
      <c r="N506" s="2">
        <f t="shared" si="17"/>
        <v>357.6705</v>
      </c>
      <c r="O506" s="2">
        <f t="shared" si="16"/>
        <v>162.52507500000002</v>
      </c>
      <c r="P506">
        <v>0</v>
      </c>
    </row>
    <row r="507" spans="1:16" x14ac:dyDescent="0.25">
      <c r="A507" s="15"/>
      <c r="B507" s="15"/>
      <c r="C507" s="3">
        <v>20</v>
      </c>
      <c r="D507">
        <v>340</v>
      </c>
      <c r="E507" s="3">
        <v>85</v>
      </c>
      <c r="F507">
        <v>625</v>
      </c>
      <c r="G507">
        <v>1270</v>
      </c>
      <c r="H507" s="10">
        <v>2.12</v>
      </c>
      <c r="I507">
        <v>0</v>
      </c>
      <c r="J507" s="3">
        <v>85</v>
      </c>
      <c r="K507">
        <v>191.25</v>
      </c>
      <c r="L507">
        <v>14</v>
      </c>
      <c r="M507" s="10">
        <v>16</v>
      </c>
      <c r="N507" s="2">
        <f t="shared" si="17"/>
        <v>357.6705</v>
      </c>
      <c r="O507" s="2">
        <f t="shared" si="16"/>
        <v>162.52507500000002</v>
      </c>
      <c r="P507">
        <v>0</v>
      </c>
    </row>
    <row r="508" spans="1:16" x14ac:dyDescent="0.25">
      <c r="A508" s="15"/>
      <c r="B508" s="15"/>
      <c r="C508" s="3">
        <v>20</v>
      </c>
      <c r="D508">
        <v>340</v>
      </c>
      <c r="E508" s="3">
        <v>85</v>
      </c>
      <c r="F508">
        <v>625</v>
      </c>
      <c r="G508">
        <v>1270</v>
      </c>
      <c r="H508" s="10">
        <v>2.12</v>
      </c>
      <c r="I508">
        <v>0</v>
      </c>
      <c r="J508" s="3">
        <v>85</v>
      </c>
      <c r="K508">
        <v>191.25</v>
      </c>
      <c r="L508">
        <v>28</v>
      </c>
      <c r="M508" s="10">
        <v>25</v>
      </c>
      <c r="N508" s="2">
        <f t="shared" si="17"/>
        <v>357.6705</v>
      </c>
      <c r="O508" s="2">
        <f t="shared" si="16"/>
        <v>162.52507500000002</v>
      </c>
      <c r="P508">
        <v>0</v>
      </c>
    </row>
  </sheetData>
  <mergeCells count="32">
    <mergeCell ref="A384:A416"/>
    <mergeCell ref="A340:A383"/>
    <mergeCell ref="A292:A339"/>
    <mergeCell ref="A248:A291"/>
    <mergeCell ref="A2:A45"/>
    <mergeCell ref="A46:A78"/>
    <mergeCell ref="A79:A111"/>
    <mergeCell ref="A112:A155"/>
    <mergeCell ref="A204:A247"/>
    <mergeCell ref="A156:A203"/>
    <mergeCell ref="B2:B45"/>
    <mergeCell ref="B46:B78"/>
    <mergeCell ref="B417:B433"/>
    <mergeCell ref="B384:B416"/>
    <mergeCell ref="B340:B383"/>
    <mergeCell ref="B292:B339"/>
    <mergeCell ref="B248:B291"/>
    <mergeCell ref="B204:B247"/>
    <mergeCell ref="B156:B203"/>
    <mergeCell ref="B112:B155"/>
    <mergeCell ref="B79:B111"/>
    <mergeCell ref="A417:A433"/>
    <mergeCell ref="B477:B493"/>
    <mergeCell ref="A477:A493"/>
    <mergeCell ref="B465:B476"/>
    <mergeCell ref="B449:B464"/>
    <mergeCell ref="B434:B448"/>
    <mergeCell ref="A494:A508"/>
    <mergeCell ref="B494:B508"/>
    <mergeCell ref="A465:A476"/>
    <mergeCell ref="A449:A464"/>
    <mergeCell ref="A434:A448"/>
  </mergeCells>
  <phoneticPr fontId="9" type="noConversion"/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90"/>
  <sheetViews>
    <sheetView workbookViewId="0">
      <selection activeCell="D444" sqref="D444"/>
    </sheetView>
  </sheetViews>
  <sheetFormatPr defaultRowHeight="15" x14ac:dyDescent="0.25"/>
  <cols>
    <col min="2" max="2" width="17.7109375" customWidth="1"/>
    <col min="3" max="3" width="14.7109375" customWidth="1"/>
    <col min="8" max="8" width="18" customWidth="1"/>
    <col min="9" max="9" width="14.28515625" customWidth="1"/>
    <col min="10" max="10" width="14.5703125" customWidth="1"/>
    <col min="11" max="11" width="25.5703125" style="10" customWidth="1"/>
    <col min="12" max="12" width="19.42578125" customWidth="1"/>
    <col min="13" max="13" width="24.140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1" t="s">
        <v>10</v>
      </c>
      <c r="L1" s="14" t="s">
        <v>407</v>
      </c>
      <c r="M1" s="1" t="s">
        <v>406</v>
      </c>
      <c r="N1" s="1" t="s">
        <v>11</v>
      </c>
    </row>
    <row r="2" spans="1:14" x14ac:dyDescent="0.25">
      <c r="A2" s="19" t="s">
        <v>119</v>
      </c>
      <c r="B2" s="19" t="s">
        <v>120</v>
      </c>
      <c r="C2">
        <v>0</v>
      </c>
      <c r="D2">
        <v>508.8</v>
      </c>
      <c r="E2">
        <v>0</v>
      </c>
      <c r="F2">
        <v>727.8</v>
      </c>
      <c r="G2">
        <v>1034.0999999999999</v>
      </c>
      <c r="H2">
        <v>0</v>
      </c>
      <c r="I2">
        <v>214.1</v>
      </c>
      <c r="J2">
        <v>14</v>
      </c>
      <c r="K2" s="10">
        <v>30.71</v>
      </c>
      <c r="L2" s="2">
        <f t="shared" ref="L2:L65" si="0">SUM((D2*0.83)+(E2*0.1)+(F2*0.0139)+(G2*0.0459)+(H2*2))</f>
        <v>479.88560999999999</v>
      </c>
      <c r="M2" s="2">
        <f>SUM((D2*5)+((F2*0.25)+(G2*0.2)+(H2*20)))*0.075</f>
        <v>219.95775</v>
      </c>
      <c r="N2">
        <v>0</v>
      </c>
    </row>
    <row r="3" spans="1:14" x14ac:dyDescent="0.25">
      <c r="A3" s="15"/>
      <c r="B3" s="15"/>
      <c r="C3">
        <v>0</v>
      </c>
      <c r="D3">
        <v>508.8</v>
      </c>
      <c r="E3">
        <v>0</v>
      </c>
      <c r="F3">
        <v>727.8</v>
      </c>
      <c r="G3">
        <v>1034.0999999999999</v>
      </c>
      <c r="H3">
        <v>0</v>
      </c>
      <c r="I3">
        <v>214.1</v>
      </c>
      <c r="J3">
        <v>56</v>
      </c>
      <c r="K3" s="10">
        <v>34.35</v>
      </c>
      <c r="L3" s="2">
        <f t="shared" si="0"/>
        <v>479.88560999999999</v>
      </c>
      <c r="M3" s="2">
        <f t="shared" ref="M3:M66" si="1">SUM((D3*5)+((F3*0.25)+(G3*0.2)+(H3*20)))*0.075</f>
        <v>219.95775</v>
      </c>
      <c r="N3">
        <v>0</v>
      </c>
    </row>
    <row r="4" spans="1:14" x14ac:dyDescent="0.25">
      <c r="A4" s="15"/>
      <c r="B4" s="15"/>
      <c r="C4">
        <v>0</v>
      </c>
      <c r="D4">
        <v>508.8</v>
      </c>
      <c r="E4">
        <v>0</v>
      </c>
      <c r="F4">
        <v>727.8</v>
      </c>
      <c r="G4">
        <v>1034.0999999999999</v>
      </c>
      <c r="H4">
        <v>0</v>
      </c>
      <c r="I4">
        <v>214.1</v>
      </c>
      <c r="J4">
        <v>90</v>
      </c>
      <c r="K4" s="10">
        <v>35.200000000000003</v>
      </c>
      <c r="L4" s="2">
        <f t="shared" si="0"/>
        <v>479.88560999999999</v>
      </c>
      <c r="M4" s="2">
        <f t="shared" si="1"/>
        <v>219.95775</v>
      </c>
      <c r="N4">
        <v>0</v>
      </c>
    </row>
    <row r="5" spans="1:14" x14ac:dyDescent="0.25">
      <c r="A5" s="15"/>
      <c r="B5" s="15"/>
      <c r="C5">
        <v>5</v>
      </c>
      <c r="D5">
        <v>483.36</v>
      </c>
      <c r="E5">
        <v>25.44</v>
      </c>
      <c r="F5">
        <v>727.8</v>
      </c>
      <c r="G5">
        <v>1034.0999999999999</v>
      </c>
      <c r="H5">
        <v>0</v>
      </c>
      <c r="I5">
        <v>214.1</v>
      </c>
      <c r="J5">
        <v>14</v>
      </c>
      <c r="K5" s="10">
        <v>29.64</v>
      </c>
      <c r="L5" s="2">
        <f t="shared" si="0"/>
        <v>461.31441000000001</v>
      </c>
      <c r="M5" s="2">
        <f t="shared" si="1"/>
        <v>210.41775000000001</v>
      </c>
      <c r="N5">
        <v>0</v>
      </c>
    </row>
    <row r="6" spans="1:14" x14ac:dyDescent="0.25">
      <c r="A6" s="15"/>
      <c r="B6" s="15"/>
      <c r="C6">
        <v>5</v>
      </c>
      <c r="D6">
        <v>483.36</v>
      </c>
      <c r="E6">
        <v>25.44</v>
      </c>
      <c r="F6">
        <v>727.8</v>
      </c>
      <c r="G6">
        <v>1034.0999999999999</v>
      </c>
      <c r="H6">
        <v>0</v>
      </c>
      <c r="I6">
        <v>214.1</v>
      </c>
      <c r="J6">
        <v>56</v>
      </c>
      <c r="K6" s="10">
        <v>32.85</v>
      </c>
      <c r="L6" s="2">
        <f t="shared" si="0"/>
        <v>461.31441000000001</v>
      </c>
      <c r="M6" s="2">
        <f t="shared" si="1"/>
        <v>210.41775000000001</v>
      </c>
      <c r="N6">
        <v>0</v>
      </c>
    </row>
    <row r="7" spans="1:14" x14ac:dyDescent="0.25">
      <c r="A7" s="15"/>
      <c r="B7" s="15"/>
      <c r="C7">
        <v>5</v>
      </c>
      <c r="D7">
        <v>483.36</v>
      </c>
      <c r="E7">
        <v>25.44</v>
      </c>
      <c r="F7">
        <v>727.8</v>
      </c>
      <c r="G7">
        <v>1034.0999999999999</v>
      </c>
      <c r="H7">
        <v>0</v>
      </c>
      <c r="I7">
        <v>214.1</v>
      </c>
      <c r="J7">
        <v>90</v>
      </c>
      <c r="K7" s="10">
        <v>39.5</v>
      </c>
      <c r="L7" s="2">
        <f t="shared" si="0"/>
        <v>461.31441000000001</v>
      </c>
      <c r="M7" s="2">
        <f t="shared" si="1"/>
        <v>210.41775000000001</v>
      </c>
      <c r="N7">
        <v>0</v>
      </c>
    </row>
    <row r="8" spans="1:14" x14ac:dyDescent="0.25">
      <c r="A8" s="15"/>
      <c r="B8" s="15"/>
      <c r="C8">
        <v>10</v>
      </c>
      <c r="D8">
        <v>457.92</v>
      </c>
      <c r="E8">
        <v>50.88</v>
      </c>
      <c r="F8">
        <v>727.8</v>
      </c>
      <c r="G8">
        <v>1034.0999999999999</v>
      </c>
      <c r="H8">
        <v>0</v>
      </c>
      <c r="I8">
        <v>214.1</v>
      </c>
      <c r="J8">
        <v>14</v>
      </c>
      <c r="K8" s="10">
        <v>28.52</v>
      </c>
      <c r="L8" s="2">
        <f t="shared" si="0"/>
        <v>442.74321000000003</v>
      </c>
      <c r="M8" s="2">
        <f t="shared" si="1"/>
        <v>200.87774999999999</v>
      </c>
      <c r="N8">
        <v>0</v>
      </c>
    </row>
    <row r="9" spans="1:14" x14ac:dyDescent="0.25">
      <c r="A9" s="15"/>
      <c r="B9" s="15"/>
      <c r="C9">
        <v>10</v>
      </c>
      <c r="D9">
        <v>457.92</v>
      </c>
      <c r="E9">
        <v>50.88</v>
      </c>
      <c r="F9">
        <v>727.8</v>
      </c>
      <c r="G9">
        <v>1034.0999999999999</v>
      </c>
      <c r="H9">
        <v>0</v>
      </c>
      <c r="I9">
        <v>214.1</v>
      </c>
      <c r="J9">
        <v>56</v>
      </c>
      <c r="K9" s="10">
        <v>30.44</v>
      </c>
      <c r="L9" s="2">
        <f t="shared" si="0"/>
        <v>442.74321000000003</v>
      </c>
      <c r="M9" s="2">
        <f t="shared" si="1"/>
        <v>200.87774999999999</v>
      </c>
      <c r="N9">
        <v>0</v>
      </c>
    </row>
    <row r="10" spans="1:14" x14ac:dyDescent="0.25">
      <c r="A10" s="15"/>
      <c r="B10" s="15"/>
      <c r="C10">
        <v>10</v>
      </c>
      <c r="D10">
        <v>457.92</v>
      </c>
      <c r="E10">
        <v>50.88</v>
      </c>
      <c r="F10">
        <v>727.8</v>
      </c>
      <c r="G10">
        <v>1034.0999999999999</v>
      </c>
      <c r="H10">
        <v>0</v>
      </c>
      <c r="I10">
        <v>214.1</v>
      </c>
      <c r="J10">
        <v>90</v>
      </c>
      <c r="K10" s="10">
        <v>34.24</v>
      </c>
      <c r="L10" s="2">
        <f t="shared" si="0"/>
        <v>442.74321000000003</v>
      </c>
      <c r="M10" s="2">
        <f t="shared" si="1"/>
        <v>200.87774999999999</v>
      </c>
      <c r="N10">
        <v>0</v>
      </c>
    </row>
    <row r="11" spans="1:14" x14ac:dyDescent="0.25">
      <c r="A11" s="15"/>
      <c r="B11" s="15"/>
      <c r="C11">
        <v>15</v>
      </c>
      <c r="D11">
        <v>432.48</v>
      </c>
      <c r="E11">
        <v>76.319999999999993</v>
      </c>
      <c r="F11">
        <v>727.8</v>
      </c>
      <c r="G11">
        <v>1034.0999999999999</v>
      </c>
      <c r="H11">
        <v>0</v>
      </c>
      <c r="I11">
        <v>214.1</v>
      </c>
      <c r="J11">
        <v>14</v>
      </c>
      <c r="K11" s="10">
        <v>26.93</v>
      </c>
      <c r="L11" s="2">
        <f t="shared" si="0"/>
        <v>424.17201</v>
      </c>
      <c r="M11" s="2">
        <f t="shared" si="1"/>
        <v>191.33775</v>
      </c>
      <c r="N11">
        <v>0</v>
      </c>
    </row>
    <row r="12" spans="1:14" x14ac:dyDescent="0.25">
      <c r="A12" s="15"/>
      <c r="B12" s="15"/>
      <c r="C12">
        <v>15</v>
      </c>
      <c r="D12">
        <v>432.48</v>
      </c>
      <c r="E12">
        <v>76.319999999999993</v>
      </c>
      <c r="F12">
        <v>727.8</v>
      </c>
      <c r="G12">
        <v>1034.0999999999999</v>
      </c>
      <c r="H12">
        <v>0</v>
      </c>
      <c r="I12">
        <v>214.1</v>
      </c>
      <c r="J12">
        <v>56</v>
      </c>
      <c r="K12" s="10">
        <v>30.92</v>
      </c>
      <c r="L12" s="2">
        <f t="shared" si="0"/>
        <v>424.17201</v>
      </c>
      <c r="M12" s="2">
        <f t="shared" si="1"/>
        <v>191.33775</v>
      </c>
      <c r="N12">
        <v>0</v>
      </c>
    </row>
    <row r="13" spans="1:14" x14ac:dyDescent="0.25">
      <c r="A13" s="15"/>
      <c r="B13" s="15"/>
      <c r="C13">
        <v>15</v>
      </c>
      <c r="D13">
        <v>432.48</v>
      </c>
      <c r="E13">
        <v>76.319999999999993</v>
      </c>
      <c r="F13">
        <v>727.8</v>
      </c>
      <c r="G13">
        <v>1034.0999999999999</v>
      </c>
      <c r="H13">
        <v>0</v>
      </c>
      <c r="I13">
        <v>214.1</v>
      </c>
      <c r="J13">
        <v>90</v>
      </c>
      <c r="K13" s="10">
        <v>30.74</v>
      </c>
      <c r="L13" s="2">
        <f t="shared" si="0"/>
        <v>424.17201</v>
      </c>
      <c r="M13" s="2">
        <f t="shared" si="1"/>
        <v>191.33775</v>
      </c>
      <c r="N13">
        <v>0</v>
      </c>
    </row>
    <row r="14" spans="1:14" x14ac:dyDescent="0.25">
      <c r="A14" s="15"/>
      <c r="B14" s="15"/>
      <c r="C14">
        <v>20</v>
      </c>
      <c r="D14">
        <v>407.04</v>
      </c>
      <c r="E14">
        <v>101.76</v>
      </c>
      <c r="F14">
        <v>727.8</v>
      </c>
      <c r="G14">
        <v>1034.0999999999999</v>
      </c>
      <c r="H14">
        <v>0</v>
      </c>
      <c r="I14">
        <v>214.1</v>
      </c>
      <c r="J14">
        <v>14</v>
      </c>
      <c r="K14" s="10">
        <v>28.6</v>
      </c>
      <c r="L14" s="2">
        <f t="shared" si="0"/>
        <v>405.60081000000002</v>
      </c>
      <c r="M14" s="2">
        <f t="shared" si="1"/>
        <v>181.79775000000001</v>
      </c>
      <c r="N14">
        <v>0</v>
      </c>
    </row>
    <row r="15" spans="1:14" x14ac:dyDescent="0.25">
      <c r="A15" s="15"/>
      <c r="B15" s="15"/>
      <c r="C15">
        <v>20</v>
      </c>
      <c r="D15">
        <v>407.04</v>
      </c>
      <c r="E15">
        <v>101.76</v>
      </c>
      <c r="F15">
        <v>727.8</v>
      </c>
      <c r="G15">
        <v>1034.0999999999999</v>
      </c>
      <c r="H15">
        <v>0</v>
      </c>
      <c r="I15">
        <v>214.1</v>
      </c>
      <c r="J15">
        <v>56</v>
      </c>
      <c r="K15" s="10">
        <v>30.46</v>
      </c>
      <c r="L15" s="2">
        <f t="shared" si="0"/>
        <v>405.60081000000002</v>
      </c>
      <c r="M15" s="2">
        <f t="shared" si="1"/>
        <v>181.79775000000001</v>
      </c>
      <c r="N15">
        <v>0</v>
      </c>
    </row>
    <row r="16" spans="1:14" x14ac:dyDescent="0.25">
      <c r="A16" s="15"/>
      <c r="B16" s="15"/>
      <c r="C16">
        <v>20</v>
      </c>
      <c r="D16">
        <v>407.04</v>
      </c>
      <c r="E16">
        <v>101.76</v>
      </c>
      <c r="F16">
        <v>727.8</v>
      </c>
      <c r="G16">
        <v>1034.0999999999999</v>
      </c>
      <c r="H16">
        <v>0</v>
      </c>
      <c r="I16">
        <v>214.1</v>
      </c>
      <c r="J16">
        <v>90</v>
      </c>
      <c r="K16" s="10">
        <v>29.38</v>
      </c>
      <c r="L16" s="2">
        <f t="shared" si="0"/>
        <v>405.60081000000002</v>
      </c>
      <c r="M16" s="2">
        <f t="shared" si="1"/>
        <v>181.79775000000001</v>
      </c>
      <c r="N16">
        <v>0</v>
      </c>
    </row>
    <row r="17" spans="1:14" x14ac:dyDescent="0.25">
      <c r="A17" s="15"/>
      <c r="B17" s="15"/>
      <c r="C17">
        <v>25</v>
      </c>
      <c r="D17">
        <v>381.6</v>
      </c>
      <c r="E17">
        <v>127.2</v>
      </c>
      <c r="F17">
        <v>727.8</v>
      </c>
      <c r="G17">
        <v>1034.0999999999999</v>
      </c>
      <c r="H17">
        <v>0</v>
      </c>
      <c r="I17">
        <v>214.1</v>
      </c>
      <c r="J17">
        <v>14</v>
      </c>
      <c r="K17" s="10">
        <v>28.36</v>
      </c>
      <c r="L17" s="2">
        <f t="shared" si="0"/>
        <v>387.02961000000005</v>
      </c>
      <c r="M17" s="2">
        <f t="shared" si="1"/>
        <v>172.25774999999999</v>
      </c>
      <c r="N17">
        <v>0</v>
      </c>
    </row>
    <row r="18" spans="1:14" x14ac:dyDescent="0.25">
      <c r="A18" s="15"/>
      <c r="B18" s="15"/>
      <c r="C18">
        <v>25</v>
      </c>
      <c r="D18">
        <v>381.6</v>
      </c>
      <c r="E18">
        <v>127.2</v>
      </c>
      <c r="F18">
        <v>727.8</v>
      </c>
      <c r="G18">
        <v>1034.0999999999999</v>
      </c>
      <c r="H18">
        <v>0</v>
      </c>
      <c r="I18">
        <v>214.1</v>
      </c>
      <c r="J18">
        <v>56</v>
      </c>
      <c r="K18" s="10">
        <v>28.98</v>
      </c>
      <c r="L18" s="2">
        <f t="shared" si="0"/>
        <v>387.02961000000005</v>
      </c>
      <c r="M18" s="2">
        <f t="shared" si="1"/>
        <v>172.25774999999999</v>
      </c>
      <c r="N18">
        <v>0</v>
      </c>
    </row>
    <row r="19" spans="1:14" x14ac:dyDescent="0.25">
      <c r="A19" s="15"/>
      <c r="B19" s="15"/>
      <c r="C19">
        <v>25</v>
      </c>
      <c r="D19">
        <v>381.6</v>
      </c>
      <c r="E19">
        <v>127.2</v>
      </c>
      <c r="F19">
        <v>727.8</v>
      </c>
      <c r="G19">
        <v>1034.0999999999999</v>
      </c>
      <c r="H19">
        <v>0</v>
      </c>
      <c r="I19">
        <v>214.1</v>
      </c>
      <c r="J19">
        <v>90</v>
      </c>
      <c r="K19" s="10">
        <v>31.91</v>
      </c>
      <c r="L19" s="2">
        <f t="shared" si="0"/>
        <v>387.02961000000005</v>
      </c>
      <c r="M19" s="2">
        <f t="shared" si="1"/>
        <v>172.25774999999999</v>
      </c>
      <c r="N19">
        <v>0</v>
      </c>
    </row>
    <row r="20" spans="1:14" x14ac:dyDescent="0.25">
      <c r="A20" s="15"/>
      <c r="B20" s="15"/>
      <c r="C20">
        <v>30</v>
      </c>
      <c r="D20">
        <v>356.16</v>
      </c>
      <c r="E20">
        <v>152.63999999999999</v>
      </c>
      <c r="F20">
        <v>727.8</v>
      </c>
      <c r="G20">
        <v>1034.0999999999999</v>
      </c>
      <c r="H20">
        <v>0</v>
      </c>
      <c r="I20">
        <v>214.1</v>
      </c>
      <c r="J20">
        <v>14</v>
      </c>
      <c r="K20" s="10">
        <v>21.87</v>
      </c>
      <c r="L20" s="2">
        <f t="shared" si="0"/>
        <v>368.45841000000001</v>
      </c>
      <c r="M20" s="2">
        <f t="shared" si="1"/>
        <v>162.71775</v>
      </c>
      <c r="N20">
        <v>0</v>
      </c>
    </row>
    <row r="21" spans="1:14" x14ac:dyDescent="0.25">
      <c r="A21" s="15"/>
      <c r="B21" s="15"/>
      <c r="C21">
        <v>30</v>
      </c>
      <c r="D21">
        <v>356.16</v>
      </c>
      <c r="E21">
        <v>152.63999999999999</v>
      </c>
      <c r="F21">
        <v>727.8</v>
      </c>
      <c r="G21">
        <v>1034.0999999999999</v>
      </c>
      <c r="H21">
        <v>0</v>
      </c>
      <c r="I21">
        <v>214.1</v>
      </c>
      <c r="J21">
        <v>56</v>
      </c>
      <c r="K21" s="10">
        <v>27.75</v>
      </c>
      <c r="L21" s="2">
        <f t="shared" si="0"/>
        <v>368.45841000000001</v>
      </c>
      <c r="M21" s="2">
        <f t="shared" si="1"/>
        <v>162.71775</v>
      </c>
      <c r="N21">
        <v>0</v>
      </c>
    </row>
    <row r="22" spans="1:14" x14ac:dyDescent="0.25">
      <c r="A22" s="15"/>
      <c r="B22" s="15"/>
      <c r="C22">
        <v>30</v>
      </c>
      <c r="D22">
        <v>356.16</v>
      </c>
      <c r="E22">
        <v>152.63999999999999</v>
      </c>
      <c r="F22">
        <v>727.8</v>
      </c>
      <c r="G22">
        <v>1034.0999999999999</v>
      </c>
      <c r="H22">
        <v>0</v>
      </c>
      <c r="I22">
        <v>214.1</v>
      </c>
      <c r="J22">
        <v>90</v>
      </c>
      <c r="K22" s="10">
        <v>27.68</v>
      </c>
      <c r="L22" s="2">
        <f t="shared" si="0"/>
        <v>368.45841000000001</v>
      </c>
      <c r="M22" s="2">
        <f t="shared" si="1"/>
        <v>162.71775</v>
      </c>
      <c r="N22">
        <v>0</v>
      </c>
    </row>
    <row r="23" spans="1:14" x14ac:dyDescent="0.25">
      <c r="A23" s="15"/>
      <c r="B23" s="15"/>
      <c r="C23">
        <v>35</v>
      </c>
      <c r="D23">
        <v>330.72</v>
      </c>
      <c r="E23">
        <v>178.08</v>
      </c>
      <c r="F23">
        <v>727.8</v>
      </c>
      <c r="G23">
        <v>1034.0999999999999</v>
      </c>
      <c r="H23">
        <v>0</v>
      </c>
      <c r="I23">
        <v>214.1</v>
      </c>
      <c r="J23">
        <v>14</v>
      </c>
      <c r="K23" s="10">
        <v>25.01</v>
      </c>
      <c r="L23" s="2">
        <f t="shared" si="0"/>
        <v>349.88721000000004</v>
      </c>
      <c r="M23" s="2">
        <f t="shared" si="1"/>
        <v>153.17775</v>
      </c>
      <c r="N23">
        <v>0</v>
      </c>
    </row>
    <row r="24" spans="1:14" x14ac:dyDescent="0.25">
      <c r="A24" s="15"/>
      <c r="B24" s="15"/>
      <c r="C24">
        <v>35</v>
      </c>
      <c r="D24">
        <v>330.72</v>
      </c>
      <c r="E24">
        <v>178.08</v>
      </c>
      <c r="F24">
        <v>727.8</v>
      </c>
      <c r="G24">
        <v>1034.0999999999999</v>
      </c>
      <c r="H24">
        <v>0</v>
      </c>
      <c r="I24">
        <v>214.1</v>
      </c>
      <c r="J24">
        <v>56</v>
      </c>
      <c r="K24" s="10">
        <v>26.95</v>
      </c>
      <c r="L24" s="2">
        <f t="shared" si="0"/>
        <v>349.88721000000004</v>
      </c>
      <c r="M24" s="2">
        <f t="shared" si="1"/>
        <v>153.17775</v>
      </c>
      <c r="N24">
        <v>0</v>
      </c>
    </row>
    <row r="25" spans="1:14" x14ac:dyDescent="0.25">
      <c r="A25" s="15"/>
      <c r="B25" s="15"/>
      <c r="C25">
        <v>35</v>
      </c>
      <c r="D25">
        <v>330.72</v>
      </c>
      <c r="E25">
        <v>178.08</v>
      </c>
      <c r="F25">
        <v>727.8</v>
      </c>
      <c r="G25">
        <v>1034.0999999999999</v>
      </c>
      <c r="H25">
        <v>0</v>
      </c>
      <c r="I25">
        <v>214.1</v>
      </c>
      <c r="J25">
        <v>90</v>
      </c>
      <c r="K25" s="10">
        <v>27.27</v>
      </c>
      <c r="L25" s="2">
        <f t="shared" si="0"/>
        <v>349.88721000000004</v>
      </c>
      <c r="M25" s="2">
        <f t="shared" si="1"/>
        <v>153.17775</v>
      </c>
      <c r="N25">
        <v>0</v>
      </c>
    </row>
    <row r="26" spans="1:14" x14ac:dyDescent="0.25">
      <c r="A26" s="15"/>
      <c r="B26" s="15"/>
      <c r="C26">
        <v>40</v>
      </c>
      <c r="D26">
        <v>305.27999999999997</v>
      </c>
      <c r="E26">
        <v>203.52</v>
      </c>
      <c r="F26">
        <v>727.8</v>
      </c>
      <c r="G26">
        <v>1034.0999999999999</v>
      </c>
      <c r="H26">
        <v>0</v>
      </c>
      <c r="I26">
        <v>214.1</v>
      </c>
      <c r="J26">
        <v>14</v>
      </c>
      <c r="K26" s="10">
        <v>21.76</v>
      </c>
      <c r="L26" s="2">
        <f t="shared" si="0"/>
        <v>331.31600999999995</v>
      </c>
      <c r="M26" s="2">
        <f t="shared" si="1"/>
        <v>143.63774999999998</v>
      </c>
      <c r="N26">
        <v>0</v>
      </c>
    </row>
    <row r="27" spans="1:14" x14ac:dyDescent="0.25">
      <c r="A27" s="15"/>
      <c r="B27" s="15"/>
      <c r="C27">
        <v>40</v>
      </c>
      <c r="D27">
        <v>305.27999999999997</v>
      </c>
      <c r="E27">
        <v>203.52</v>
      </c>
      <c r="F27">
        <v>727.8</v>
      </c>
      <c r="G27">
        <v>1034.0999999999999</v>
      </c>
      <c r="H27">
        <v>0</v>
      </c>
      <c r="I27">
        <v>214.1</v>
      </c>
      <c r="J27">
        <v>56</v>
      </c>
      <c r="K27" s="10">
        <v>28.24</v>
      </c>
      <c r="L27" s="2">
        <f t="shared" si="0"/>
        <v>331.31600999999995</v>
      </c>
      <c r="M27" s="2">
        <f t="shared" si="1"/>
        <v>143.63774999999998</v>
      </c>
      <c r="N27">
        <v>0</v>
      </c>
    </row>
    <row r="28" spans="1:14" x14ac:dyDescent="0.25">
      <c r="A28" s="15"/>
      <c r="B28" s="15"/>
      <c r="C28">
        <v>40</v>
      </c>
      <c r="D28">
        <v>305.27999999999997</v>
      </c>
      <c r="E28">
        <v>203.52</v>
      </c>
      <c r="F28">
        <v>727.8</v>
      </c>
      <c r="G28">
        <v>1034.0999999999999</v>
      </c>
      <c r="H28">
        <v>0</v>
      </c>
      <c r="I28">
        <v>214.1</v>
      </c>
      <c r="J28">
        <v>90</v>
      </c>
      <c r="K28" s="10">
        <v>28.47</v>
      </c>
      <c r="L28" s="2">
        <f t="shared" si="0"/>
        <v>331.31600999999995</v>
      </c>
      <c r="M28" s="2">
        <f t="shared" si="1"/>
        <v>143.63774999999998</v>
      </c>
      <c r="N28">
        <v>0</v>
      </c>
    </row>
    <row r="29" spans="1:14" x14ac:dyDescent="0.25">
      <c r="A29" s="15"/>
      <c r="B29" s="15"/>
      <c r="C29">
        <v>45</v>
      </c>
      <c r="D29">
        <v>279.83999999999997</v>
      </c>
      <c r="E29">
        <v>228.96</v>
      </c>
      <c r="F29">
        <v>727.8</v>
      </c>
      <c r="G29">
        <v>1034.0999999999999</v>
      </c>
      <c r="H29">
        <v>0</v>
      </c>
      <c r="I29">
        <v>214.1</v>
      </c>
      <c r="J29">
        <v>14</v>
      </c>
      <c r="K29" s="10">
        <v>21.33</v>
      </c>
      <c r="L29" s="2">
        <f t="shared" si="0"/>
        <v>312.74480999999997</v>
      </c>
      <c r="M29" s="2">
        <f t="shared" si="1"/>
        <v>134.09774999999999</v>
      </c>
      <c r="N29">
        <v>0</v>
      </c>
    </row>
    <row r="30" spans="1:14" x14ac:dyDescent="0.25">
      <c r="A30" s="15"/>
      <c r="B30" s="15"/>
      <c r="C30">
        <v>45</v>
      </c>
      <c r="D30">
        <v>279.83999999999997</v>
      </c>
      <c r="E30">
        <v>228.96</v>
      </c>
      <c r="F30">
        <v>727.8</v>
      </c>
      <c r="G30">
        <v>1034.0999999999999</v>
      </c>
      <c r="H30">
        <v>0</v>
      </c>
      <c r="I30">
        <v>214.1</v>
      </c>
      <c r="J30">
        <v>56</v>
      </c>
      <c r="K30" s="10">
        <v>22.79</v>
      </c>
      <c r="L30" s="2">
        <f t="shared" si="0"/>
        <v>312.74480999999997</v>
      </c>
      <c r="M30" s="2">
        <f t="shared" si="1"/>
        <v>134.09774999999999</v>
      </c>
      <c r="N30">
        <v>0</v>
      </c>
    </row>
    <row r="31" spans="1:14" x14ac:dyDescent="0.25">
      <c r="A31" s="15"/>
      <c r="B31" s="15"/>
      <c r="C31">
        <v>45</v>
      </c>
      <c r="D31">
        <v>279.83999999999997</v>
      </c>
      <c r="E31">
        <v>228.96</v>
      </c>
      <c r="F31">
        <v>727.8</v>
      </c>
      <c r="G31">
        <v>1034.0999999999999</v>
      </c>
      <c r="H31">
        <v>0</v>
      </c>
      <c r="I31">
        <v>214.1</v>
      </c>
      <c r="J31">
        <v>90</v>
      </c>
      <c r="K31" s="10">
        <v>31.28</v>
      </c>
      <c r="L31" s="2">
        <f t="shared" si="0"/>
        <v>312.74480999999997</v>
      </c>
      <c r="M31" s="2">
        <f t="shared" si="1"/>
        <v>134.09774999999999</v>
      </c>
      <c r="N31">
        <v>0</v>
      </c>
    </row>
    <row r="32" spans="1:14" x14ac:dyDescent="0.25">
      <c r="A32" s="15"/>
      <c r="B32" s="15"/>
      <c r="C32">
        <v>50</v>
      </c>
      <c r="D32">
        <v>254.4</v>
      </c>
      <c r="E32">
        <v>254.4</v>
      </c>
      <c r="F32">
        <v>727.8</v>
      </c>
      <c r="G32">
        <v>1034.0999999999999</v>
      </c>
      <c r="H32">
        <v>0</v>
      </c>
      <c r="I32">
        <v>214.1</v>
      </c>
      <c r="J32">
        <v>14</v>
      </c>
      <c r="K32" s="10">
        <v>23.36</v>
      </c>
      <c r="L32" s="2">
        <f t="shared" si="0"/>
        <v>294.17361</v>
      </c>
      <c r="M32" s="2">
        <f t="shared" si="1"/>
        <v>124.55775</v>
      </c>
      <c r="N32">
        <v>0</v>
      </c>
    </row>
    <row r="33" spans="1:14" x14ac:dyDescent="0.25">
      <c r="A33" s="15"/>
      <c r="B33" s="15"/>
      <c r="C33">
        <v>50</v>
      </c>
      <c r="D33">
        <v>254.4</v>
      </c>
      <c r="E33">
        <v>254.4</v>
      </c>
      <c r="F33">
        <v>727.8</v>
      </c>
      <c r="G33">
        <v>1034.0999999999999</v>
      </c>
      <c r="H33">
        <v>0</v>
      </c>
      <c r="I33">
        <v>214.1</v>
      </c>
      <c r="J33">
        <v>56</v>
      </c>
      <c r="K33" s="10">
        <v>26.2</v>
      </c>
      <c r="L33" s="2">
        <f t="shared" si="0"/>
        <v>294.17361</v>
      </c>
      <c r="M33" s="2">
        <f t="shared" si="1"/>
        <v>124.55775</v>
      </c>
      <c r="N33">
        <v>0</v>
      </c>
    </row>
    <row r="34" spans="1:14" x14ac:dyDescent="0.25">
      <c r="A34" s="15"/>
      <c r="B34" s="15"/>
      <c r="C34">
        <v>50</v>
      </c>
      <c r="D34">
        <v>254.4</v>
      </c>
      <c r="E34">
        <v>254.4</v>
      </c>
      <c r="F34">
        <v>727.8</v>
      </c>
      <c r="G34">
        <v>1034.0999999999999</v>
      </c>
      <c r="H34">
        <v>0</v>
      </c>
      <c r="I34">
        <v>214.1</v>
      </c>
      <c r="J34">
        <v>90</v>
      </c>
      <c r="K34" s="10">
        <v>27.13</v>
      </c>
      <c r="L34" s="2">
        <f t="shared" si="0"/>
        <v>294.17361</v>
      </c>
      <c r="M34" s="2">
        <f t="shared" si="1"/>
        <v>124.55775</v>
      </c>
      <c r="N34">
        <v>0</v>
      </c>
    </row>
    <row r="35" spans="1:14" x14ac:dyDescent="0.25">
      <c r="A35" s="15" t="s">
        <v>121</v>
      </c>
      <c r="B35" s="15" t="s">
        <v>122</v>
      </c>
      <c r="C35">
        <v>0</v>
      </c>
      <c r="D35">
        <v>534</v>
      </c>
      <c r="E35">
        <v>0</v>
      </c>
      <c r="F35">
        <v>775.7</v>
      </c>
      <c r="G35">
        <v>1000.7</v>
      </c>
      <c r="H35">
        <v>0</v>
      </c>
      <c r="I35">
        <v>178.7</v>
      </c>
      <c r="J35">
        <v>14</v>
      </c>
      <c r="K35" s="10">
        <v>29.92</v>
      </c>
      <c r="L35" s="2">
        <f t="shared" si="0"/>
        <v>499.93436000000003</v>
      </c>
      <c r="M35" s="2">
        <f t="shared" si="1"/>
        <v>229.80487500000001</v>
      </c>
      <c r="N35">
        <v>0</v>
      </c>
    </row>
    <row r="36" spans="1:14" x14ac:dyDescent="0.25">
      <c r="A36" s="15"/>
      <c r="B36" s="15"/>
      <c r="C36">
        <v>0</v>
      </c>
      <c r="D36">
        <v>534</v>
      </c>
      <c r="E36">
        <v>0</v>
      </c>
      <c r="F36">
        <v>775.7</v>
      </c>
      <c r="G36">
        <v>1000.7</v>
      </c>
      <c r="H36">
        <v>0</v>
      </c>
      <c r="I36">
        <v>178.7</v>
      </c>
      <c r="J36">
        <v>56</v>
      </c>
      <c r="K36" s="10">
        <v>33.58</v>
      </c>
      <c r="L36" s="2">
        <f t="shared" si="0"/>
        <v>499.93436000000003</v>
      </c>
      <c r="M36" s="2">
        <f t="shared" si="1"/>
        <v>229.80487500000001</v>
      </c>
      <c r="N36">
        <v>0</v>
      </c>
    </row>
    <row r="37" spans="1:14" x14ac:dyDescent="0.25">
      <c r="A37" s="15"/>
      <c r="B37" s="15"/>
      <c r="C37">
        <v>0</v>
      </c>
      <c r="D37">
        <v>534</v>
      </c>
      <c r="E37">
        <v>0</v>
      </c>
      <c r="F37">
        <v>775.7</v>
      </c>
      <c r="G37">
        <v>1000.7</v>
      </c>
      <c r="H37">
        <v>0</v>
      </c>
      <c r="I37">
        <v>178.7</v>
      </c>
      <c r="J37">
        <v>90</v>
      </c>
      <c r="K37" s="10">
        <v>36.67</v>
      </c>
      <c r="L37" s="2">
        <f t="shared" si="0"/>
        <v>499.93436000000003</v>
      </c>
      <c r="M37" s="2">
        <f t="shared" si="1"/>
        <v>229.80487500000001</v>
      </c>
      <c r="N37">
        <v>0</v>
      </c>
    </row>
    <row r="38" spans="1:14" x14ac:dyDescent="0.25">
      <c r="A38" s="15"/>
      <c r="B38" s="15"/>
      <c r="C38">
        <v>5</v>
      </c>
      <c r="D38">
        <v>507.3</v>
      </c>
      <c r="E38">
        <v>26.7</v>
      </c>
      <c r="F38">
        <v>775.7</v>
      </c>
      <c r="G38">
        <v>1000.7</v>
      </c>
      <c r="H38">
        <v>0</v>
      </c>
      <c r="I38">
        <v>178.7</v>
      </c>
      <c r="J38">
        <v>14</v>
      </c>
      <c r="K38" s="10">
        <v>28.91</v>
      </c>
      <c r="L38" s="2">
        <f t="shared" si="0"/>
        <v>480.44336000000004</v>
      </c>
      <c r="M38" s="2">
        <f t="shared" si="1"/>
        <v>219.79237499999999</v>
      </c>
      <c r="N38">
        <v>0</v>
      </c>
    </row>
    <row r="39" spans="1:14" x14ac:dyDescent="0.25">
      <c r="A39" s="15"/>
      <c r="B39" s="15"/>
      <c r="C39">
        <v>5</v>
      </c>
      <c r="D39">
        <v>507.3</v>
      </c>
      <c r="E39">
        <v>26.7</v>
      </c>
      <c r="F39">
        <v>775.7</v>
      </c>
      <c r="G39">
        <v>1000.7</v>
      </c>
      <c r="H39">
        <v>0</v>
      </c>
      <c r="I39">
        <v>178.7</v>
      </c>
      <c r="J39">
        <v>56</v>
      </c>
      <c r="K39" s="10">
        <v>35.72</v>
      </c>
      <c r="L39" s="2">
        <f t="shared" si="0"/>
        <v>480.44336000000004</v>
      </c>
      <c r="M39" s="2">
        <f t="shared" si="1"/>
        <v>219.79237499999999</v>
      </c>
      <c r="N39">
        <v>0</v>
      </c>
    </row>
    <row r="40" spans="1:14" x14ac:dyDescent="0.25">
      <c r="A40" s="15"/>
      <c r="B40" s="15"/>
      <c r="C40">
        <v>5</v>
      </c>
      <c r="D40">
        <v>507.3</v>
      </c>
      <c r="E40">
        <v>26.7</v>
      </c>
      <c r="F40">
        <v>775.7</v>
      </c>
      <c r="G40">
        <v>1000.7</v>
      </c>
      <c r="H40">
        <v>0</v>
      </c>
      <c r="I40">
        <v>178.7</v>
      </c>
      <c r="J40">
        <v>90</v>
      </c>
      <c r="K40" s="10">
        <v>34.35</v>
      </c>
      <c r="L40" s="2">
        <f t="shared" si="0"/>
        <v>480.44336000000004</v>
      </c>
      <c r="M40" s="2">
        <f t="shared" si="1"/>
        <v>219.79237499999999</v>
      </c>
      <c r="N40">
        <v>0</v>
      </c>
    </row>
    <row r="41" spans="1:14" x14ac:dyDescent="0.25">
      <c r="A41" s="15"/>
      <c r="B41" s="15"/>
      <c r="C41">
        <v>10</v>
      </c>
      <c r="D41">
        <v>480.6</v>
      </c>
      <c r="E41">
        <v>53.4</v>
      </c>
      <c r="F41">
        <v>775.7</v>
      </c>
      <c r="G41">
        <v>1000.7</v>
      </c>
      <c r="H41">
        <v>0</v>
      </c>
      <c r="I41">
        <v>178.7</v>
      </c>
      <c r="J41">
        <v>14</v>
      </c>
      <c r="K41" s="10">
        <v>27.11</v>
      </c>
      <c r="L41" s="2">
        <f t="shared" si="0"/>
        <v>460.95236000000006</v>
      </c>
      <c r="M41" s="2">
        <f t="shared" si="1"/>
        <v>209.779875</v>
      </c>
      <c r="N41">
        <v>0</v>
      </c>
    </row>
    <row r="42" spans="1:14" x14ac:dyDescent="0.25">
      <c r="A42" s="15"/>
      <c r="B42" s="15"/>
      <c r="C42">
        <v>10</v>
      </c>
      <c r="D42">
        <v>480.6</v>
      </c>
      <c r="E42">
        <v>53.4</v>
      </c>
      <c r="F42">
        <v>775.7</v>
      </c>
      <c r="G42">
        <v>1000.7</v>
      </c>
      <c r="H42">
        <v>0</v>
      </c>
      <c r="I42">
        <v>178.7</v>
      </c>
      <c r="J42">
        <v>56</v>
      </c>
      <c r="K42" s="10">
        <v>33.68</v>
      </c>
      <c r="L42" s="2">
        <f t="shared" si="0"/>
        <v>460.95236000000006</v>
      </c>
      <c r="M42" s="2">
        <f t="shared" si="1"/>
        <v>209.779875</v>
      </c>
      <c r="N42">
        <v>0</v>
      </c>
    </row>
    <row r="43" spans="1:14" x14ac:dyDescent="0.25">
      <c r="A43" s="15"/>
      <c r="B43" s="15"/>
      <c r="C43">
        <v>10</v>
      </c>
      <c r="D43">
        <v>480.6</v>
      </c>
      <c r="E43">
        <v>53.4</v>
      </c>
      <c r="F43">
        <v>775.7</v>
      </c>
      <c r="G43">
        <v>1000.7</v>
      </c>
      <c r="H43">
        <v>0</v>
      </c>
      <c r="I43">
        <v>178.7</v>
      </c>
      <c r="J43">
        <v>90</v>
      </c>
      <c r="K43" s="10">
        <v>32.6</v>
      </c>
      <c r="L43" s="2">
        <f t="shared" si="0"/>
        <v>460.95236000000006</v>
      </c>
      <c r="M43" s="2">
        <f t="shared" si="1"/>
        <v>209.779875</v>
      </c>
      <c r="N43">
        <v>0</v>
      </c>
    </row>
    <row r="44" spans="1:14" x14ac:dyDescent="0.25">
      <c r="A44" s="15"/>
      <c r="B44" s="15"/>
      <c r="C44">
        <v>15</v>
      </c>
      <c r="D44">
        <v>453.9</v>
      </c>
      <c r="E44">
        <v>80.099999999999994</v>
      </c>
      <c r="F44">
        <v>775.7</v>
      </c>
      <c r="G44">
        <v>1000.7</v>
      </c>
      <c r="H44">
        <v>0</v>
      </c>
      <c r="I44">
        <v>178.7</v>
      </c>
      <c r="J44">
        <v>14</v>
      </c>
      <c r="K44" s="10">
        <v>25.25</v>
      </c>
      <c r="L44" s="2">
        <f t="shared" si="0"/>
        <v>441.46136000000001</v>
      </c>
      <c r="M44" s="2">
        <f t="shared" si="1"/>
        <v>199.76737499999999</v>
      </c>
      <c r="N44">
        <v>0</v>
      </c>
    </row>
    <row r="45" spans="1:14" x14ac:dyDescent="0.25">
      <c r="A45" s="15"/>
      <c r="B45" s="15"/>
      <c r="C45">
        <v>15</v>
      </c>
      <c r="D45">
        <v>453.9</v>
      </c>
      <c r="E45">
        <v>80.099999999999994</v>
      </c>
      <c r="F45">
        <v>775.7</v>
      </c>
      <c r="G45">
        <v>1000.7</v>
      </c>
      <c r="H45">
        <v>0</v>
      </c>
      <c r="I45">
        <v>178.7</v>
      </c>
      <c r="J45">
        <v>56</v>
      </c>
      <c r="K45" s="10">
        <v>31.79</v>
      </c>
      <c r="L45" s="2">
        <f t="shared" si="0"/>
        <v>441.46136000000001</v>
      </c>
      <c r="M45" s="2">
        <f t="shared" si="1"/>
        <v>199.76737499999999</v>
      </c>
      <c r="N45">
        <v>0</v>
      </c>
    </row>
    <row r="46" spans="1:14" x14ac:dyDescent="0.25">
      <c r="A46" s="15"/>
      <c r="B46" s="15"/>
      <c r="C46">
        <v>15</v>
      </c>
      <c r="D46">
        <v>453.9</v>
      </c>
      <c r="E46">
        <v>80.099999999999994</v>
      </c>
      <c r="F46">
        <v>775.7</v>
      </c>
      <c r="G46">
        <v>1000.7</v>
      </c>
      <c r="H46">
        <v>0</v>
      </c>
      <c r="I46">
        <v>178.7</v>
      </c>
      <c r="J46">
        <v>90</v>
      </c>
      <c r="K46" s="10">
        <v>34.92</v>
      </c>
      <c r="L46" s="2">
        <f t="shared" si="0"/>
        <v>441.46136000000001</v>
      </c>
      <c r="M46" s="2">
        <f t="shared" si="1"/>
        <v>199.76737499999999</v>
      </c>
      <c r="N46">
        <v>0</v>
      </c>
    </row>
    <row r="47" spans="1:14" x14ac:dyDescent="0.25">
      <c r="A47" s="15"/>
      <c r="B47" s="15"/>
      <c r="C47">
        <v>20</v>
      </c>
      <c r="D47">
        <v>427.2</v>
      </c>
      <c r="E47">
        <v>106.8</v>
      </c>
      <c r="F47">
        <v>775.7</v>
      </c>
      <c r="G47">
        <v>1000.7</v>
      </c>
      <c r="H47">
        <v>0</v>
      </c>
      <c r="I47">
        <v>178.7</v>
      </c>
      <c r="J47">
        <v>14</v>
      </c>
      <c r="K47" s="10">
        <v>22</v>
      </c>
      <c r="L47" s="2">
        <f t="shared" si="0"/>
        <v>421.97036000000003</v>
      </c>
      <c r="M47" s="2">
        <f t="shared" si="1"/>
        <v>189.754875</v>
      </c>
      <c r="N47">
        <v>0</v>
      </c>
    </row>
    <row r="48" spans="1:14" x14ac:dyDescent="0.25">
      <c r="A48" s="15"/>
      <c r="B48" s="15"/>
      <c r="C48">
        <v>20</v>
      </c>
      <c r="D48">
        <v>427.2</v>
      </c>
      <c r="E48">
        <v>106.8</v>
      </c>
      <c r="F48">
        <v>775.7</v>
      </c>
      <c r="G48">
        <v>1000.7</v>
      </c>
      <c r="H48">
        <v>0</v>
      </c>
      <c r="I48">
        <v>178.7</v>
      </c>
      <c r="J48">
        <v>56</v>
      </c>
      <c r="K48" s="10">
        <v>34.11</v>
      </c>
      <c r="L48" s="2">
        <f t="shared" si="0"/>
        <v>421.97036000000003</v>
      </c>
      <c r="M48" s="2">
        <f t="shared" si="1"/>
        <v>189.754875</v>
      </c>
      <c r="N48">
        <v>0</v>
      </c>
    </row>
    <row r="49" spans="1:14" x14ac:dyDescent="0.25">
      <c r="A49" s="15"/>
      <c r="B49" s="15"/>
      <c r="C49">
        <v>20</v>
      </c>
      <c r="D49">
        <v>427.2</v>
      </c>
      <c r="E49">
        <v>106.8</v>
      </c>
      <c r="F49">
        <v>775.7</v>
      </c>
      <c r="G49">
        <v>1000.7</v>
      </c>
      <c r="H49">
        <v>0</v>
      </c>
      <c r="I49">
        <v>178.7</v>
      </c>
      <c r="J49">
        <v>90</v>
      </c>
      <c r="K49" s="10">
        <v>35.770000000000003</v>
      </c>
      <c r="L49" s="2">
        <f t="shared" si="0"/>
        <v>421.97036000000003</v>
      </c>
      <c r="M49" s="2">
        <f t="shared" si="1"/>
        <v>189.754875</v>
      </c>
      <c r="N49">
        <v>0</v>
      </c>
    </row>
    <row r="50" spans="1:14" x14ac:dyDescent="0.25">
      <c r="A50" s="15"/>
      <c r="B50" s="15"/>
      <c r="C50">
        <v>25</v>
      </c>
      <c r="D50">
        <v>400.5</v>
      </c>
      <c r="E50">
        <v>133.5</v>
      </c>
      <c r="F50">
        <v>775.7</v>
      </c>
      <c r="G50">
        <v>1000.7</v>
      </c>
      <c r="H50">
        <v>0</v>
      </c>
      <c r="I50">
        <v>178.7</v>
      </c>
      <c r="J50">
        <v>14</v>
      </c>
      <c r="K50" s="10">
        <v>21.37</v>
      </c>
      <c r="L50" s="2">
        <f t="shared" si="0"/>
        <v>402.47936000000004</v>
      </c>
      <c r="M50" s="2">
        <f t="shared" si="1"/>
        <v>179.74237500000001</v>
      </c>
      <c r="N50">
        <v>0</v>
      </c>
    </row>
    <row r="51" spans="1:14" x14ac:dyDescent="0.25">
      <c r="A51" s="15"/>
      <c r="B51" s="15"/>
      <c r="C51">
        <v>25</v>
      </c>
      <c r="D51">
        <v>400.5</v>
      </c>
      <c r="E51">
        <v>133.5</v>
      </c>
      <c r="F51">
        <v>775.7</v>
      </c>
      <c r="G51">
        <v>1000.7</v>
      </c>
      <c r="H51">
        <v>0</v>
      </c>
      <c r="I51">
        <v>178.7</v>
      </c>
      <c r="J51">
        <v>56</v>
      </c>
      <c r="K51" s="10">
        <v>28.23</v>
      </c>
      <c r="L51" s="2">
        <f t="shared" si="0"/>
        <v>402.47936000000004</v>
      </c>
      <c r="M51" s="2">
        <f t="shared" si="1"/>
        <v>179.74237500000001</v>
      </c>
      <c r="N51">
        <v>0</v>
      </c>
    </row>
    <row r="52" spans="1:14" x14ac:dyDescent="0.25">
      <c r="A52" s="15"/>
      <c r="B52" s="15"/>
      <c r="C52">
        <v>25</v>
      </c>
      <c r="D52">
        <v>400.5</v>
      </c>
      <c r="E52">
        <v>133.5</v>
      </c>
      <c r="F52">
        <v>775.7</v>
      </c>
      <c r="G52">
        <v>1000.7</v>
      </c>
      <c r="H52">
        <v>0</v>
      </c>
      <c r="I52">
        <v>178.7</v>
      </c>
      <c r="J52">
        <v>90</v>
      </c>
      <c r="K52" s="10">
        <v>33.61</v>
      </c>
      <c r="L52" s="2">
        <f t="shared" si="0"/>
        <v>402.47936000000004</v>
      </c>
      <c r="M52" s="2">
        <f t="shared" si="1"/>
        <v>179.74237500000001</v>
      </c>
      <c r="N52">
        <v>0</v>
      </c>
    </row>
    <row r="53" spans="1:14" x14ac:dyDescent="0.25">
      <c r="A53" s="15"/>
      <c r="B53" s="15"/>
      <c r="C53">
        <v>30</v>
      </c>
      <c r="D53">
        <v>373.8</v>
      </c>
      <c r="E53">
        <v>160.19999999999999</v>
      </c>
      <c r="F53">
        <v>775.7</v>
      </c>
      <c r="G53">
        <v>1000.7</v>
      </c>
      <c r="H53">
        <v>0</v>
      </c>
      <c r="I53">
        <v>178.7</v>
      </c>
      <c r="J53">
        <v>14</v>
      </c>
      <c r="K53" s="10">
        <v>24.51</v>
      </c>
      <c r="L53" s="2">
        <f t="shared" si="0"/>
        <v>382.98836000000006</v>
      </c>
      <c r="M53" s="2">
        <f t="shared" si="1"/>
        <v>169.72987499999999</v>
      </c>
      <c r="N53">
        <v>0</v>
      </c>
    </row>
    <row r="54" spans="1:14" x14ac:dyDescent="0.25">
      <c r="A54" s="15"/>
      <c r="B54" s="15"/>
      <c r="C54">
        <v>30</v>
      </c>
      <c r="D54">
        <v>373.8</v>
      </c>
      <c r="E54">
        <v>160.19999999999999</v>
      </c>
      <c r="F54">
        <v>775.7</v>
      </c>
      <c r="G54">
        <v>1000.7</v>
      </c>
      <c r="H54">
        <v>0</v>
      </c>
      <c r="I54">
        <v>178.7</v>
      </c>
      <c r="J54">
        <v>56</v>
      </c>
      <c r="K54" s="10">
        <v>26.5</v>
      </c>
      <c r="L54" s="2">
        <f t="shared" si="0"/>
        <v>382.98836000000006</v>
      </c>
      <c r="M54" s="2">
        <f t="shared" si="1"/>
        <v>169.72987499999999</v>
      </c>
      <c r="N54">
        <v>0</v>
      </c>
    </row>
    <row r="55" spans="1:14" x14ac:dyDescent="0.25">
      <c r="A55" s="15"/>
      <c r="B55" s="15"/>
      <c r="C55">
        <v>30</v>
      </c>
      <c r="D55">
        <v>373.8</v>
      </c>
      <c r="E55">
        <v>160.19999999999999</v>
      </c>
      <c r="F55">
        <v>775.7</v>
      </c>
      <c r="G55">
        <v>1000.7</v>
      </c>
      <c r="H55">
        <v>0</v>
      </c>
      <c r="I55">
        <v>178.7</v>
      </c>
      <c r="J55">
        <v>90</v>
      </c>
      <c r="K55" s="10">
        <v>31.31</v>
      </c>
      <c r="L55" s="2">
        <f t="shared" si="0"/>
        <v>382.98836000000006</v>
      </c>
      <c r="M55" s="2">
        <f t="shared" si="1"/>
        <v>169.72987499999999</v>
      </c>
      <c r="N55">
        <v>0</v>
      </c>
    </row>
    <row r="56" spans="1:14" x14ac:dyDescent="0.25">
      <c r="A56" s="15"/>
      <c r="B56" s="15"/>
      <c r="C56">
        <v>35</v>
      </c>
      <c r="D56">
        <v>347.1</v>
      </c>
      <c r="E56">
        <v>186.9</v>
      </c>
      <c r="F56">
        <v>775.7</v>
      </c>
      <c r="G56">
        <v>1000.7</v>
      </c>
      <c r="H56">
        <v>0</v>
      </c>
      <c r="I56">
        <v>178.7</v>
      </c>
      <c r="J56">
        <v>14</v>
      </c>
      <c r="K56" s="10">
        <v>21.11</v>
      </c>
      <c r="L56" s="2">
        <f t="shared" si="0"/>
        <v>363.49736000000007</v>
      </c>
      <c r="M56" s="2">
        <f t="shared" si="1"/>
        <v>159.717375</v>
      </c>
      <c r="N56">
        <v>0</v>
      </c>
    </row>
    <row r="57" spans="1:14" x14ac:dyDescent="0.25">
      <c r="A57" s="15"/>
      <c r="B57" s="15"/>
      <c r="C57">
        <v>35</v>
      </c>
      <c r="D57">
        <v>347.1</v>
      </c>
      <c r="E57">
        <v>186.9</v>
      </c>
      <c r="F57">
        <v>775.7</v>
      </c>
      <c r="G57">
        <v>1000.7</v>
      </c>
      <c r="H57">
        <v>0</v>
      </c>
      <c r="I57">
        <v>178.7</v>
      </c>
      <c r="J57">
        <v>56</v>
      </c>
      <c r="K57" s="10">
        <v>28.23</v>
      </c>
      <c r="L57" s="2">
        <f t="shared" si="0"/>
        <v>363.49736000000007</v>
      </c>
      <c r="M57" s="2">
        <f t="shared" si="1"/>
        <v>159.717375</v>
      </c>
      <c r="N57">
        <v>0</v>
      </c>
    </row>
    <row r="58" spans="1:14" x14ac:dyDescent="0.25">
      <c r="A58" s="15"/>
      <c r="B58" s="15"/>
      <c r="C58">
        <v>35</v>
      </c>
      <c r="D58">
        <v>347.1</v>
      </c>
      <c r="E58">
        <v>186.9</v>
      </c>
      <c r="F58">
        <v>775.7</v>
      </c>
      <c r="G58">
        <v>1000.7</v>
      </c>
      <c r="H58">
        <v>0</v>
      </c>
      <c r="I58">
        <v>178.7</v>
      </c>
      <c r="J58">
        <v>90</v>
      </c>
      <c r="K58" s="10">
        <v>27.25</v>
      </c>
      <c r="L58" s="2">
        <f t="shared" si="0"/>
        <v>363.49736000000007</v>
      </c>
      <c r="M58" s="2">
        <f t="shared" si="1"/>
        <v>159.717375</v>
      </c>
      <c r="N58">
        <v>0</v>
      </c>
    </row>
    <row r="59" spans="1:14" x14ac:dyDescent="0.25">
      <c r="A59" s="15"/>
      <c r="B59" s="15"/>
      <c r="C59">
        <v>40</v>
      </c>
      <c r="D59">
        <v>320.39999999999998</v>
      </c>
      <c r="E59">
        <v>213.6</v>
      </c>
      <c r="F59">
        <v>775.7</v>
      </c>
      <c r="G59">
        <v>1000.7</v>
      </c>
      <c r="H59">
        <v>0</v>
      </c>
      <c r="I59">
        <v>178.7</v>
      </c>
      <c r="J59">
        <v>14</v>
      </c>
      <c r="K59" s="10">
        <v>21.83</v>
      </c>
      <c r="L59" s="2">
        <f t="shared" si="0"/>
        <v>344.00636000000003</v>
      </c>
      <c r="M59" s="2">
        <f t="shared" si="1"/>
        <v>149.70487499999999</v>
      </c>
      <c r="N59">
        <v>0</v>
      </c>
    </row>
    <row r="60" spans="1:14" x14ac:dyDescent="0.25">
      <c r="A60" s="15"/>
      <c r="B60" s="15"/>
      <c r="C60">
        <v>40</v>
      </c>
      <c r="D60">
        <v>320.39999999999998</v>
      </c>
      <c r="E60">
        <v>213.6</v>
      </c>
      <c r="F60">
        <v>775.7</v>
      </c>
      <c r="G60">
        <v>1000.7</v>
      </c>
      <c r="H60">
        <v>0</v>
      </c>
      <c r="I60">
        <v>178.7</v>
      </c>
      <c r="J60">
        <v>56</v>
      </c>
      <c r="K60" s="10">
        <v>27.35</v>
      </c>
      <c r="L60" s="2">
        <f t="shared" si="0"/>
        <v>344.00636000000003</v>
      </c>
      <c r="M60" s="2">
        <f t="shared" si="1"/>
        <v>149.70487499999999</v>
      </c>
      <c r="N60">
        <v>0</v>
      </c>
    </row>
    <row r="61" spans="1:14" x14ac:dyDescent="0.25">
      <c r="A61" s="15"/>
      <c r="B61" s="15"/>
      <c r="C61">
        <v>40</v>
      </c>
      <c r="D61">
        <v>320.39999999999998</v>
      </c>
      <c r="E61">
        <v>213.6</v>
      </c>
      <c r="F61">
        <v>775.7</v>
      </c>
      <c r="G61">
        <v>1000.7</v>
      </c>
      <c r="H61">
        <v>0</v>
      </c>
      <c r="I61">
        <v>178.7</v>
      </c>
      <c r="J61">
        <v>90</v>
      </c>
      <c r="K61" s="10">
        <v>27.71</v>
      </c>
      <c r="L61" s="2">
        <f t="shared" si="0"/>
        <v>344.00636000000003</v>
      </c>
      <c r="M61" s="2">
        <f t="shared" si="1"/>
        <v>149.70487499999999</v>
      </c>
      <c r="N61">
        <v>0</v>
      </c>
    </row>
    <row r="62" spans="1:14" x14ac:dyDescent="0.25">
      <c r="A62" s="15"/>
      <c r="B62" s="15"/>
      <c r="C62">
        <v>45</v>
      </c>
      <c r="D62">
        <v>293.7</v>
      </c>
      <c r="E62">
        <v>240.3</v>
      </c>
      <c r="F62">
        <v>775.7</v>
      </c>
      <c r="G62">
        <v>1000.7</v>
      </c>
      <c r="H62">
        <v>0</v>
      </c>
      <c r="I62">
        <v>178.7</v>
      </c>
      <c r="J62">
        <v>14</v>
      </c>
      <c r="K62" s="10">
        <v>19.96</v>
      </c>
      <c r="L62" s="2">
        <f t="shared" si="0"/>
        <v>324.51536000000004</v>
      </c>
      <c r="M62" s="2">
        <f t="shared" si="1"/>
        <v>139.692375</v>
      </c>
      <c r="N62">
        <v>0</v>
      </c>
    </row>
    <row r="63" spans="1:14" x14ac:dyDescent="0.25">
      <c r="A63" s="15"/>
      <c r="B63" s="15"/>
      <c r="C63">
        <v>45</v>
      </c>
      <c r="D63">
        <v>293.7</v>
      </c>
      <c r="E63">
        <v>240.3</v>
      </c>
      <c r="F63">
        <v>775.7</v>
      </c>
      <c r="G63">
        <v>1000.7</v>
      </c>
      <c r="H63">
        <v>0</v>
      </c>
      <c r="I63">
        <v>178.7</v>
      </c>
      <c r="J63">
        <v>56</v>
      </c>
      <c r="K63" s="10">
        <v>26.71</v>
      </c>
      <c r="L63" s="2">
        <f t="shared" si="0"/>
        <v>324.51536000000004</v>
      </c>
      <c r="M63" s="2">
        <f t="shared" si="1"/>
        <v>139.692375</v>
      </c>
      <c r="N63">
        <v>0</v>
      </c>
    </row>
    <row r="64" spans="1:14" x14ac:dyDescent="0.25">
      <c r="A64" s="15"/>
      <c r="B64" s="15"/>
      <c r="C64">
        <v>45</v>
      </c>
      <c r="D64">
        <v>293.7</v>
      </c>
      <c r="E64">
        <v>240.3</v>
      </c>
      <c r="F64">
        <v>775.7</v>
      </c>
      <c r="G64">
        <v>1000.7</v>
      </c>
      <c r="H64">
        <v>0</v>
      </c>
      <c r="I64">
        <v>178.7</v>
      </c>
      <c r="J64">
        <v>90</v>
      </c>
      <c r="K64" s="10">
        <v>27.84</v>
      </c>
      <c r="L64" s="2">
        <f t="shared" si="0"/>
        <v>324.51536000000004</v>
      </c>
      <c r="M64" s="2">
        <f t="shared" si="1"/>
        <v>139.692375</v>
      </c>
      <c r="N64">
        <v>0</v>
      </c>
    </row>
    <row r="65" spans="1:14" x14ac:dyDescent="0.25">
      <c r="A65" s="15"/>
      <c r="B65" s="15"/>
      <c r="C65">
        <v>50</v>
      </c>
      <c r="D65">
        <v>267</v>
      </c>
      <c r="E65">
        <v>267</v>
      </c>
      <c r="F65">
        <v>775.7</v>
      </c>
      <c r="G65">
        <v>1000.7</v>
      </c>
      <c r="H65">
        <v>0</v>
      </c>
      <c r="I65">
        <v>178.7</v>
      </c>
      <c r="J65">
        <v>14</v>
      </c>
      <c r="K65" s="10">
        <v>19.45</v>
      </c>
      <c r="L65" s="2">
        <f t="shared" si="0"/>
        <v>305.02436000000006</v>
      </c>
      <c r="M65" s="2">
        <f t="shared" si="1"/>
        <v>129.67987500000001</v>
      </c>
      <c r="N65">
        <v>0</v>
      </c>
    </row>
    <row r="66" spans="1:14" x14ac:dyDescent="0.25">
      <c r="A66" s="15"/>
      <c r="B66" s="15"/>
      <c r="C66">
        <v>50</v>
      </c>
      <c r="D66">
        <v>267</v>
      </c>
      <c r="E66">
        <v>267</v>
      </c>
      <c r="F66">
        <v>775.7</v>
      </c>
      <c r="G66">
        <v>1000.7</v>
      </c>
      <c r="H66">
        <v>0</v>
      </c>
      <c r="I66">
        <v>178.7</v>
      </c>
      <c r="J66">
        <v>56</v>
      </c>
      <c r="K66" s="10">
        <v>22.46</v>
      </c>
      <c r="L66" s="2">
        <f t="shared" ref="L66:L129" si="2">SUM((D66*0.83)+(E66*0.1)+(F66*0.0139)+(G66*0.0459)+(H66*2))</f>
        <v>305.02436000000006</v>
      </c>
      <c r="M66" s="2">
        <f t="shared" si="1"/>
        <v>129.67987500000001</v>
      </c>
      <c r="N66">
        <v>0</v>
      </c>
    </row>
    <row r="67" spans="1:14" x14ac:dyDescent="0.25">
      <c r="A67" s="15"/>
      <c r="B67" s="15"/>
      <c r="C67">
        <v>50</v>
      </c>
      <c r="D67">
        <v>267</v>
      </c>
      <c r="E67">
        <v>267</v>
      </c>
      <c r="F67">
        <v>775.7</v>
      </c>
      <c r="G67">
        <v>1000.7</v>
      </c>
      <c r="H67">
        <v>0</v>
      </c>
      <c r="I67">
        <v>178.7</v>
      </c>
      <c r="J67">
        <v>90</v>
      </c>
      <c r="K67" s="10">
        <v>22.02</v>
      </c>
      <c r="L67" s="2">
        <f t="shared" si="2"/>
        <v>305.02436000000006</v>
      </c>
      <c r="M67" s="2">
        <f t="shared" ref="M67:M130" si="3">SUM((D67*5)+((F67*0.25)+(G67*0.2)+(H67*20)))*0.075</f>
        <v>129.67987500000001</v>
      </c>
      <c r="N67">
        <v>0</v>
      </c>
    </row>
    <row r="68" spans="1:14" x14ac:dyDescent="0.25">
      <c r="A68" s="15" t="s">
        <v>123</v>
      </c>
      <c r="B68" s="15" t="s">
        <v>124</v>
      </c>
      <c r="C68">
        <v>0</v>
      </c>
      <c r="D68">
        <v>522</v>
      </c>
      <c r="E68">
        <v>0</v>
      </c>
      <c r="F68">
        <v>621.9</v>
      </c>
      <c r="G68">
        <v>1116.3</v>
      </c>
      <c r="H68">
        <v>0</v>
      </c>
      <c r="I68">
        <v>226.8</v>
      </c>
      <c r="J68">
        <v>14</v>
      </c>
      <c r="K68" s="10">
        <v>28.33</v>
      </c>
      <c r="L68" s="2">
        <f t="shared" si="2"/>
        <v>493.14258000000001</v>
      </c>
      <c r="M68" s="2">
        <f t="shared" si="3"/>
        <v>224.155125</v>
      </c>
      <c r="N68">
        <v>0</v>
      </c>
    </row>
    <row r="69" spans="1:14" x14ac:dyDescent="0.25">
      <c r="A69" s="15"/>
      <c r="B69" s="15"/>
      <c r="C69">
        <v>0</v>
      </c>
      <c r="D69">
        <v>522</v>
      </c>
      <c r="E69">
        <v>0</v>
      </c>
      <c r="F69">
        <v>621.9</v>
      </c>
      <c r="G69">
        <v>1116.3</v>
      </c>
      <c r="H69">
        <v>0</v>
      </c>
      <c r="I69">
        <v>226.8</v>
      </c>
      <c r="J69">
        <v>28</v>
      </c>
      <c r="K69" s="10">
        <v>32.49</v>
      </c>
      <c r="L69" s="2">
        <f t="shared" si="2"/>
        <v>493.14258000000001</v>
      </c>
      <c r="M69" s="2">
        <f t="shared" si="3"/>
        <v>224.155125</v>
      </c>
      <c r="N69">
        <v>0</v>
      </c>
    </row>
    <row r="70" spans="1:14" x14ac:dyDescent="0.25">
      <c r="A70" s="15"/>
      <c r="B70" s="15"/>
      <c r="C70">
        <v>0</v>
      </c>
      <c r="D70">
        <v>522</v>
      </c>
      <c r="E70">
        <v>0</v>
      </c>
      <c r="F70">
        <v>621.9</v>
      </c>
      <c r="G70">
        <v>1116.3</v>
      </c>
      <c r="H70">
        <v>0</v>
      </c>
      <c r="I70">
        <v>226.8</v>
      </c>
      <c r="J70">
        <v>56</v>
      </c>
      <c r="K70" s="10">
        <v>33.880000000000003</v>
      </c>
      <c r="L70" s="2">
        <f t="shared" si="2"/>
        <v>493.14258000000001</v>
      </c>
      <c r="M70" s="2">
        <f t="shared" si="3"/>
        <v>224.155125</v>
      </c>
      <c r="N70">
        <v>0</v>
      </c>
    </row>
    <row r="71" spans="1:14" x14ac:dyDescent="0.25">
      <c r="A71" s="15"/>
      <c r="B71" s="15"/>
      <c r="C71">
        <v>0</v>
      </c>
      <c r="D71">
        <v>522</v>
      </c>
      <c r="E71">
        <v>0</v>
      </c>
      <c r="F71">
        <v>621.9</v>
      </c>
      <c r="G71">
        <v>1116.3</v>
      </c>
      <c r="H71">
        <v>0</v>
      </c>
      <c r="I71">
        <v>226.8</v>
      </c>
      <c r="J71">
        <v>90</v>
      </c>
      <c r="K71" s="10">
        <v>32.93</v>
      </c>
      <c r="L71" s="2">
        <f t="shared" si="2"/>
        <v>493.14258000000001</v>
      </c>
      <c r="M71" s="2">
        <f t="shared" si="3"/>
        <v>224.155125</v>
      </c>
      <c r="N71">
        <v>0</v>
      </c>
    </row>
    <row r="72" spans="1:14" x14ac:dyDescent="0.25">
      <c r="A72" s="15"/>
      <c r="B72" s="15"/>
      <c r="C72">
        <v>5</v>
      </c>
      <c r="D72">
        <v>495.9</v>
      </c>
      <c r="E72">
        <v>26.1</v>
      </c>
      <c r="F72">
        <v>621.9</v>
      </c>
      <c r="G72">
        <v>1116.3</v>
      </c>
      <c r="H72">
        <v>0</v>
      </c>
      <c r="I72">
        <v>226.8</v>
      </c>
      <c r="J72">
        <v>14</v>
      </c>
      <c r="K72" s="10">
        <v>26.92</v>
      </c>
      <c r="L72" s="2">
        <f t="shared" si="2"/>
        <v>474.08958000000001</v>
      </c>
      <c r="M72" s="2">
        <f t="shared" si="3"/>
        <v>214.367625</v>
      </c>
      <c r="N72">
        <v>0</v>
      </c>
    </row>
    <row r="73" spans="1:14" x14ac:dyDescent="0.25">
      <c r="A73" s="15"/>
      <c r="B73" s="15"/>
      <c r="C73">
        <v>5</v>
      </c>
      <c r="D73">
        <v>495.9</v>
      </c>
      <c r="E73">
        <v>26.1</v>
      </c>
      <c r="F73">
        <v>621.9</v>
      </c>
      <c r="G73">
        <v>1116.3</v>
      </c>
      <c r="H73">
        <v>0</v>
      </c>
      <c r="I73">
        <v>226.8</v>
      </c>
      <c r="J73">
        <v>28</v>
      </c>
      <c r="K73" s="10">
        <v>31.42</v>
      </c>
      <c r="L73" s="2">
        <f t="shared" si="2"/>
        <v>474.08958000000001</v>
      </c>
      <c r="M73" s="2">
        <f t="shared" si="3"/>
        <v>214.367625</v>
      </c>
      <c r="N73">
        <v>0</v>
      </c>
    </row>
    <row r="74" spans="1:14" x14ac:dyDescent="0.25">
      <c r="A74" s="15"/>
      <c r="B74" s="15"/>
      <c r="C74">
        <v>5</v>
      </c>
      <c r="D74">
        <v>495.9</v>
      </c>
      <c r="E74">
        <v>26.1</v>
      </c>
      <c r="F74">
        <v>621.9</v>
      </c>
      <c r="G74">
        <v>1116.3</v>
      </c>
      <c r="H74">
        <v>0</v>
      </c>
      <c r="I74">
        <v>226.8</v>
      </c>
      <c r="J74">
        <v>56</v>
      </c>
      <c r="K74" s="10">
        <v>30.62</v>
      </c>
      <c r="L74" s="2">
        <f t="shared" si="2"/>
        <v>474.08958000000001</v>
      </c>
      <c r="M74" s="2">
        <f t="shared" si="3"/>
        <v>214.367625</v>
      </c>
      <c r="N74">
        <v>0</v>
      </c>
    </row>
    <row r="75" spans="1:14" x14ac:dyDescent="0.25">
      <c r="A75" s="15"/>
      <c r="B75" s="15"/>
      <c r="C75">
        <v>5</v>
      </c>
      <c r="D75">
        <v>495.9</v>
      </c>
      <c r="E75">
        <v>26.1</v>
      </c>
      <c r="F75">
        <v>621.9</v>
      </c>
      <c r="G75">
        <v>1116.3</v>
      </c>
      <c r="H75">
        <v>0</v>
      </c>
      <c r="I75">
        <v>226.8</v>
      </c>
      <c r="J75">
        <v>90</v>
      </c>
      <c r="K75" s="10">
        <v>37.99</v>
      </c>
      <c r="L75" s="2">
        <f t="shared" si="2"/>
        <v>474.08958000000001</v>
      </c>
      <c r="M75" s="2">
        <f t="shared" si="3"/>
        <v>214.367625</v>
      </c>
      <c r="N75">
        <v>0</v>
      </c>
    </row>
    <row r="76" spans="1:14" x14ac:dyDescent="0.25">
      <c r="A76" s="15"/>
      <c r="B76" s="15"/>
      <c r="C76">
        <v>10</v>
      </c>
      <c r="D76">
        <v>469.8</v>
      </c>
      <c r="E76">
        <v>52.2</v>
      </c>
      <c r="F76">
        <v>621.9</v>
      </c>
      <c r="G76">
        <v>1116.3</v>
      </c>
      <c r="H76">
        <v>0</v>
      </c>
      <c r="I76">
        <v>226.8</v>
      </c>
      <c r="J76">
        <v>14</v>
      </c>
      <c r="K76" s="10">
        <v>26.17</v>
      </c>
      <c r="L76" s="2">
        <f t="shared" si="2"/>
        <v>455.03658000000001</v>
      </c>
      <c r="M76" s="2">
        <f t="shared" si="3"/>
        <v>204.58012500000001</v>
      </c>
      <c r="N76">
        <v>0</v>
      </c>
    </row>
    <row r="77" spans="1:14" x14ac:dyDescent="0.25">
      <c r="A77" s="15"/>
      <c r="B77" s="15"/>
      <c r="C77">
        <v>10</v>
      </c>
      <c r="D77">
        <v>469.8</v>
      </c>
      <c r="E77">
        <v>52.2</v>
      </c>
      <c r="F77">
        <v>621.9</v>
      </c>
      <c r="G77">
        <v>1116.3</v>
      </c>
      <c r="H77">
        <v>0</v>
      </c>
      <c r="I77">
        <v>226.8</v>
      </c>
      <c r="J77">
        <v>28</v>
      </c>
      <c r="K77" s="10">
        <v>31.37</v>
      </c>
      <c r="L77" s="2">
        <f t="shared" si="2"/>
        <v>455.03658000000001</v>
      </c>
      <c r="M77" s="2">
        <f t="shared" si="3"/>
        <v>204.58012500000001</v>
      </c>
      <c r="N77">
        <v>0</v>
      </c>
    </row>
    <row r="78" spans="1:14" x14ac:dyDescent="0.25">
      <c r="A78" s="15"/>
      <c r="B78" s="15"/>
      <c r="C78">
        <v>10</v>
      </c>
      <c r="D78">
        <v>469.8</v>
      </c>
      <c r="E78">
        <v>52.2</v>
      </c>
      <c r="F78">
        <v>621.9</v>
      </c>
      <c r="G78">
        <v>1116.3</v>
      </c>
      <c r="H78">
        <v>0</v>
      </c>
      <c r="I78">
        <v>226.8</v>
      </c>
      <c r="J78">
        <v>56</v>
      </c>
      <c r="K78" s="10">
        <v>31.97</v>
      </c>
      <c r="L78" s="2">
        <f t="shared" si="2"/>
        <v>455.03658000000001</v>
      </c>
      <c r="M78" s="2">
        <f t="shared" si="3"/>
        <v>204.58012500000001</v>
      </c>
      <c r="N78">
        <v>0</v>
      </c>
    </row>
    <row r="79" spans="1:14" x14ac:dyDescent="0.25">
      <c r="A79" s="15"/>
      <c r="B79" s="15"/>
      <c r="C79">
        <v>10</v>
      </c>
      <c r="D79">
        <v>469.8</v>
      </c>
      <c r="E79">
        <v>52.2</v>
      </c>
      <c r="F79">
        <v>621.9</v>
      </c>
      <c r="G79">
        <v>1116.3</v>
      </c>
      <c r="H79">
        <v>0</v>
      </c>
      <c r="I79">
        <v>226.8</v>
      </c>
      <c r="J79">
        <v>90</v>
      </c>
      <c r="K79" s="10">
        <v>34.520000000000003</v>
      </c>
      <c r="L79" s="2">
        <f t="shared" si="2"/>
        <v>455.03658000000001</v>
      </c>
      <c r="M79" s="2">
        <f t="shared" si="3"/>
        <v>204.58012500000001</v>
      </c>
      <c r="N79">
        <v>0</v>
      </c>
    </row>
    <row r="80" spans="1:14" x14ac:dyDescent="0.25">
      <c r="A80" s="15"/>
      <c r="B80" s="15"/>
      <c r="C80">
        <v>15</v>
      </c>
      <c r="D80">
        <v>443.7</v>
      </c>
      <c r="E80">
        <v>78.3</v>
      </c>
      <c r="F80">
        <v>621.9</v>
      </c>
      <c r="G80">
        <v>1116.3</v>
      </c>
      <c r="H80">
        <v>0</v>
      </c>
      <c r="I80">
        <v>226.8</v>
      </c>
      <c r="J80">
        <v>14</v>
      </c>
      <c r="K80" s="10">
        <v>25.16</v>
      </c>
      <c r="L80" s="2">
        <f t="shared" si="2"/>
        <v>435.98357999999996</v>
      </c>
      <c r="M80" s="2">
        <f t="shared" si="3"/>
        <v>194.79262500000002</v>
      </c>
      <c r="N80">
        <v>0</v>
      </c>
    </row>
    <row r="81" spans="1:14" x14ac:dyDescent="0.25">
      <c r="A81" s="15"/>
      <c r="B81" s="15"/>
      <c r="C81">
        <v>15</v>
      </c>
      <c r="D81">
        <v>443.7</v>
      </c>
      <c r="E81">
        <v>78.3</v>
      </c>
      <c r="F81">
        <v>621.9</v>
      </c>
      <c r="G81">
        <v>1116.3</v>
      </c>
      <c r="H81">
        <v>0</v>
      </c>
      <c r="I81">
        <v>226.8</v>
      </c>
      <c r="J81">
        <v>28</v>
      </c>
      <c r="K81" s="10">
        <v>27.56</v>
      </c>
      <c r="L81" s="2">
        <f t="shared" si="2"/>
        <v>435.98357999999996</v>
      </c>
      <c r="M81" s="2">
        <f t="shared" si="3"/>
        <v>194.79262500000002</v>
      </c>
      <c r="N81">
        <v>0</v>
      </c>
    </row>
    <row r="82" spans="1:14" x14ac:dyDescent="0.25">
      <c r="A82" s="15"/>
      <c r="B82" s="15"/>
      <c r="C82">
        <v>15</v>
      </c>
      <c r="D82">
        <v>443.7</v>
      </c>
      <c r="E82">
        <v>78.3</v>
      </c>
      <c r="F82">
        <v>621.9</v>
      </c>
      <c r="G82">
        <v>1116.3</v>
      </c>
      <c r="H82">
        <v>0</v>
      </c>
      <c r="I82">
        <v>226.8</v>
      </c>
      <c r="J82">
        <v>56</v>
      </c>
      <c r="K82" s="10">
        <v>33.18</v>
      </c>
      <c r="L82" s="2">
        <f t="shared" si="2"/>
        <v>435.98357999999996</v>
      </c>
      <c r="M82" s="2">
        <f t="shared" si="3"/>
        <v>194.79262500000002</v>
      </c>
      <c r="N82">
        <v>0</v>
      </c>
    </row>
    <row r="83" spans="1:14" x14ac:dyDescent="0.25">
      <c r="A83" s="15"/>
      <c r="B83" s="15"/>
      <c r="C83">
        <v>15</v>
      </c>
      <c r="D83">
        <v>443.7</v>
      </c>
      <c r="E83">
        <v>78.3</v>
      </c>
      <c r="F83">
        <v>621.9</v>
      </c>
      <c r="G83">
        <v>1116.3</v>
      </c>
      <c r="H83">
        <v>0</v>
      </c>
      <c r="I83">
        <v>226.8</v>
      </c>
      <c r="J83">
        <v>90</v>
      </c>
      <c r="K83" s="10">
        <v>34.9</v>
      </c>
      <c r="L83" s="2">
        <f t="shared" si="2"/>
        <v>435.98357999999996</v>
      </c>
      <c r="M83" s="2">
        <f t="shared" si="3"/>
        <v>194.79262500000002</v>
      </c>
      <c r="N83">
        <v>0</v>
      </c>
    </row>
    <row r="84" spans="1:14" x14ac:dyDescent="0.25">
      <c r="A84" s="15"/>
      <c r="B84" s="15"/>
      <c r="C84">
        <v>20</v>
      </c>
      <c r="D84">
        <v>417.6</v>
      </c>
      <c r="E84">
        <v>104.4</v>
      </c>
      <c r="F84">
        <v>621.9</v>
      </c>
      <c r="G84">
        <v>1116.3</v>
      </c>
      <c r="H84">
        <v>0</v>
      </c>
      <c r="I84">
        <v>226.8</v>
      </c>
      <c r="J84">
        <v>14</v>
      </c>
      <c r="K84" s="10">
        <v>24.89</v>
      </c>
      <c r="L84" s="2">
        <f t="shared" si="2"/>
        <v>416.93058000000002</v>
      </c>
      <c r="M84" s="2">
        <f t="shared" si="3"/>
        <v>185.00512499999999</v>
      </c>
      <c r="N84">
        <v>0</v>
      </c>
    </row>
    <row r="85" spans="1:14" x14ac:dyDescent="0.25">
      <c r="A85" s="15"/>
      <c r="B85" s="15"/>
      <c r="C85">
        <v>20</v>
      </c>
      <c r="D85">
        <v>417.6</v>
      </c>
      <c r="E85">
        <v>104.4</v>
      </c>
      <c r="F85">
        <v>621.9</v>
      </c>
      <c r="G85">
        <v>1116.3</v>
      </c>
      <c r="H85">
        <v>0</v>
      </c>
      <c r="I85">
        <v>226.8</v>
      </c>
      <c r="J85">
        <v>28</v>
      </c>
      <c r="K85" s="10">
        <v>28.24</v>
      </c>
      <c r="L85" s="2">
        <f t="shared" si="2"/>
        <v>416.93058000000002</v>
      </c>
      <c r="M85" s="2">
        <f t="shared" si="3"/>
        <v>185.00512499999999</v>
      </c>
      <c r="N85">
        <v>0</v>
      </c>
    </row>
    <row r="86" spans="1:14" x14ac:dyDescent="0.25">
      <c r="A86" s="15"/>
      <c r="B86" s="15"/>
      <c r="C86">
        <v>20</v>
      </c>
      <c r="D86">
        <v>417.6</v>
      </c>
      <c r="E86">
        <v>104.4</v>
      </c>
      <c r="F86">
        <v>621.9</v>
      </c>
      <c r="G86">
        <v>1116.3</v>
      </c>
      <c r="H86">
        <v>0</v>
      </c>
      <c r="I86">
        <v>226.8</v>
      </c>
      <c r="J86">
        <v>56</v>
      </c>
      <c r="K86" s="10">
        <v>31.42</v>
      </c>
      <c r="L86" s="2">
        <f t="shared" si="2"/>
        <v>416.93058000000002</v>
      </c>
      <c r="M86" s="2">
        <f t="shared" si="3"/>
        <v>185.00512499999999</v>
      </c>
      <c r="N86">
        <v>0</v>
      </c>
    </row>
    <row r="87" spans="1:14" x14ac:dyDescent="0.25">
      <c r="A87" s="15"/>
      <c r="B87" s="15"/>
      <c r="C87">
        <v>20</v>
      </c>
      <c r="D87">
        <v>417.6</v>
      </c>
      <c r="E87">
        <v>104.4</v>
      </c>
      <c r="F87">
        <v>621.9</v>
      </c>
      <c r="G87">
        <v>1116.3</v>
      </c>
      <c r="H87">
        <v>0</v>
      </c>
      <c r="I87">
        <v>226.8</v>
      </c>
      <c r="J87">
        <v>90</v>
      </c>
      <c r="K87" s="10">
        <v>35.69</v>
      </c>
      <c r="L87" s="2">
        <f t="shared" si="2"/>
        <v>416.93058000000002</v>
      </c>
      <c r="M87" s="2">
        <f t="shared" si="3"/>
        <v>185.00512499999999</v>
      </c>
      <c r="N87">
        <v>0</v>
      </c>
    </row>
    <row r="88" spans="1:14" x14ac:dyDescent="0.25">
      <c r="A88" s="15"/>
      <c r="B88" s="15"/>
      <c r="C88">
        <v>25</v>
      </c>
      <c r="D88">
        <v>391.5</v>
      </c>
      <c r="E88">
        <v>130.5</v>
      </c>
      <c r="F88">
        <v>621.9</v>
      </c>
      <c r="G88">
        <v>1116.3</v>
      </c>
      <c r="H88">
        <v>0</v>
      </c>
      <c r="I88">
        <v>226.8</v>
      </c>
      <c r="J88">
        <v>14</v>
      </c>
      <c r="K88" s="10">
        <v>26.15</v>
      </c>
      <c r="L88" s="2">
        <f t="shared" si="2"/>
        <v>397.87758000000002</v>
      </c>
      <c r="M88" s="2">
        <f t="shared" si="3"/>
        <v>175.217625</v>
      </c>
      <c r="N88">
        <v>0</v>
      </c>
    </row>
    <row r="89" spans="1:14" x14ac:dyDescent="0.25">
      <c r="A89" s="15"/>
      <c r="B89" s="15"/>
      <c r="C89">
        <v>25</v>
      </c>
      <c r="D89">
        <v>391.5</v>
      </c>
      <c r="E89">
        <v>130.5</v>
      </c>
      <c r="F89">
        <v>621.9</v>
      </c>
      <c r="G89">
        <v>1116.3</v>
      </c>
      <c r="H89">
        <v>0</v>
      </c>
      <c r="I89">
        <v>226.8</v>
      </c>
      <c r="J89">
        <v>28</v>
      </c>
      <c r="K89" s="10">
        <v>27.33</v>
      </c>
      <c r="L89" s="2">
        <f t="shared" si="2"/>
        <v>397.87758000000002</v>
      </c>
      <c r="M89" s="2">
        <f t="shared" si="3"/>
        <v>175.217625</v>
      </c>
      <c r="N89">
        <v>0</v>
      </c>
    </row>
    <row r="90" spans="1:14" x14ac:dyDescent="0.25">
      <c r="A90" s="15"/>
      <c r="B90" s="15"/>
      <c r="C90">
        <v>25</v>
      </c>
      <c r="D90">
        <v>391.5</v>
      </c>
      <c r="E90">
        <v>130.5</v>
      </c>
      <c r="F90">
        <v>621.9</v>
      </c>
      <c r="G90">
        <v>1116.3</v>
      </c>
      <c r="H90">
        <v>0</v>
      </c>
      <c r="I90">
        <v>226.8</v>
      </c>
      <c r="J90">
        <v>56</v>
      </c>
      <c r="K90" s="10">
        <v>32.42</v>
      </c>
      <c r="L90" s="2">
        <f t="shared" si="2"/>
        <v>397.87758000000002</v>
      </c>
      <c r="M90" s="2">
        <f t="shared" si="3"/>
        <v>175.217625</v>
      </c>
      <c r="N90">
        <v>0</v>
      </c>
    </row>
    <row r="91" spans="1:14" x14ac:dyDescent="0.25">
      <c r="A91" s="15"/>
      <c r="B91" s="15"/>
      <c r="C91">
        <v>25</v>
      </c>
      <c r="D91">
        <v>391.5</v>
      </c>
      <c r="E91">
        <v>130.5</v>
      </c>
      <c r="F91">
        <v>621.9</v>
      </c>
      <c r="G91">
        <v>1116.3</v>
      </c>
      <c r="H91">
        <v>0</v>
      </c>
      <c r="I91">
        <v>226.8</v>
      </c>
      <c r="J91">
        <v>90</v>
      </c>
      <c r="K91" s="10">
        <v>30.5</v>
      </c>
      <c r="L91" s="2">
        <f t="shared" si="2"/>
        <v>397.87758000000002</v>
      </c>
      <c r="M91" s="2">
        <f t="shared" si="3"/>
        <v>175.217625</v>
      </c>
      <c r="N91">
        <v>0</v>
      </c>
    </row>
    <row r="92" spans="1:14" x14ac:dyDescent="0.25">
      <c r="A92" s="15"/>
      <c r="B92" s="15"/>
      <c r="C92">
        <v>30</v>
      </c>
      <c r="D92">
        <v>365.4</v>
      </c>
      <c r="E92">
        <v>156.6</v>
      </c>
      <c r="F92">
        <v>621.9</v>
      </c>
      <c r="G92">
        <v>1116.3</v>
      </c>
      <c r="H92">
        <v>0</v>
      </c>
      <c r="I92">
        <v>226.8</v>
      </c>
      <c r="J92">
        <v>14</v>
      </c>
      <c r="K92" s="10">
        <v>23.89</v>
      </c>
      <c r="L92" s="2">
        <f t="shared" si="2"/>
        <v>378.82458000000003</v>
      </c>
      <c r="M92" s="2">
        <f t="shared" si="3"/>
        <v>165.430125</v>
      </c>
      <c r="N92">
        <v>0</v>
      </c>
    </row>
    <row r="93" spans="1:14" x14ac:dyDescent="0.25">
      <c r="A93" s="15"/>
      <c r="B93" s="15"/>
      <c r="C93">
        <v>30</v>
      </c>
      <c r="D93">
        <v>365.4</v>
      </c>
      <c r="E93">
        <v>156.6</v>
      </c>
      <c r="F93">
        <v>621.9</v>
      </c>
      <c r="G93">
        <v>1116.3</v>
      </c>
      <c r="H93">
        <v>0</v>
      </c>
      <c r="I93">
        <v>226.8</v>
      </c>
      <c r="J93">
        <v>28</v>
      </c>
      <c r="K93" s="10">
        <v>28.13</v>
      </c>
      <c r="L93" s="2">
        <f t="shared" si="2"/>
        <v>378.82458000000003</v>
      </c>
      <c r="M93" s="2">
        <f t="shared" si="3"/>
        <v>165.430125</v>
      </c>
      <c r="N93">
        <v>0</v>
      </c>
    </row>
    <row r="94" spans="1:14" x14ac:dyDescent="0.25">
      <c r="A94" s="15"/>
      <c r="B94" s="15"/>
      <c r="C94">
        <v>30</v>
      </c>
      <c r="D94">
        <v>365.4</v>
      </c>
      <c r="E94">
        <v>156.6</v>
      </c>
      <c r="F94">
        <v>621.9</v>
      </c>
      <c r="G94">
        <v>1116.3</v>
      </c>
      <c r="H94">
        <v>0</v>
      </c>
      <c r="I94">
        <v>226.8</v>
      </c>
      <c r="J94">
        <v>56</v>
      </c>
      <c r="K94" s="10">
        <v>27.34</v>
      </c>
      <c r="L94" s="2">
        <f t="shared" si="2"/>
        <v>378.82458000000003</v>
      </c>
      <c r="M94" s="2">
        <f t="shared" si="3"/>
        <v>165.430125</v>
      </c>
      <c r="N94">
        <v>0</v>
      </c>
    </row>
    <row r="95" spans="1:14" x14ac:dyDescent="0.25">
      <c r="A95" s="15"/>
      <c r="B95" s="15"/>
      <c r="C95">
        <v>30</v>
      </c>
      <c r="D95">
        <v>365.4</v>
      </c>
      <c r="E95">
        <v>156.6</v>
      </c>
      <c r="F95">
        <v>621.9</v>
      </c>
      <c r="G95">
        <v>1116.3</v>
      </c>
      <c r="H95">
        <v>0</v>
      </c>
      <c r="I95">
        <v>226.8</v>
      </c>
      <c r="J95">
        <v>90</v>
      </c>
      <c r="K95" s="10">
        <v>28.93</v>
      </c>
      <c r="L95" s="2">
        <f t="shared" si="2"/>
        <v>378.82458000000003</v>
      </c>
      <c r="M95" s="2">
        <f t="shared" si="3"/>
        <v>165.430125</v>
      </c>
      <c r="N95">
        <v>0</v>
      </c>
    </row>
    <row r="96" spans="1:14" x14ac:dyDescent="0.25">
      <c r="A96" s="15"/>
      <c r="B96" s="15"/>
      <c r="C96">
        <v>35</v>
      </c>
      <c r="D96">
        <v>339.3</v>
      </c>
      <c r="E96">
        <v>182.7</v>
      </c>
      <c r="F96">
        <v>621.9</v>
      </c>
      <c r="G96">
        <v>1116.3</v>
      </c>
      <c r="H96">
        <v>0</v>
      </c>
      <c r="I96">
        <v>226.8</v>
      </c>
      <c r="J96">
        <v>14</v>
      </c>
      <c r="K96" s="10">
        <v>22.55</v>
      </c>
      <c r="L96" s="2">
        <f t="shared" si="2"/>
        <v>359.77157999999997</v>
      </c>
      <c r="M96" s="2">
        <f t="shared" si="3"/>
        <v>155.64262500000001</v>
      </c>
      <c r="N96">
        <v>0</v>
      </c>
    </row>
    <row r="97" spans="1:14" x14ac:dyDescent="0.25">
      <c r="A97" s="15"/>
      <c r="B97" s="15"/>
      <c r="C97">
        <v>35</v>
      </c>
      <c r="D97">
        <v>339.3</v>
      </c>
      <c r="E97">
        <v>182.7</v>
      </c>
      <c r="F97">
        <v>621.9</v>
      </c>
      <c r="G97">
        <v>1116.3</v>
      </c>
      <c r="H97">
        <v>0</v>
      </c>
      <c r="I97">
        <v>226.8</v>
      </c>
      <c r="J97">
        <v>28</v>
      </c>
      <c r="K97" s="10">
        <v>29.25</v>
      </c>
      <c r="L97" s="2">
        <f t="shared" si="2"/>
        <v>359.77157999999997</v>
      </c>
      <c r="M97" s="2">
        <f t="shared" si="3"/>
        <v>155.64262500000001</v>
      </c>
      <c r="N97">
        <v>0</v>
      </c>
    </row>
    <row r="98" spans="1:14" x14ac:dyDescent="0.25">
      <c r="A98" s="15"/>
      <c r="B98" s="15"/>
      <c r="C98">
        <v>35</v>
      </c>
      <c r="D98">
        <v>339.3</v>
      </c>
      <c r="E98">
        <v>182.7</v>
      </c>
      <c r="F98">
        <v>621.9</v>
      </c>
      <c r="G98">
        <v>1116.3</v>
      </c>
      <c r="H98">
        <v>0</v>
      </c>
      <c r="I98">
        <v>226.8</v>
      </c>
      <c r="J98">
        <v>56</v>
      </c>
      <c r="K98" s="10">
        <v>26.95</v>
      </c>
      <c r="L98" s="2">
        <f t="shared" si="2"/>
        <v>359.77157999999997</v>
      </c>
      <c r="M98" s="2">
        <f t="shared" si="3"/>
        <v>155.64262500000001</v>
      </c>
      <c r="N98">
        <v>0</v>
      </c>
    </row>
    <row r="99" spans="1:14" x14ac:dyDescent="0.25">
      <c r="A99" s="15"/>
      <c r="B99" s="15"/>
      <c r="C99">
        <v>35</v>
      </c>
      <c r="D99">
        <v>339.3</v>
      </c>
      <c r="E99">
        <v>182.7</v>
      </c>
      <c r="F99">
        <v>621.9</v>
      </c>
      <c r="G99">
        <v>1116.3</v>
      </c>
      <c r="H99">
        <v>0</v>
      </c>
      <c r="I99">
        <v>226.8</v>
      </c>
      <c r="J99">
        <v>90</v>
      </c>
      <c r="K99" s="10">
        <v>29.07</v>
      </c>
      <c r="L99" s="2">
        <f t="shared" si="2"/>
        <v>359.77157999999997</v>
      </c>
      <c r="M99" s="2">
        <f t="shared" si="3"/>
        <v>155.64262500000001</v>
      </c>
      <c r="N99">
        <v>0</v>
      </c>
    </row>
    <row r="100" spans="1:14" x14ac:dyDescent="0.25">
      <c r="A100" s="15"/>
      <c r="B100" s="15"/>
      <c r="C100">
        <v>40</v>
      </c>
      <c r="D100">
        <v>313.2</v>
      </c>
      <c r="E100">
        <v>208.8</v>
      </c>
      <c r="F100">
        <v>621.9</v>
      </c>
      <c r="G100">
        <v>1116.3</v>
      </c>
      <c r="H100">
        <v>0</v>
      </c>
      <c r="I100">
        <v>226.8</v>
      </c>
      <c r="J100">
        <v>14</v>
      </c>
      <c r="K100" s="10">
        <v>22.54</v>
      </c>
      <c r="L100" s="2">
        <f t="shared" si="2"/>
        <v>340.71857999999997</v>
      </c>
      <c r="M100" s="2">
        <f t="shared" si="3"/>
        <v>145.85512500000002</v>
      </c>
      <c r="N100">
        <v>0</v>
      </c>
    </row>
    <row r="101" spans="1:14" x14ac:dyDescent="0.25">
      <c r="A101" s="15"/>
      <c r="B101" s="15"/>
      <c r="C101">
        <v>40</v>
      </c>
      <c r="D101">
        <v>313.2</v>
      </c>
      <c r="E101">
        <v>208.8</v>
      </c>
      <c r="F101">
        <v>621.9</v>
      </c>
      <c r="G101">
        <v>1116.3</v>
      </c>
      <c r="H101">
        <v>0</v>
      </c>
      <c r="I101">
        <v>226.8</v>
      </c>
      <c r="J101">
        <v>28</v>
      </c>
      <c r="K101" s="10">
        <v>24.74</v>
      </c>
      <c r="L101" s="2">
        <f t="shared" si="2"/>
        <v>340.71857999999997</v>
      </c>
      <c r="M101" s="2">
        <f t="shared" si="3"/>
        <v>145.85512500000002</v>
      </c>
      <c r="N101">
        <v>0</v>
      </c>
    </row>
    <row r="102" spans="1:14" x14ac:dyDescent="0.25">
      <c r="A102" s="15"/>
      <c r="B102" s="15"/>
      <c r="C102">
        <v>40</v>
      </c>
      <c r="D102">
        <v>313.2</v>
      </c>
      <c r="E102">
        <v>208.8</v>
      </c>
      <c r="F102">
        <v>621.9</v>
      </c>
      <c r="G102">
        <v>1116.3</v>
      </c>
      <c r="H102">
        <v>0</v>
      </c>
      <c r="I102">
        <v>226.8</v>
      </c>
      <c r="J102">
        <v>56</v>
      </c>
      <c r="K102" s="10">
        <v>27.21</v>
      </c>
      <c r="L102" s="2">
        <f t="shared" si="2"/>
        <v>340.71857999999997</v>
      </c>
      <c r="M102" s="2">
        <f t="shared" si="3"/>
        <v>145.85512500000002</v>
      </c>
      <c r="N102">
        <v>0</v>
      </c>
    </row>
    <row r="103" spans="1:14" x14ac:dyDescent="0.25">
      <c r="A103" s="15"/>
      <c r="B103" s="15"/>
      <c r="C103">
        <v>40</v>
      </c>
      <c r="D103">
        <v>313.2</v>
      </c>
      <c r="E103">
        <v>208.8</v>
      </c>
      <c r="F103">
        <v>621.9</v>
      </c>
      <c r="G103">
        <v>1116.3</v>
      </c>
      <c r="H103">
        <v>0</v>
      </c>
      <c r="I103">
        <v>226.8</v>
      </c>
      <c r="J103">
        <v>90</v>
      </c>
      <c r="K103" s="10">
        <v>29</v>
      </c>
      <c r="L103" s="2">
        <f t="shared" si="2"/>
        <v>340.71857999999997</v>
      </c>
      <c r="M103" s="2">
        <f t="shared" si="3"/>
        <v>145.85512500000002</v>
      </c>
      <c r="N103">
        <v>0</v>
      </c>
    </row>
    <row r="104" spans="1:14" x14ac:dyDescent="0.25">
      <c r="A104" s="15"/>
      <c r="B104" s="15"/>
      <c r="C104">
        <v>45</v>
      </c>
      <c r="D104">
        <v>287.10000000000002</v>
      </c>
      <c r="E104">
        <v>234.9</v>
      </c>
      <c r="F104">
        <v>621.9</v>
      </c>
      <c r="G104">
        <v>1116.3</v>
      </c>
      <c r="H104">
        <v>0</v>
      </c>
      <c r="I104">
        <v>226.8</v>
      </c>
      <c r="J104">
        <v>14</v>
      </c>
      <c r="K104" s="10">
        <v>19.23</v>
      </c>
      <c r="L104" s="2">
        <f t="shared" si="2"/>
        <v>321.66558000000003</v>
      </c>
      <c r="M104" s="2">
        <f t="shared" si="3"/>
        <v>136.06762499999999</v>
      </c>
      <c r="N104">
        <v>0</v>
      </c>
    </row>
    <row r="105" spans="1:14" x14ac:dyDescent="0.25">
      <c r="A105" s="15"/>
      <c r="B105" s="15"/>
      <c r="C105">
        <v>45</v>
      </c>
      <c r="D105">
        <v>287.10000000000002</v>
      </c>
      <c r="E105">
        <v>234.9</v>
      </c>
      <c r="F105">
        <v>621.9</v>
      </c>
      <c r="G105">
        <v>1116.3</v>
      </c>
      <c r="H105">
        <v>0</v>
      </c>
      <c r="I105">
        <v>226.8</v>
      </c>
      <c r="J105">
        <v>28</v>
      </c>
      <c r="K105" s="10">
        <v>24.23</v>
      </c>
      <c r="L105" s="2">
        <f t="shared" si="2"/>
        <v>321.66558000000003</v>
      </c>
      <c r="M105" s="2">
        <f t="shared" si="3"/>
        <v>136.06762499999999</v>
      </c>
      <c r="N105">
        <v>0</v>
      </c>
    </row>
    <row r="106" spans="1:14" x14ac:dyDescent="0.25">
      <c r="A106" s="15"/>
      <c r="B106" s="15"/>
      <c r="C106">
        <v>45</v>
      </c>
      <c r="D106">
        <v>287.10000000000002</v>
      </c>
      <c r="E106">
        <v>234.9</v>
      </c>
      <c r="F106">
        <v>621.9</v>
      </c>
      <c r="G106">
        <v>1116.3</v>
      </c>
      <c r="H106">
        <v>0</v>
      </c>
      <c r="I106">
        <v>226.8</v>
      </c>
      <c r="J106">
        <v>56</v>
      </c>
      <c r="K106" s="10">
        <v>21.94</v>
      </c>
      <c r="L106" s="2">
        <f t="shared" si="2"/>
        <v>321.66558000000003</v>
      </c>
      <c r="M106" s="2">
        <f t="shared" si="3"/>
        <v>136.06762499999999</v>
      </c>
      <c r="N106">
        <v>0</v>
      </c>
    </row>
    <row r="107" spans="1:14" x14ac:dyDescent="0.25">
      <c r="A107" s="15"/>
      <c r="B107" s="15"/>
      <c r="C107">
        <v>45</v>
      </c>
      <c r="D107">
        <v>287.10000000000002</v>
      </c>
      <c r="E107">
        <v>234.9</v>
      </c>
      <c r="F107">
        <v>621.9</v>
      </c>
      <c r="G107">
        <v>1116.3</v>
      </c>
      <c r="H107">
        <v>0</v>
      </c>
      <c r="I107">
        <v>226.8</v>
      </c>
      <c r="J107">
        <v>90</v>
      </c>
      <c r="K107" s="10">
        <v>23.75</v>
      </c>
      <c r="L107" s="2">
        <f t="shared" si="2"/>
        <v>321.66558000000003</v>
      </c>
      <c r="M107" s="2">
        <f t="shared" si="3"/>
        <v>136.06762499999999</v>
      </c>
      <c r="N107">
        <v>0</v>
      </c>
    </row>
    <row r="108" spans="1:14" x14ac:dyDescent="0.25">
      <c r="A108" s="15"/>
      <c r="B108" s="15"/>
      <c r="C108">
        <v>50</v>
      </c>
      <c r="D108">
        <v>261</v>
      </c>
      <c r="E108">
        <v>261</v>
      </c>
      <c r="F108">
        <v>621.9</v>
      </c>
      <c r="G108">
        <v>1116.3</v>
      </c>
      <c r="H108">
        <v>0</v>
      </c>
      <c r="I108">
        <v>226.8</v>
      </c>
      <c r="J108">
        <v>14</v>
      </c>
      <c r="K108" s="10">
        <v>21.01</v>
      </c>
      <c r="L108" s="2">
        <f t="shared" si="2"/>
        <v>302.61257999999998</v>
      </c>
      <c r="M108" s="2">
        <f t="shared" si="3"/>
        <v>126.280125</v>
      </c>
      <c r="N108">
        <v>0</v>
      </c>
    </row>
    <row r="109" spans="1:14" x14ac:dyDescent="0.25">
      <c r="A109" s="15"/>
      <c r="B109" s="15"/>
      <c r="C109">
        <v>50</v>
      </c>
      <c r="D109">
        <v>261</v>
      </c>
      <c r="E109">
        <v>261</v>
      </c>
      <c r="F109">
        <v>621.9</v>
      </c>
      <c r="G109">
        <v>1116.3</v>
      </c>
      <c r="H109">
        <v>0</v>
      </c>
      <c r="I109">
        <v>226.8</v>
      </c>
      <c r="J109">
        <v>28</v>
      </c>
      <c r="K109" s="10">
        <v>25.96</v>
      </c>
      <c r="L109" s="2">
        <f t="shared" si="2"/>
        <v>302.61257999999998</v>
      </c>
      <c r="M109" s="2">
        <f t="shared" si="3"/>
        <v>126.280125</v>
      </c>
      <c r="N109">
        <v>0</v>
      </c>
    </row>
    <row r="110" spans="1:14" x14ac:dyDescent="0.25">
      <c r="A110" s="15"/>
      <c r="B110" s="15"/>
      <c r="C110">
        <v>50</v>
      </c>
      <c r="D110">
        <v>261</v>
      </c>
      <c r="E110">
        <v>261</v>
      </c>
      <c r="F110">
        <v>621.9</v>
      </c>
      <c r="G110">
        <v>1116.3</v>
      </c>
      <c r="H110">
        <v>0</v>
      </c>
      <c r="I110">
        <v>226.8</v>
      </c>
      <c r="J110">
        <v>56</v>
      </c>
      <c r="K110" s="10">
        <v>24.16</v>
      </c>
      <c r="L110" s="2">
        <f t="shared" si="2"/>
        <v>302.61257999999998</v>
      </c>
      <c r="M110" s="2">
        <f t="shared" si="3"/>
        <v>126.280125</v>
      </c>
      <c r="N110">
        <v>0</v>
      </c>
    </row>
    <row r="111" spans="1:14" x14ac:dyDescent="0.25">
      <c r="A111" s="15"/>
      <c r="B111" s="15"/>
      <c r="C111">
        <v>50</v>
      </c>
      <c r="D111">
        <v>261</v>
      </c>
      <c r="E111">
        <v>261</v>
      </c>
      <c r="F111">
        <v>621.9</v>
      </c>
      <c r="G111">
        <v>1116.3</v>
      </c>
      <c r="H111">
        <v>0</v>
      </c>
      <c r="I111">
        <v>226.8</v>
      </c>
      <c r="J111">
        <v>90</v>
      </c>
      <c r="K111" s="10">
        <v>26.41</v>
      </c>
      <c r="L111" s="2">
        <f t="shared" si="2"/>
        <v>302.61257999999998</v>
      </c>
      <c r="M111" s="2">
        <f t="shared" si="3"/>
        <v>126.280125</v>
      </c>
      <c r="N111">
        <v>0</v>
      </c>
    </row>
    <row r="112" spans="1:14" x14ac:dyDescent="0.25">
      <c r="A112" s="15" t="s">
        <v>125</v>
      </c>
      <c r="B112" s="15" t="s">
        <v>124</v>
      </c>
      <c r="C112">
        <v>0</v>
      </c>
      <c r="D112">
        <v>481.2</v>
      </c>
      <c r="E112">
        <v>0</v>
      </c>
      <c r="F112">
        <v>800.1</v>
      </c>
      <c r="G112">
        <v>1040.5999999999999</v>
      </c>
      <c r="H112">
        <v>0</v>
      </c>
      <c r="I112">
        <v>158.4</v>
      </c>
      <c r="J112">
        <v>14</v>
      </c>
      <c r="K112" s="10">
        <v>28.63</v>
      </c>
      <c r="L112" s="2">
        <f t="shared" si="2"/>
        <v>458.28092999999996</v>
      </c>
      <c r="M112" s="2">
        <f t="shared" si="3"/>
        <v>211.06087499999998</v>
      </c>
      <c r="N112">
        <v>0</v>
      </c>
    </row>
    <row r="113" spans="1:14" x14ac:dyDescent="0.25">
      <c r="A113" s="15"/>
      <c r="B113" s="15"/>
      <c r="C113">
        <v>0</v>
      </c>
      <c r="D113">
        <v>481.2</v>
      </c>
      <c r="E113">
        <v>0</v>
      </c>
      <c r="F113">
        <v>800.1</v>
      </c>
      <c r="G113">
        <v>1040.5999999999999</v>
      </c>
      <c r="H113">
        <v>0</v>
      </c>
      <c r="I113">
        <v>158.4</v>
      </c>
      <c r="J113">
        <v>28</v>
      </c>
      <c r="K113" s="10">
        <v>29.77</v>
      </c>
      <c r="L113" s="2">
        <f t="shared" si="2"/>
        <v>458.28092999999996</v>
      </c>
      <c r="M113" s="2">
        <f t="shared" si="3"/>
        <v>211.06087499999998</v>
      </c>
      <c r="N113">
        <v>0</v>
      </c>
    </row>
    <row r="114" spans="1:14" x14ac:dyDescent="0.25">
      <c r="A114" s="15"/>
      <c r="B114" s="15"/>
      <c r="C114">
        <v>0</v>
      </c>
      <c r="D114">
        <v>481.2</v>
      </c>
      <c r="E114">
        <v>0</v>
      </c>
      <c r="F114">
        <v>800.1</v>
      </c>
      <c r="G114">
        <v>1040.5999999999999</v>
      </c>
      <c r="H114">
        <v>0</v>
      </c>
      <c r="I114">
        <v>158.4</v>
      </c>
      <c r="J114">
        <v>56</v>
      </c>
      <c r="K114" s="10">
        <v>35.58</v>
      </c>
      <c r="L114" s="2">
        <f t="shared" si="2"/>
        <v>458.28092999999996</v>
      </c>
      <c r="M114" s="2">
        <f t="shared" si="3"/>
        <v>211.06087499999998</v>
      </c>
      <c r="N114">
        <v>0</v>
      </c>
    </row>
    <row r="115" spans="1:14" x14ac:dyDescent="0.25">
      <c r="A115" s="15"/>
      <c r="B115" s="15"/>
      <c r="C115">
        <v>0</v>
      </c>
      <c r="D115">
        <v>481.2</v>
      </c>
      <c r="E115">
        <v>0</v>
      </c>
      <c r="F115">
        <v>800.1</v>
      </c>
      <c r="G115">
        <v>1040.5999999999999</v>
      </c>
      <c r="H115">
        <v>0</v>
      </c>
      <c r="I115">
        <v>158.4</v>
      </c>
      <c r="J115">
        <v>90</v>
      </c>
      <c r="K115" s="10">
        <v>35.86</v>
      </c>
      <c r="L115" s="2">
        <f t="shared" si="2"/>
        <v>458.28092999999996</v>
      </c>
      <c r="M115" s="2">
        <f t="shared" si="3"/>
        <v>211.06087499999998</v>
      </c>
      <c r="N115">
        <v>0</v>
      </c>
    </row>
    <row r="116" spans="1:14" x14ac:dyDescent="0.25">
      <c r="A116" s="15"/>
      <c r="B116" s="15"/>
      <c r="C116">
        <v>5</v>
      </c>
      <c r="D116">
        <v>457.14</v>
      </c>
      <c r="E116">
        <v>24.06</v>
      </c>
      <c r="F116">
        <v>800.1</v>
      </c>
      <c r="G116">
        <v>1040.5999999999999</v>
      </c>
      <c r="H116">
        <v>0</v>
      </c>
      <c r="I116">
        <v>158.4</v>
      </c>
      <c r="J116">
        <v>14</v>
      </c>
      <c r="K116" s="10">
        <v>26.3</v>
      </c>
      <c r="L116" s="2">
        <f t="shared" si="2"/>
        <v>440.71713</v>
      </c>
      <c r="M116" s="2">
        <f t="shared" si="3"/>
        <v>202.03837499999997</v>
      </c>
      <c r="N116">
        <v>0</v>
      </c>
    </row>
    <row r="117" spans="1:14" x14ac:dyDescent="0.25">
      <c r="A117" s="15"/>
      <c r="B117" s="15"/>
      <c r="C117">
        <v>5</v>
      </c>
      <c r="D117">
        <v>457.14</v>
      </c>
      <c r="E117">
        <v>24.06</v>
      </c>
      <c r="F117">
        <v>800.1</v>
      </c>
      <c r="G117">
        <v>1040.5999999999999</v>
      </c>
      <c r="H117">
        <v>0</v>
      </c>
      <c r="I117">
        <v>158.4</v>
      </c>
      <c r="J117">
        <v>28</v>
      </c>
      <c r="K117" s="10">
        <v>28.96</v>
      </c>
      <c r="L117" s="2">
        <f t="shared" si="2"/>
        <v>440.71713</v>
      </c>
      <c r="M117" s="2">
        <f t="shared" si="3"/>
        <v>202.03837499999997</v>
      </c>
      <c r="N117">
        <v>0</v>
      </c>
    </row>
    <row r="118" spans="1:14" x14ac:dyDescent="0.25">
      <c r="A118" s="15"/>
      <c r="B118" s="15"/>
      <c r="C118">
        <v>5</v>
      </c>
      <c r="D118">
        <v>457.14</v>
      </c>
      <c r="E118">
        <v>24.06</v>
      </c>
      <c r="F118">
        <v>800.1</v>
      </c>
      <c r="G118">
        <v>1040.5999999999999</v>
      </c>
      <c r="H118">
        <v>0</v>
      </c>
      <c r="I118">
        <v>158.4</v>
      </c>
      <c r="J118">
        <v>56</v>
      </c>
      <c r="K118" s="10">
        <v>31.01</v>
      </c>
      <c r="L118" s="2">
        <f t="shared" si="2"/>
        <v>440.71713</v>
      </c>
      <c r="M118" s="2">
        <f t="shared" si="3"/>
        <v>202.03837499999997</v>
      </c>
      <c r="N118">
        <v>0</v>
      </c>
    </row>
    <row r="119" spans="1:14" x14ac:dyDescent="0.25">
      <c r="A119" s="15"/>
      <c r="B119" s="15"/>
      <c r="C119">
        <v>5</v>
      </c>
      <c r="D119">
        <v>457.14</v>
      </c>
      <c r="E119">
        <v>24.06</v>
      </c>
      <c r="F119">
        <v>800.1</v>
      </c>
      <c r="G119">
        <v>1040.5999999999999</v>
      </c>
      <c r="H119">
        <v>0</v>
      </c>
      <c r="I119">
        <v>158.4</v>
      </c>
      <c r="J119">
        <v>90</v>
      </c>
      <c r="K119" s="10">
        <v>38.520000000000003</v>
      </c>
      <c r="L119" s="2">
        <f t="shared" si="2"/>
        <v>440.71713</v>
      </c>
      <c r="M119" s="2">
        <f t="shared" si="3"/>
        <v>202.03837499999997</v>
      </c>
      <c r="N119">
        <v>0</v>
      </c>
    </row>
    <row r="120" spans="1:14" x14ac:dyDescent="0.25">
      <c r="A120" s="15"/>
      <c r="B120" s="15"/>
      <c r="C120">
        <v>10</v>
      </c>
      <c r="D120">
        <v>433.08</v>
      </c>
      <c r="E120">
        <v>48.12</v>
      </c>
      <c r="F120">
        <v>800.1</v>
      </c>
      <c r="G120">
        <v>1040.5999999999999</v>
      </c>
      <c r="H120">
        <v>0</v>
      </c>
      <c r="I120">
        <v>158.4</v>
      </c>
      <c r="J120">
        <v>14</v>
      </c>
      <c r="K120" s="10">
        <v>27.93</v>
      </c>
      <c r="L120" s="2">
        <f t="shared" si="2"/>
        <v>423.15332999999998</v>
      </c>
      <c r="M120" s="2">
        <f t="shared" si="3"/>
        <v>193.01587499999999</v>
      </c>
      <c r="N120">
        <v>0</v>
      </c>
    </row>
    <row r="121" spans="1:14" x14ac:dyDescent="0.25">
      <c r="A121" s="15"/>
      <c r="B121" s="15"/>
      <c r="C121">
        <v>10</v>
      </c>
      <c r="D121">
        <v>433.08</v>
      </c>
      <c r="E121">
        <v>48.12</v>
      </c>
      <c r="F121">
        <v>800.1</v>
      </c>
      <c r="G121">
        <v>1040.5999999999999</v>
      </c>
      <c r="H121">
        <v>0</v>
      </c>
      <c r="I121">
        <v>158.4</v>
      </c>
      <c r="J121">
        <v>28</v>
      </c>
      <c r="K121" s="10">
        <v>27.32</v>
      </c>
      <c r="L121" s="2">
        <f t="shared" si="2"/>
        <v>423.15332999999998</v>
      </c>
      <c r="M121" s="2">
        <f t="shared" si="3"/>
        <v>193.01587499999999</v>
      </c>
      <c r="N121">
        <v>0</v>
      </c>
    </row>
    <row r="122" spans="1:14" x14ac:dyDescent="0.25">
      <c r="A122" s="15"/>
      <c r="B122" s="15"/>
      <c r="C122">
        <v>10</v>
      </c>
      <c r="D122">
        <v>433.08</v>
      </c>
      <c r="E122">
        <v>48.12</v>
      </c>
      <c r="F122">
        <v>800.1</v>
      </c>
      <c r="G122">
        <v>1040.5999999999999</v>
      </c>
      <c r="H122">
        <v>0</v>
      </c>
      <c r="I122">
        <v>158.4</v>
      </c>
      <c r="J122">
        <v>56</v>
      </c>
      <c r="K122" s="10">
        <v>35.590000000000003</v>
      </c>
      <c r="L122" s="2">
        <f t="shared" si="2"/>
        <v>423.15332999999998</v>
      </c>
      <c r="M122" s="2">
        <f t="shared" si="3"/>
        <v>193.01587499999999</v>
      </c>
      <c r="N122">
        <v>0</v>
      </c>
    </row>
    <row r="123" spans="1:14" x14ac:dyDescent="0.25">
      <c r="A123" s="15"/>
      <c r="B123" s="15"/>
      <c r="C123">
        <v>10</v>
      </c>
      <c r="D123">
        <v>433.08</v>
      </c>
      <c r="E123">
        <v>48.12</v>
      </c>
      <c r="F123">
        <v>800.1</v>
      </c>
      <c r="G123">
        <v>1040.5999999999999</v>
      </c>
      <c r="H123">
        <v>0</v>
      </c>
      <c r="I123">
        <v>158.4</v>
      </c>
      <c r="J123">
        <v>90</v>
      </c>
      <c r="K123" s="10">
        <v>32.020000000000003</v>
      </c>
      <c r="L123" s="2">
        <f t="shared" si="2"/>
        <v>423.15332999999998</v>
      </c>
      <c r="M123" s="2">
        <f t="shared" si="3"/>
        <v>193.01587499999999</v>
      </c>
      <c r="N123">
        <v>0</v>
      </c>
    </row>
    <row r="124" spans="1:14" x14ac:dyDescent="0.25">
      <c r="A124" s="15"/>
      <c r="B124" s="15"/>
      <c r="C124">
        <v>15</v>
      </c>
      <c r="D124">
        <v>409.02</v>
      </c>
      <c r="E124">
        <v>72.180000000000007</v>
      </c>
      <c r="F124">
        <v>800.1</v>
      </c>
      <c r="G124">
        <v>1040.5999999999999</v>
      </c>
      <c r="H124">
        <v>0</v>
      </c>
      <c r="I124">
        <v>158.4</v>
      </c>
      <c r="J124">
        <v>14</v>
      </c>
      <c r="K124" s="10">
        <v>24.74</v>
      </c>
      <c r="L124" s="2">
        <f t="shared" si="2"/>
        <v>405.58952999999997</v>
      </c>
      <c r="M124" s="2">
        <f t="shared" si="3"/>
        <v>183.99337499999999</v>
      </c>
      <c r="N124">
        <v>0</v>
      </c>
    </row>
    <row r="125" spans="1:14" x14ac:dyDescent="0.25">
      <c r="A125" s="15"/>
      <c r="B125" s="15"/>
      <c r="C125">
        <v>15</v>
      </c>
      <c r="D125">
        <v>409.02</v>
      </c>
      <c r="E125">
        <v>72.180000000000007</v>
      </c>
      <c r="F125">
        <v>800.1</v>
      </c>
      <c r="G125">
        <v>1040.5999999999999</v>
      </c>
      <c r="H125">
        <v>0</v>
      </c>
      <c r="I125">
        <v>158.4</v>
      </c>
      <c r="J125">
        <v>28</v>
      </c>
      <c r="K125" s="10">
        <v>32.32</v>
      </c>
      <c r="L125" s="2">
        <f t="shared" si="2"/>
        <v>405.58952999999997</v>
      </c>
      <c r="M125" s="2">
        <f t="shared" si="3"/>
        <v>183.99337499999999</v>
      </c>
      <c r="N125">
        <v>0</v>
      </c>
    </row>
    <row r="126" spans="1:14" x14ac:dyDescent="0.25">
      <c r="A126" s="15"/>
      <c r="B126" s="15"/>
      <c r="C126">
        <v>15</v>
      </c>
      <c r="D126">
        <v>409.02</v>
      </c>
      <c r="E126">
        <v>72.180000000000007</v>
      </c>
      <c r="F126">
        <v>800.1</v>
      </c>
      <c r="G126">
        <v>1040.5999999999999</v>
      </c>
      <c r="H126">
        <v>0</v>
      </c>
      <c r="I126">
        <v>158.4</v>
      </c>
      <c r="J126">
        <v>56</v>
      </c>
      <c r="K126" s="10">
        <v>32.15</v>
      </c>
      <c r="L126" s="2">
        <f t="shared" si="2"/>
        <v>405.58952999999997</v>
      </c>
      <c r="M126" s="2">
        <f t="shared" si="3"/>
        <v>183.99337499999999</v>
      </c>
      <c r="N126">
        <v>0</v>
      </c>
    </row>
    <row r="127" spans="1:14" x14ac:dyDescent="0.25">
      <c r="A127" s="15"/>
      <c r="B127" s="15"/>
      <c r="C127">
        <v>15</v>
      </c>
      <c r="D127">
        <v>409.02</v>
      </c>
      <c r="E127">
        <v>72.180000000000007</v>
      </c>
      <c r="F127">
        <v>800.1</v>
      </c>
      <c r="G127">
        <v>1040.5999999999999</v>
      </c>
      <c r="H127">
        <v>0</v>
      </c>
      <c r="I127">
        <v>158.4</v>
      </c>
      <c r="J127">
        <v>90</v>
      </c>
      <c r="K127" s="10">
        <v>32.03</v>
      </c>
      <c r="L127" s="2">
        <f t="shared" si="2"/>
        <v>405.58952999999997</v>
      </c>
      <c r="M127" s="2">
        <f t="shared" si="3"/>
        <v>183.99337499999999</v>
      </c>
      <c r="N127">
        <v>0</v>
      </c>
    </row>
    <row r="128" spans="1:14" x14ac:dyDescent="0.25">
      <c r="A128" s="15"/>
      <c r="B128" s="15"/>
      <c r="C128">
        <v>20</v>
      </c>
      <c r="D128">
        <v>384.96</v>
      </c>
      <c r="E128">
        <v>96.24</v>
      </c>
      <c r="F128">
        <v>800.1</v>
      </c>
      <c r="G128">
        <v>1040.5999999999999</v>
      </c>
      <c r="H128">
        <v>0</v>
      </c>
      <c r="I128">
        <v>158.4</v>
      </c>
      <c r="J128">
        <v>14</v>
      </c>
      <c r="K128" s="10">
        <v>26.22</v>
      </c>
      <c r="L128" s="2">
        <f t="shared" si="2"/>
        <v>388.02573000000001</v>
      </c>
      <c r="M128" s="2">
        <f t="shared" si="3"/>
        <v>174.97087499999998</v>
      </c>
      <c r="N128">
        <v>0</v>
      </c>
    </row>
    <row r="129" spans="1:14" x14ac:dyDescent="0.25">
      <c r="A129" s="15"/>
      <c r="B129" s="15"/>
      <c r="C129">
        <v>20</v>
      </c>
      <c r="D129">
        <v>384.96</v>
      </c>
      <c r="E129">
        <v>96.24</v>
      </c>
      <c r="F129">
        <v>800.1</v>
      </c>
      <c r="G129">
        <v>1040.5999999999999</v>
      </c>
      <c r="H129">
        <v>0</v>
      </c>
      <c r="I129">
        <v>158.4</v>
      </c>
      <c r="J129">
        <v>28</v>
      </c>
      <c r="K129" s="10">
        <v>26.81</v>
      </c>
      <c r="L129" s="2">
        <f t="shared" si="2"/>
        <v>388.02573000000001</v>
      </c>
      <c r="M129" s="2">
        <f t="shared" si="3"/>
        <v>174.97087499999998</v>
      </c>
      <c r="N129">
        <v>0</v>
      </c>
    </row>
    <row r="130" spans="1:14" x14ac:dyDescent="0.25">
      <c r="A130" s="15"/>
      <c r="B130" s="15"/>
      <c r="C130">
        <v>20</v>
      </c>
      <c r="D130">
        <v>384.96</v>
      </c>
      <c r="E130">
        <v>96.24</v>
      </c>
      <c r="F130">
        <v>800.1</v>
      </c>
      <c r="G130">
        <v>1040.5999999999999</v>
      </c>
      <c r="H130">
        <v>0</v>
      </c>
      <c r="I130">
        <v>158.4</v>
      </c>
      <c r="J130">
        <v>56</v>
      </c>
      <c r="K130" s="10">
        <v>29.41</v>
      </c>
      <c r="L130" s="2">
        <f t="shared" ref="L130:L188" si="4">SUM((D130*0.83)+(E130*0.1)+(F130*0.0139)+(G130*0.0459)+(H130*2))</f>
        <v>388.02573000000001</v>
      </c>
      <c r="M130" s="2">
        <f t="shared" si="3"/>
        <v>174.97087499999998</v>
      </c>
      <c r="N130">
        <v>0</v>
      </c>
    </row>
    <row r="131" spans="1:14" x14ac:dyDescent="0.25">
      <c r="A131" s="15"/>
      <c r="B131" s="15"/>
      <c r="C131">
        <v>20</v>
      </c>
      <c r="D131">
        <v>384.96</v>
      </c>
      <c r="E131">
        <v>96.24</v>
      </c>
      <c r="F131">
        <v>800.1</v>
      </c>
      <c r="G131">
        <v>1040.5999999999999</v>
      </c>
      <c r="H131">
        <v>0</v>
      </c>
      <c r="I131">
        <v>158.4</v>
      </c>
      <c r="J131">
        <v>90</v>
      </c>
      <c r="K131" s="10">
        <v>31.89</v>
      </c>
      <c r="L131" s="2">
        <f t="shared" si="4"/>
        <v>388.02573000000001</v>
      </c>
      <c r="M131" s="2">
        <f t="shared" ref="M131:M194" si="5">SUM((D131*5)+((F131*0.25)+(G131*0.2)+(H131*20)))*0.075</f>
        <v>174.97087499999998</v>
      </c>
      <c r="N131">
        <v>0</v>
      </c>
    </row>
    <row r="132" spans="1:14" x14ac:dyDescent="0.25">
      <c r="A132" s="15"/>
      <c r="B132" s="15"/>
      <c r="C132">
        <v>25</v>
      </c>
      <c r="D132">
        <v>360.9</v>
      </c>
      <c r="E132">
        <v>120.3</v>
      </c>
      <c r="F132">
        <v>800.1</v>
      </c>
      <c r="G132">
        <v>1040.5999999999999</v>
      </c>
      <c r="H132">
        <v>0</v>
      </c>
      <c r="I132">
        <v>158.4</v>
      </c>
      <c r="J132">
        <v>14</v>
      </c>
      <c r="K132" s="10">
        <v>27.56</v>
      </c>
      <c r="L132" s="2">
        <f t="shared" si="4"/>
        <v>370.46193</v>
      </c>
      <c r="M132" s="2">
        <f t="shared" si="5"/>
        <v>165.948375</v>
      </c>
      <c r="N132">
        <v>0</v>
      </c>
    </row>
    <row r="133" spans="1:14" x14ac:dyDescent="0.25">
      <c r="A133" s="15"/>
      <c r="B133" s="15"/>
      <c r="C133">
        <v>25</v>
      </c>
      <c r="D133">
        <v>360.9</v>
      </c>
      <c r="E133">
        <v>120.3</v>
      </c>
      <c r="F133">
        <v>800.1</v>
      </c>
      <c r="G133">
        <v>1040.5999999999999</v>
      </c>
      <c r="H133">
        <v>0</v>
      </c>
      <c r="I133">
        <v>158.4</v>
      </c>
      <c r="J133">
        <v>28</v>
      </c>
      <c r="K133" s="10">
        <v>30.93</v>
      </c>
      <c r="L133" s="2">
        <f t="shared" si="4"/>
        <v>370.46193</v>
      </c>
      <c r="M133" s="2">
        <f t="shared" si="5"/>
        <v>165.948375</v>
      </c>
      <c r="N133">
        <v>0</v>
      </c>
    </row>
    <row r="134" spans="1:14" x14ac:dyDescent="0.25">
      <c r="A134" s="15"/>
      <c r="B134" s="15"/>
      <c r="C134">
        <v>25</v>
      </c>
      <c r="D134">
        <v>360.9</v>
      </c>
      <c r="E134">
        <v>120.3</v>
      </c>
      <c r="F134">
        <v>800.1</v>
      </c>
      <c r="G134">
        <v>1040.5999999999999</v>
      </c>
      <c r="H134">
        <v>0</v>
      </c>
      <c r="I134">
        <v>158.4</v>
      </c>
      <c r="J134">
        <v>56</v>
      </c>
      <c r="K134" s="10">
        <v>29.64</v>
      </c>
      <c r="L134" s="2">
        <f t="shared" si="4"/>
        <v>370.46193</v>
      </c>
      <c r="M134" s="2">
        <f t="shared" si="5"/>
        <v>165.948375</v>
      </c>
      <c r="N134">
        <v>0</v>
      </c>
    </row>
    <row r="135" spans="1:14" x14ac:dyDescent="0.25">
      <c r="A135" s="15"/>
      <c r="B135" s="15"/>
      <c r="C135">
        <v>25</v>
      </c>
      <c r="D135">
        <v>360.9</v>
      </c>
      <c r="E135">
        <v>120.3</v>
      </c>
      <c r="F135">
        <v>800.1</v>
      </c>
      <c r="G135">
        <v>1040.5999999999999</v>
      </c>
      <c r="H135">
        <v>0</v>
      </c>
      <c r="I135">
        <v>158.4</v>
      </c>
      <c r="J135">
        <v>90</v>
      </c>
      <c r="K135" s="10">
        <v>31.26</v>
      </c>
      <c r="L135" s="2">
        <f t="shared" si="4"/>
        <v>370.46193</v>
      </c>
      <c r="M135" s="2">
        <f t="shared" si="5"/>
        <v>165.948375</v>
      </c>
      <c r="N135">
        <v>0</v>
      </c>
    </row>
    <row r="136" spans="1:14" x14ac:dyDescent="0.25">
      <c r="A136" s="15"/>
      <c r="B136" s="15"/>
      <c r="C136">
        <v>30</v>
      </c>
      <c r="D136">
        <v>336.84</v>
      </c>
      <c r="E136">
        <v>144.36000000000001</v>
      </c>
      <c r="F136">
        <v>800.1</v>
      </c>
      <c r="G136">
        <v>1040.5999999999999</v>
      </c>
      <c r="H136">
        <v>0</v>
      </c>
      <c r="I136">
        <v>158.4</v>
      </c>
      <c r="J136">
        <v>14</v>
      </c>
      <c r="K136" s="10">
        <v>24.93</v>
      </c>
      <c r="L136" s="2">
        <f t="shared" si="4"/>
        <v>352.89812999999992</v>
      </c>
      <c r="M136" s="2">
        <f t="shared" si="5"/>
        <v>156.92587499999999</v>
      </c>
      <c r="N136">
        <v>0</v>
      </c>
    </row>
    <row r="137" spans="1:14" x14ac:dyDescent="0.25">
      <c r="A137" s="15"/>
      <c r="B137" s="15"/>
      <c r="C137">
        <v>30</v>
      </c>
      <c r="D137">
        <v>336.84</v>
      </c>
      <c r="E137">
        <v>144.36000000000001</v>
      </c>
      <c r="F137">
        <v>800.1</v>
      </c>
      <c r="G137">
        <v>1040.5999999999999</v>
      </c>
      <c r="H137">
        <v>0</v>
      </c>
      <c r="I137">
        <v>158.4</v>
      </c>
      <c r="J137">
        <v>28</v>
      </c>
      <c r="K137" s="10">
        <v>23.99</v>
      </c>
      <c r="L137" s="2">
        <f t="shared" si="4"/>
        <v>352.89812999999992</v>
      </c>
      <c r="M137" s="2">
        <f t="shared" si="5"/>
        <v>156.92587499999999</v>
      </c>
      <c r="N137">
        <v>0</v>
      </c>
    </row>
    <row r="138" spans="1:14" x14ac:dyDescent="0.25">
      <c r="A138" s="15"/>
      <c r="B138" s="15"/>
      <c r="C138">
        <v>30</v>
      </c>
      <c r="D138">
        <v>336.84</v>
      </c>
      <c r="E138">
        <v>144.36000000000001</v>
      </c>
      <c r="F138">
        <v>800.1</v>
      </c>
      <c r="G138">
        <v>1040.5999999999999</v>
      </c>
      <c r="H138">
        <v>0</v>
      </c>
      <c r="I138">
        <v>158.4</v>
      </c>
      <c r="J138">
        <v>56</v>
      </c>
      <c r="K138" s="10">
        <v>27.45</v>
      </c>
      <c r="L138" s="2">
        <f t="shared" si="4"/>
        <v>352.89812999999992</v>
      </c>
      <c r="M138" s="2">
        <f t="shared" si="5"/>
        <v>156.92587499999999</v>
      </c>
      <c r="N138">
        <v>0</v>
      </c>
    </row>
    <row r="139" spans="1:14" x14ac:dyDescent="0.25">
      <c r="A139" s="15"/>
      <c r="B139" s="15"/>
      <c r="C139">
        <v>30</v>
      </c>
      <c r="D139">
        <v>336.84</v>
      </c>
      <c r="E139">
        <v>144.36000000000001</v>
      </c>
      <c r="F139">
        <v>800.1</v>
      </c>
      <c r="G139">
        <v>1040.5999999999999</v>
      </c>
      <c r="H139">
        <v>0</v>
      </c>
      <c r="I139">
        <v>158.4</v>
      </c>
      <c r="J139">
        <v>90</v>
      </c>
      <c r="K139" s="10">
        <v>26.7</v>
      </c>
      <c r="L139" s="2">
        <f t="shared" si="4"/>
        <v>352.89812999999992</v>
      </c>
      <c r="M139" s="2">
        <f t="shared" si="5"/>
        <v>156.92587499999999</v>
      </c>
      <c r="N139">
        <v>0</v>
      </c>
    </row>
    <row r="140" spans="1:14" x14ac:dyDescent="0.25">
      <c r="A140" s="15"/>
      <c r="B140" s="15"/>
      <c r="C140">
        <v>35</v>
      </c>
      <c r="D140">
        <v>312.77999999999997</v>
      </c>
      <c r="E140">
        <v>168.42</v>
      </c>
      <c r="F140">
        <v>800.1</v>
      </c>
      <c r="G140">
        <v>1040.5999999999999</v>
      </c>
      <c r="H140">
        <v>0</v>
      </c>
      <c r="I140">
        <v>158.4</v>
      </c>
      <c r="J140">
        <v>14</v>
      </c>
      <c r="K140" s="10">
        <v>22.92</v>
      </c>
      <c r="L140" s="2">
        <f t="shared" si="4"/>
        <v>335.33432999999997</v>
      </c>
      <c r="M140" s="2">
        <f t="shared" si="5"/>
        <v>147.90337499999998</v>
      </c>
      <c r="N140">
        <v>0</v>
      </c>
    </row>
    <row r="141" spans="1:14" x14ac:dyDescent="0.25">
      <c r="A141" s="15"/>
      <c r="B141" s="15"/>
      <c r="C141">
        <v>35</v>
      </c>
      <c r="D141">
        <v>312.77999999999997</v>
      </c>
      <c r="E141">
        <v>168.42</v>
      </c>
      <c r="F141">
        <v>800.1</v>
      </c>
      <c r="G141">
        <v>1040.5999999999999</v>
      </c>
      <c r="H141">
        <v>0</v>
      </c>
      <c r="I141">
        <v>158.4</v>
      </c>
      <c r="J141">
        <v>28</v>
      </c>
      <c r="K141" s="10">
        <v>19.84</v>
      </c>
      <c r="L141" s="2">
        <f t="shared" si="4"/>
        <v>335.33432999999997</v>
      </c>
      <c r="M141" s="2">
        <f t="shared" si="5"/>
        <v>147.90337499999998</v>
      </c>
      <c r="N141">
        <v>0</v>
      </c>
    </row>
    <row r="142" spans="1:14" x14ac:dyDescent="0.25">
      <c r="A142" s="15"/>
      <c r="B142" s="15"/>
      <c r="C142">
        <v>35</v>
      </c>
      <c r="D142">
        <v>312.77999999999997</v>
      </c>
      <c r="E142">
        <v>168.42</v>
      </c>
      <c r="F142">
        <v>800.1</v>
      </c>
      <c r="G142">
        <v>1040.5999999999999</v>
      </c>
      <c r="H142">
        <v>0</v>
      </c>
      <c r="I142">
        <v>158.4</v>
      </c>
      <c r="J142">
        <v>56</v>
      </c>
      <c r="K142" s="10">
        <v>25.08</v>
      </c>
      <c r="L142" s="2">
        <f t="shared" si="4"/>
        <v>335.33432999999997</v>
      </c>
      <c r="M142" s="2">
        <f t="shared" si="5"/>
        <v>147.90337499999998</v>
      </c>
      <c r="N142">
        <v>0</v>
      </c>
    </row>
    <row r="143" spans="1:14" x14ac:dyDescent="0.25">
      <c r="A143" s="15"/>
      <c r="B143" s="15"/>
      <c r="C143">
        <v>35</v>
      </c>
      <c r="D143">
        <v>312.77999999999997</v>
      </c>
      <c r="E143">
        <v>168.42</v>
      </c>
      <c r="F143">
        <v>800.1</v>
      </c>
      <c r="G143">
        <v>1040.5999999999999</v>
      </c>
      <c r="H143">
        <v>0</v>
      </c>
      <c r="I143">
        <v>158.4</v>
      </c>
      <c r="J143">
        <v>90</v>
      </c>
      <c r="K143" s="10">
        <v>26.75</v>
      </c>
      <c r="L143" s="2">
        <f t="shared" si="4"/>
        <v>335.33432999999997</v>
      </c>
      <c r="M143" s="2">
        <f t="shared" si="5"/>
        <v>147.90337499999998</v>
      </c>
      <c r="N143">
        <v>0</v>
      </c>
    </row>
    <row r="144" spans="1:14" x14ac:dyDescent="0.25">
      <c r="A144" s="15"/>
      <c r="B144" s="15"/>
      <c r="C144">
        <v>40</v>
      </c>
      <c r="D144">
        <v>288.72000000000003</v>
      </c>
      <c r="E144">
        <v>192.48</v>
      </c>
      <c r="F144">
        <v>800.1</v>
      </c>
      <c r="G144">
        <v>1040.5999999999999</v>
      </c>
      <c r="H144">
        <v>0</v>
      </c>
      <c r="I144">
        <v>158.4</v>
      </c>
      <c r="J144">
        <v>14</v>
      </c>
      <c r="K144" s="10">
        <v>21.75</v>
      </c>
      <c r="L144" s="2">
        <f t="shared" si="4"/>
        <v>317.77053000000001</v>
      </c>
      <c r="M144" s="2">
        <f t="shared" si="5"/>
        <v>138.880875</v>
      </c>
      <c r="N144">
        <v>0</v>
      </c>
    </row>
    <row r="145" spans="1:14" x14ac:dyDescent="0.25">
      <c r="A145" s="15"/>
      <c r="B145" s="15"/>
      <c r="C145">
        <v>40</v>
      </c>
      <c r="D145">
        <v>288.72000000000003</v>
      </c>
      <c r="E145">
        <v>192.48</v>
      </c>
      <c r="F145">
        <v>800.1</v>
      </c>
      <c r="G145">
        <v>1040.5999999999999</v>
      </c>
      <c r="H145">
        <v>0</v>
      </c>
      <c r="I145">
        <v>158.4</v>
      </c>
      <c r="J145">
        <v>28</v>
      </c>
      <c r="K145" s="10">
        <v>23.37</v>
      </c>
      <c r="L145" s="2">
        <f t="shared" si="4"/>
        <v>317.77053000000001</v>
      </c>
      <c r="M145" s="2">
        <f t="shared" si="5"/>
        <v>138.880875</v>
      </c>
      <c r="N145">
        <v>0</v>
      </c>
    </row>
    <row r="146" spans="1:14" x14ac:dyDescent="0.25">
      <c r="A146" s="15"/>
      <c r="B146" s="15"/>
      <c r="C146">
        <v>40</v>
      </c>
      <c r="D146">
        <v>288.72000000000003</v>
      </c>
      <c r="E146">
        <v>192.48</v>
      </c>
      <c r="F146">
        <v>800.1</v>
      </c>
      <c r="G146">
        <v>1040.5999999999999</v>
      </c>
      <c r="H146">
        <v>0</v>
      </c>
      <c r="I146">
        <v>158.4</v>
      </c>
      <c r="J146">
        <v>56</v>
      </c>
      <c r="K146" s="10">
        <v>22.68</v>
      </c>
      <c r="L146" s="2">
        <f t="shared" si="4"/>
        <v>317.77053000000001</v>
      </c>
      <c r="M146" s="2">
        <f t="shared" si="5"/>
        <v>138.880875</v>
      </c>
      <c r="N146">
        <v>0</v>
      </c>
    </row>
    <row r="147" spans="1:14" x14ac:dyDescent="0.25">
      <c r="A147" s="15"/>
      <c r="B147" s="15"/>
      <c r="C147">
        <v>40</v>
      </c>
      <c r="D147">
        <v>288.72000000000003</v>
      </c>
      <c r="E147">
        <v>192.48</v>
      </c>
      <c r="F147">
        <v>800.1</v>
      </c>
      <c r="G147">
        <v>1040.5999999999999</v>
      </c>
      <c r="H147">
        <v>0</v>
      </c>
      <c r="I147">
        <v>158.4</v>
      </c>
      <c r="J147">
        <v>90</v>
      </c>
      <c r="K147" s="10">
        <v>25.14</v>
      </c>
      <c r="L147" s="2">
        <f t="shared" si="4"/>
        <v>317.77053000000001</v>
      </c>
      <c r="M147" s="2">
        <f t="shared" si="5"/>
        <v>138.880875</v>
      </c>
      <c r="N147">
        <v>0</v>
      </c>
    </row>
    <row r="148" spans="1:14" x14ac:dyDescent="0.25">
      <c r="A148" s="15"/>
      <c r="B148" s="15"/>
      <c r="C148">
        <v>45</v>
      </c>
      <c r="D148">
        <v>264.66000000000003</v>
      </c>
      <c r="E148">
        <v>216.54</v>
      </c>
      <c r="F148">
        <v>800.1</v>
      </c>
      <c r="G148">
        <v>1040.5999999999999</v>
      </c>
      <c r="H148">
        <v>0</v>
      </c>
      <c r="I148">
        <v>158.4</v>
      </c>
      <c r="J148">
        <v>14</v>
      </c>
      <c r="K148" s="10">
        <v>22.92</v>
      </c>
      <c r="L148" s="2">
        <f t="shared" si="4"/>
        <v>300.20672999999999</v>
      </c>
      <c r="M148" s="2">
        <f t="shared" si="5"/>
        <v>129.858375</v>
      </c>
      <c r="N148">
        <v>0</v>
      </c>
    </row>
    <row r="149" spans="1:14" x14ac:dyDescent="0.25">
      <c r="A149" s="15"/>
      <c r="B149" s="15"/>
      <c r="C149">
        <v>45</v>
      </c>
      <c r="D149">
        <v>264.66000000000003</v>
      </c>
      <c r="E149">
        <v>216.54</v>
      </c>
      <c r="F149">
        <v>800.1</v>
      </c>
      <c r="G149">
        <v>1040.5999999999999</v>
      </c>
      <c r="H149">
        <v>0</v>
      </c>
      <c r="I149">
        <v>158.4</v>
      </c>
      <c r="J149">
        <v>28</v>
      </c>
      <c r="K149" s="10">
        <v>21.71</v>
      </c>
      <c r="L149" s="2">
        <f t="shared" si="4"/>
        <v>300.20672999999999</v>
      </c>
      <c r="M149" s="2">
        <f t="shared" si="5"/>
        <v>129.858375</v>
      </c>
      <c r="N149">
        <v>0</v>
      </c>
    </row>
    <row r="150" spans="1:14" x14ac:dyDescent="0.25">
      <c r="A150" s="15"/>
      <c r="B150" s="15"/>
      <c r="C150">
        <v>45</v>
      </c>
      <c r="D150">
        <v>264.66000000000003</v>
      </c>
      <c r="E150">
        <v>216.54</v>
      </c>
      <c r="F150">
        <v>800.1</v>
      </c>
      <c r="G150">
        <v>1040.5999999999999</v>
      </c>
      <c r="H150">
        <v>0</v>
      </c>
      <c r="I150">
        <v>158.4</v>
      </c>
      <c r="J150">
        <v>56</v>
      </c>
      <c r="K150" s="10">
        <v>27.54</v>
      </c>
      <c r="L150" s="2">
        <f t="shared" si="4"/>
        <v>300.20672999999999</v>
      </c>
      <c r="M150" s="2">
        <f t="shared" si="5"/>
        <v>129.858375</v>
      </c>
      <c r="N150">
        <v>0</v>
      </c>
    </row>
    <row r="151" spans="1:14" x14ac:dyDescent="0.25">
      <c r="A151" s="15"/>
      <c r="B151" s="15"/>
      <c r="C151">
        <v>45</v>
      </c>
      <c r="D151">
        <v>264.66000000000003</v>
      </c>
      <c r="E151">
        <v>216.54</v>
      </c>
      <c r="F151">
        <v>800.1</v>
      </c>
      <c r="G151">
        <v>1040.5999999999999</v>
      </c>
      <c r="H151">
        <v>0</v>
      </c>
      <c r="I151">
        <v>158.4</v>
      </c>
      <c r="J151">
        <v>90</v>
      </c>
      <c r="K151" s="10">
        <v>26.33</v>
      </c>
      <c r="L151" s="2">
        <f t="shared" si="4"/>
        <v>300.20672999999999</v>
      </c>
      <c r="M151" s="2">
        <f t="shared" si="5"/>
        <v>129.858375</v>
      </c>
      <c r="N151">
        <v>0</v>
      </c>
    </row>
    <row r="152" spans="1:14" x14ac:dyDescent="0.25">
      <c r="A152" s="15"/>
      <c r="B152" s="15"/>
      <c r="C152">
        <v>50</v>
      </c>
      <c r="D152">
        <v>240.6</v>
      </c>
      <c r="E152">
        <v>240.6</v>
      </c>
      <c r="F152">
        <v>800.1</v>
      </c>
      <c r="G152">
        <v>1040.5999999999999</v>
      </c>
      <c r="H152">
        <v>0</v>
      </c>
      <c r="I152">
        <v>158.4</v>
      </c>
      <c r="J152">
        <v>14</v>
      </c>
      <c r="K152" s="10">
        <v>19.75</v>
      </c>
      <c r="L152" s="2">
        <f t="shared" si="4"/>
        <v>282.64292999999998</v>
      </c>
      <c r="M152" s="2">
        <f t="shared" si="5"/>
        <v>120.83587499999999</v>
      </c>
      <c r="N152">
        <v>0</v>
      </c>
    </row>
    <row r="153" spans="1:14" x14ac:dyDescent="0.25">
      <c r="A153" s="15"/>
      <c r="B153" s="15"/>
      <c r="C153">
        <v>50</v>
      </c>
      <c r="D153">
        <v>240.6</v>
      </c>
      <c r="E153">
        <v>240.6</v>
      </c>
      <c r="F153">
        <v>800.1</v>
      </c>
      <c r="G153">
        <v>1040.5999999999999</v>
      </c>
      <c r="H153">
        <v>0</v>
      </c>
      <c r="I153">
        <v>158.4</v>
      </c>
      <c r="J153">
        <v>28</v>
      </c>
      <c r="K153" s="10">
        <v>20.69</v>
      </c>
      <c r="L153" s="2">
        <f t="shared" si="4"/>
        <v>282.64292999999998</v>
      </c>
      <c r="M153" s="2">
        <f t="shared" si="5"/>
        <v>120.83587499999999</v>
      </c>
      <c r="N153">
        <v>0</v>
      </c>
    </row>
    <row r="154" spans="1:14" x14ac:dyDescent="0.25">
      <c r="A154" s="15"/>
      <c r="B154" s="15"/>
      <c r="C154">
        <v>50</v>
      </c>
      <c r="D154">
        <v>240.6</v>
      </c>
      <c r="E154">
        <v>240.6</v>
      </c>
      <c r="F154">
        <v>800.1</v>
      </c>
      <c r="G154">
        <v>1040.5999999999999</v>
      </c>
      <c r="H154">
        <v>0</v>
      </c>
      <c r="I154">
        <v>158.4</v>
      </c>
      <c r="J154">
        <v>56</v>
      </c>
      <c r="K154" s="10">
        <v>21.45</v>
      </c>
      <c r="L154" s="2">
        <f t="shared" si="4"/>
        <v>282.64292999999998</v>
      </c>
      <c r="M154" s="2">
        <f t="shared" si="5"/>
        <v>120.83587499999999</v>
      </c>
      <c r="N154">
        <v>0</v>
      </c>
    </row>
    <row r="155" spans="1:14" x14ac:dyDescent="0.25">
      <c r="A155" s="15"/>
      <c r="B155" s="15"/>
      <c r="C155">
        <v>50</v>
      </c>
      <c r="D155">
        <v>240.6</v>
      </c>
      <c r="E155">
        <v>240.6</v>
      </c>
      <c r="F155">
        <v>800.1</v>
      </c>
      <c r="G155">
        <v>1040.5999999999999</v>
      </c>
      <c r="H155">
        <v>0</v>
      </c>
      <c r="I155">
        <v>158.4</v>
      </c>
      <c r="J155">
        <v>90</v>
      </c>
      <c r="K155" s="10">
        <v>27.65</v>
      </c>
      <c r="L155" s="2">
        <f t="shared" si="4"/>
        <v>282.64292999999998</v>
      </c>
      <c r="M155" s="2">
        <f t="shared" si="5"/>
        <v>120.83587499999999</v>
      </c>
      <c r="N155">
        <v>0</v>
      </c>
    </row>
    <row r="156" spans="1:14" x14ac:dyDescent="0.25">
      <c r="A156" s="15" t="s">
        <v>126</v>
      </c>
      <c r="B156" s="15" t="s">
        <v>127</v>
      </c>
      <c r="C156">
        <v>0</v>
      </c>
      <c r="D156">
        <v>512.4</v>
      </c>
      <c r="E156">
        <v>0</v>
      </c>
      <c r="F156">
        <v>765.2</v>
      </c>
      <c r="G156">
        <v>1002.1</v>
      </c>
      <c r="H156">
        <v>0</v>
      </c>
      <c r="I156">
        <v>205.7</v>
      </c>
      <c r="J156">
        <v>14</v>
      </c>
      <c r="K156" s="10">
        <v>28.09</v>
      </c>
      <c r="L156" s="2">
        <f t="shared" si="4"/>
        <v>481.92466999999999</v>
      </c>
      <c r="M156" s="2">
        <f t="shared" si="5"/>
        <v>221.52900000000002</v>
      </c>
      <c r="N156">
        <v>0</v>
      </c>
    </row>
    <row r="157" spans="1:14" x14ac:dyDescent="0.25">
      <c r="A157" s="15"/>
      <c r="B157" s="15"/>
      <c r="C157">
        <v>0</v>
      </c>
      <c r="D157">
        <v>512.4</v>
      </c>
      <c r="E157">
        <v>0</v>
      </c>
      <c r="F157">
        <v>765.2</v>
      </c>
      <c r="G157">
        <v>1002.1</v>
      </c>
      <c r="H157">
        <v>0</v>
      </c>
      <c r="I157">
        <v>205.7</v>
      </c>
      <c r="J157">
        <v>56</v>
      </c>
      <c r="K157" s="10">
        <v>37.090000000000003</v>
      </c>
      <c r="L157" s="2">
        <f t="shared" si="4"/>
        <v>481.92466999999999</v>
      </c>
      <c r="M157" s="2">
        <f t="shared" si="5"/>
        <v>221.52900000000002</v>
      </c>
      <c r="N157">
        <v>0</v>
      </c>
    </row>
    <row r="158" spans="1:14" x14ac:dyDescent="0.25">
      <c r="A158" s="15"/>
      <c r="B158" s="15"/>
      <c r="C158">
        <v>0</v>
      </c>
      <c r="D158">
        <v>512.4</v>
      </c>
      <c r="E158">
        <v>0</v>
      </c>
      <c r="F158">
        <v>765.2</v>
      </c>
      <c r="G158">
        <v>1002.1</v>
      </c>
      <c r="H158">
        <v>0</v>
      </c>
      <c r="I158">
        <v>205.7</v>
      </c>
      <c r="J158">
        <v>90</v>
      </c>
      <c r="K158" s="10">
        <v>36.15</v>
      </c>
      <c r="L158" s="2">
        <f t="shared" si="4"/>
        <v>481.92466999999999</v>
      </c>
      <c r="M158" s="2">
        <f t="shared" si="5"/>
        <v>221.52900000000002</v>
      </c>
      <c r="N158">
        <v>0</v>
      </c>
    </row>
    <row r="159" spans="1:14" x14ac:dyDescent="0.25">
      <c r="A159" s="15"/>
      <c r="B159" s="15"/>
      <c r="C159">
        <v>5</v>
      </c>
      <c r="D159">
        <v>486.78</v>
      </c>
      <c r="E159">
        <v>25.62</v>
      </c>
      <c r="F159">
        <v>765.2</v>
      </c>
      <c r="G159">
        <v>1002.1</v>
      </c>
      <c r="H159">
        <v>0</v>
      </c>
      <c r="I159">
        <v>205.7</v>
      </c>
      <c r="J159">
        <v>14</v>
      </c>
      <c r="K159" s="10">
        <v>28.25</v>
      </c>
      <c r="L159" s="2">
        <f t="shared" si="4"/>
        <v>463.22206999999997</v>
      </c>
      <c r="M159" s="2">
        <f t="shared" si="5"/>
        <v>211.92149999999998</v>
      </c>
      <c r="N159">
        <v>0</v>
      </c>
    </row>
    <row r="160" spans="1:14" x14ac:dyDescent="0.25">
      <c r="A160" s="15"/>
      <c r="B160" s="15"/>
      <c r="C160">
        <v>5</v>
      </c>
      <c r="D160">
        <v>486.78</v>
      </c>
      <c r="E160">
        <v>25.62</v>
      </c>
      <c r="F160">
        <v>765.2</v>
      </c>
      <c r="G160">
        <v>1002.1</v>
      </c>
      <c r="H160">
        <v>0</v>
      </c>
      <c r="I160">
        <v>205.7</v>
      </c>
      <c r="J160">
        <v>56</v>
      </c>
      <c r="K160" s="10">
        <v>34.619999999999997</v>
      </c>
      <c r="L160" s="2">
        <f t="shared" si="4"/>
        <v>463.22206999999997</v>
      </c>
      <c r="M160" s="2">
        <f t="shared" si="5"/>
        <v>211.92149999999998</v>
      </c>
      <c r="N160">
        <v>0</v>
      </c>
    </row>
    <row r="161" spans="1:14" x14ac:dyDescent="0.25">
      <c r="A161" s="15"/>
      <c r="B161" s="15"/>
      <c r="C161">
        <v>5</v>
      </c>
      <c r="D161">
        <v>486.78</v>
      </c>
      <c r="E161">
        <v>25.62</v>
      </c>
      <c r="F161">
        <v>765.2</v>
      </c>
      <c r="G161">
        <v>1002.1</v>
      </c>
      <c r="H161">
        <v>0</v>
      </c>
      <c r="I161">
        <v>205.7</v>
      </c>
      <c r="J161">
        <v>90</v>
      </c>
      <c r="K161" s="10">
        <v>35.619999999999997</v>
      </c>
      <c r="L161" s="2">
        <f t="shared" si="4"/>
        <v>463.22206999999997</v>
      </c>
      <c r="M161" s="2">
        <f t="shared" si="5"/>
        <v>211.92149999999998</v>
      </c>
      <c r="N161">
        <v>0</v>
      </c>
    </row>
    <row r="162" spans="1:14" x14ac:dyDescent="0.25">
      <c r="A162" s="15"/>
      <c r="B162" s="15"/>
      <c r="C162">
        <v>10</v>
      </c>
      <c r="D162">
        <v>461.16</v>
      </c>
      <c r="E162">
        <v>51.24</v>
      </c>
      <c r="F162">
        <v>765.2</v>
      </c>
      <c r="G162">
        <v>1002.1</v>
      </c>
      <c r="H162">
        <v>0</v>
      </c>
      <c r="I162">
        <v>205.7</v>
      </c>
      <c r="J162">
        <v>14</v>
      </c>
      <c r="K162" s="10">
        <v>26.55</v>
      </c>
      <c r="L162" s="2">
        <f t="shared" si="4"/>
        <v>444.51947000000007</v>
      </c>
      <c r="M162" s="2">
        <f t="shared" si="5"/>
        <v>202.31400000000002</v>
      </c>
      <c r="N162">
        <v>0</v>
      </c>
    </row>
    <row r="163" spans="1:14" x14ac:dyDescent="0.25">
      <c r="A163" s="15"/>
      <c r="B163" s="15"/>
      <c r="C163">
        <v>10</v>
      </c>
      <c r="D163">
        <v>461.16</v>
      </c>
      <c r="E163">
        <v>51.24</v>
      </c>
      <c r="F163">
        <v>765.2</v>
      </c>
      <c r="G163">
        <v>1002.1</v>
      </c>
      <c r="H163">
        <v>0</v>
      </c>
      <c r="I163">
        <v>205.7</v>
      </c>
      <c r="J163">
        <v>56</v>
      </c>
      <c r="K163" s="10">
        <v>34.4</v>
      </c>
      <c r="L163" s="2">
        <f t="shared" si="4"/>
        <v>444.51947000000007</v>
      </c>
      <c r="M163" s="2">
        <f t="shared" si="5"/>
        <v>202.31400000000002</v>
      </c>
      <c r="N163">
        <v>0</v>
      </c>
    </row>
    <row r="164" spans="1:14" x14ac:dyDescent="0.25">
      <c r="A164" s="15"/>
      <c r="B164" s="15"/>
      <c r="C164">
        <v>10</v>
      </c>
      <c r="D164">
        <v>461.16</v>
      </c>
      <c r="E164">
        <v>51.24</v>
      </c>
      <c r="F164">
        <v>765.2</v>
      </c>
      <c r="G164">
        <v>1002.1</v>
      </c>
      <c r="H164">
        <v>0</v>
      </c>
      <c r="I164">
        <v>205.7</v>
      </c>
      <c r="J164">
        <v>90</v>
      </c>
      <c r="K164" s="10">
        <v>35.01</v>
      </c>
      <c r="L164" s="2">
        <f t="shared" si="4"/>
        <v>444.51947000000007</v>
      </c>
      <c r="M164" s="2">
        <f t="shared" si="5"/>
        <v>202.31400000000002</v>
      </c>
      <c r="N164">
        <v>0</v>
      </c>
    </row>
    <row r="165" spans="1:14" x14ac:dyDescent="0.25">
      <c r="A165" s="15"/>
      <c r="B165" s="15"/>
      <c r="C165">
        <v>15</v>
      </c>
      <c r="D165">
        <v>435.54</v>
      </c>
      <c r="E165">
        <v>76.86</v>
      </c>
      <c r="F165">
        <v>765.2</v>
      </c>
      <c r="G165">
        <v>1002.1</v>
      </c>
      <c r="H165">
        <v>0</v>
      </c>
      <c r="I165">
        <v>205.7</v>
      </c>
      <c r="J165">
        <v>14</v>
      </c>
      <c r="K165" s="10">
        <v>26.3</v>
      </c>
      <c r="L165" s="2">
        <f t="shared" si="4"/>
        <v>425.81686999999999</v>
      </c>
      <c r="M165" s="2">
        <f t="shared" si="5"/>
        <v>192.70650000000001</v>
      </c>
      <c r="N165">
        <v>0</v>
      </c>
    </row>
    <row r="166" spans="1:14" x14ac:dyDescent="0.25">
      <c r="A166" s="15"/>
      <c r="B166" s="15"/>
      <c r="C166">
        <v>15</v>
      </c>
      <c r="D166">
        <v>435.54</v>
      </c>
      <c r="E166">
        <v>76.86</v>
      </c>
      <c r="F166">
        <v>765.2</v>
      </c>
      <c r="G166">
        <v>1002.1</v>
      </c>
      <c r="H166">
        <v>0</v>
      </c>
      <c r="I166">
        <v>205.7</v>
      </c>
      <c r="J166">
        <v>56</v>
      </c>
      <c r="K166" s="10">
        <v>32.64</v>
      </c>
      <c r="L166" s="2">
        <f t="shared" si="4"/>
        <v>425.81686999999999</v>
      </c>
      <c r="M166" s="2">
        <f t="shared" si="5"/>
        <v>192.70650000000001</v>
      </c>
      <c r="N166">
        <v>0</v>
      </c>
    </row>
    <row r="167" spans="1:14" x14ac:dyDescent="0.25">
      <c r="A167" s="15"/>
      <c r="B167" s="15"/>
      <c r="C167">
        <v>15</v>
      </c>
      <c r="D167">
        <v>435.54</v>
      </c>
      <c r="E167">
        <v>76.86</v>
      </c>
      <c r="F167">
        <v>765.2</v>
      </c>
      <c r="G167">
        <v>1002.1</v>
      </c>
      <c r="H167">
        <v>0</v>
      </c>
      <c r="I167">
        <v>205.7</v>
      </c>
      <c r="J167">
        <v>90</v>
      </c>
      <c r="K167" s="10">
        <v>35.44</v>
      </c>
      <c r="L167" s="2">
        <f t="shared" si="4"/>
        <v>425.81686999999999</v>
      </c>
      <c r="M167" s="2">
        <f t="shared" si="5"/>
        <v>192.70650000000001</v>
      </c>
      <c r="N167">
        <v>0</v>
      </c>
    </row>
    <row r="168" spans="1:14" x14ac:dyDescent="0.25">
      <c r="A168" s="15"/>
      <c r="B168" s="15"/>
      <c r="C168">
        <v>20</v>
      </c>
      <c r="D168">
        <v>409.92</v>
      </c>
      <c r="E168">
        <v>102.48</v>
      </c>
      <c r="F168">
        <v>765.2</v>
      </c>
      <c r="G168">
        <v>1002.1</v>
      </c>
      <c r="H168">
        <v>0</v>
      </c>
      <c r="I168">
        <v>205.7</v>
      </c>
      <c r="J168">
        <v>14</v>
      </c>
      <c r="K168" s="10">
        <v>26.27</v>
      </c>
      <c r="L168" s="2">
        <f t="shared" si="4"/>
        <v>407.11427000000003</v>
      </c>
      <c r="M168" s="2">
        <f t="shared" si="5"/>
        <v>183.09899999999996</v>
      </c>
      <c r="N168">
        <v>0</v>
      </c>
    </row>
    <row r="169" spans="1:14" x14ac:dyDescent="0.25">
      <c r="A169" s="15"/>
      <c r="B169" s="15"/>
      <c r="C169">
        <v>20</v>
      </c>
      <c r="D169">
        <v>409.92</v>
      </c>
      <c r="E169">
        <v>102.48</v>
      </c>
      <c r="F169">
        <v>765.2</v>
      </c>
      <c r="G169">
        <v>1002.1</v>
      </c>
      <c r="H169">
        <v>0</v>
      </c>
      <c r="I169">
        <v>205.7</v>
      </c>
      <c r="J169">
        <v>56</v>
      </c>
      <c r="K169" s="10">
        <v>31.74</v>
      </c>
      <c r="L169" s="2">
        <f t="shared" si="4"/>
        <v>407.11427000000003</v>
      </c>
      <c r="M169" s="2">
        <f t="shared" si="5"/>
        <v>183.09899999999996</v>
      </c>
      <c r="N169">
        <v>0</v>
      </c>
    </row>
    <row r="170" spans="1:14" x14ac:dyDescent="0.25">
      <c r="A170" s="15"/>
      <c r="B170" s="15"/>
      <c r="C170">
        <v>20</v>
      </c>
      <c r="D170">
        <v>409.92</v>
      </c>
      <c r="E170">
        <v>102.48</v>
      </c>
      <c r="F170">
        <v>765.2</v>
      </c>
      <c r="G170">
        <v>1002.1</v>
      </c>
      <c r="H170">
        <v>0</v>
      </c>
      <c r="I170">
        <v>205.7</v>
      </c>
      <c r="J170">
        <v>90</v>
      </c>
      <c r="K170" s="10">
        <v>37.93</v>
      </c>
      <c r="L170" s="2">
        <f t="shared" si="4"/>
        <v>407.11427000000003</v>
      </c>
      <c r="M170" s="2">
        <f t="shared" si="5"/>
        <v>183.09899999999996</v>
      </c>
      <c r="N170">
        <v>0</v>
      </c>
    </row>
    <row r="171" spans="1:14" x14ac:dyDescent="0.25">
      <c r="A171" s="15"/>
      <c r="B171" s="15"/>
      <c r="C171">
        <v>25</v>
      </c>
      <c r="D171">
        <v>384.3</v>
      </c>
      <c r="E171">
        <v>128.1</v>
      </c>
      <c r="F171">
        <v>765.2</v>
      </c>
      <c r="G171">
        <v>1002.1</v>
      </c>
      <c r="H171">
        <v>0</v>
      </c>
      <c r="I171">
        <v>205.7</v>
      </c>
      <c r="J171">
        <v>14</v>
      </c>
      <c r="K171" s="10">
        <v>22.77</v>
      </c>
      <c r="L171" s="2">
        <f t="shared" si="4"/>
        <v>388.41167000000002</v>
      </c>
      <c r="M171" s="2">
        <f t="shared" si="5"/>
        <v>173.4915</v>
      </c>
      <c r="N171">
        <v>0</v>
      </c>
    </row>
    <row r="172" spans="1:14" x14ac:dyDescent="0.25">
      <c r="A172" s="15"/>
      <c r="B172" s="15"/>
      <c r="C172">
        <v>25</v>
      </c>
      <c r="D172">
        <v>384.3</v>
      </c>
      <c r="E172">
        <v>128.1</v>
      </c>
      <c r="F172">
        <v>765.2</v>
      </c>
      <c r="G172">
        <v>1002.1</v>
      </c>
      <c r="H172">
        <v>0</v>
      </c>
      <c r="I172">
        <v>205.7</v>
      </c>
      <c r="J172">
        <v>56</v>
      </c>
      <c r="K172" s="10">
        <v>33.700000000000003</v>
      </c>
      <c r="L172" s="2">
        <f t="shared" si="4"/>
        <v>388.41167000000002</v>
      </c>
      <c r="M172" s="2">
        <f t="shared" si="5"/>
        <v>173.4915</v>
      </c>
      <c r="N172">
        <v>0</v>
      </c>
    </row>
    <row r="173" spans="1:14" x14ac:dyDescent="0.25">
      <c r="A173" s="15"/>
      <c r="B173" s="15"/>
      <c r="C173">
        <v>25</v>
      </c>
      <c r="D173">
        <v>384.3</v>
      </c>
      <c r="E173">
        <v>128.1</v>
      </c>
      <c r="F173">
        <v>765.2</v>
      </c>
      <c r="G173">
        <v>1002.1</v>
      </c>
      <c r="H173">
        <v>0</v>
      </c>
      <c r="I173">
        <v>205.7</v>
      </c>
      <c r="J173">
        <v>90</v>
      </c>
      <c r="K173" s="10">
        <v>30.48</v>
      </c>
      <c r="L173" s="2">
        <f t="shared" si="4"/>
        <v>388.41167000000002</v>
      </c>
      <c r="M173" s="2">
        <f t="shared" si="5"/>
        <v>173.4915</v>
      </c>
      <c r="N173">
        <v>0</v>
      </c>
    </row>
    <row r="174" spans="1:14" x14ac:dyDescent="0.25">
      <c r="A174" s="15"/>
      <c r="B174" s="15"/>
      <c r="C174">
        <v>30</v>
      </c>
      <c r="D174">
        <v>358.68</v>
      </c>
      <c r="E174">
        <v>153.72</v>
      </c>
      <c r="F174">
        <v>765.2</v>
      </c>
      <c r="G174">
        <v>1002.1</v>
      </c>
      <c r="H174">
        <v>0</v>
      </c>
      <c r="I174">
        <v>205.7</v>
      </c>
      <c r="J174">
        <v>14</v>
      </c>
      <c r="K174" s="10">
        <v>24.02</v>
      </c>
      <c r="L174" s="2">
        <f t="shared" si="4"/>
        <v>369.70907</v>
      </c>
      <c r="M174" s="2">
        <f t="shared" si="5"/>
        <v>163.88399999999999</v>
      </c>
      <c r="N174">
        <v>0</v>
      </c>
    </row>
    <row r="175" spans="1:14" x14ac:dyDescent="0.25">
      <c r="A175" s="15"/>
      <c r="B175" s="15"/>
      <c r="C175">
        <v>30</v>
      </c>
      <c r="D175">
        <v>358.68</v>
      </c>
      <c r="E175">
        <v>153.72</v>
      </c>
      <c r="F175">
        <v>765.2</v>
      </c>
      <c r="G175">
        <v>1002.1</v>
      </c>
      <c r="H175">
        <v>0</v>
      </c>
      <c r="I175">
        <v>205.7</v>
      </c>
      <c r="J175">
        <v>56</v>
      </c>
      <c r="K175" s="10">
        <v>29.55</v>
      </c>
      <c r="L175" s="2">
        <f t="shared" si="4"/>
        <v>369.70907</v>
      </c>
      <c r="M175" s="2">
        <f t="shared" si="5"/>
        <v>163.88399999999999</v>
      </c>
      <c r="N175">
        <v>0</v>
      </c>
    </row>
    <row r="176" spans="1:14" x14ac:dyDescent="0.25">
      <c r="A176" s="15"/>
      <c r="B176" s="15"/>
      <c r="C176">
        <v>30</v>
      </c>
      <c r="D176">
        <v>358.68</v>
      </c>
      <c r="E176">
        <v>153.72</v>
      </c>
      <c r="F176">
        <v>765.2</v>
      </c>
      <c r="G176">
        <v>1002.1</v>
      </c>
      <c r="H176">
        <v>0</v>
      </c>
      <c r="I176">
        <v>205.7</v>
      </c>
      <c r="J176">
        <v>90</v>
      </c>
      <c r="K176" s="10">
        <v>31.98</v>
      </c>
      <c r="L176" s="2">
        <f t="shared" si="4"/>
        <v>369.70907</v>
      </c>
      <c r="M176" s="2">
        <f t="shared" si="5"/>
        <v>163.88399999999999</v>
      </c>
      <c r="N176">
        <v>0</v>
      </c>
    </row>
    <row r="177" spans="1:14" x14ac:dyDescent="0.25">
      <c r="A177" s="15"/>
      <c r="B177" s="15"/>
      <c r="C177">
        <v>35</v>
      </c>
      <c r="D177">
        <v>333.06</v>
      </c>
      <c r="E177">
        <v>179.34</v>
      </c>
      <c r="F177">
        <v>765.2</v>
      </c>
      <c r="G177">
        <v>1002.1</v>
      </c>
      <c r="H177">
        <v>0</v>
      </c>
      <c r="I177">
        <v>205.7</v>
      </c>
      <c r="J177">
        <v>14</v>
      </c>
      <c r="K177" s="10">
        <v>23.79</v>
      </c>
      <c r="L177" s="2">
        <f t="shared" si="4"/>
        <v>351.00647000000004</v>
      </c>
      <c r="M177" s="2">
        <f t="shared" si="5"/>
        <v>154.2765</v>
      </c>
      <c r="N177">
        <v>0</v>
      </c>
    </row>
    <row r="178" spans="1:14" x14ac:dyDescent="0.25">
      <c r="A178" s="15"/>
      <c r="B178" s="15"/>
      <c r="C178">
        <v>35</v>
      </c>
      <c r="D178">
        <v>333.06</v>
      </c>
      <c r="E178">
        <v>179.34</v>
      </c>
      <c r="F178">
        <v>765.2</v>
      </c>
      <c r="G178">
        <v>1002.1</v>
      </c>
      <c r="H178">
        <v>0</v>
      </c>
      <c r="I178">
        <v>205.7</v>
      </c>
      <c r="J178">
        <v>56</v>
      </c>
      <c r="K178" s="10">
        <v>27.81</v>
      </c>
      <c r="L178" s="2">
        <f t="shared" si="4"/>
        <v>351.00647000000004</v>
      </c>
      <c r="M178" s="2">
        <f t="shared" si="5"/>
        <v>154.2765</v>
      </c>
      <c r="N178">
        <v>0</v>
      </c>
    </row>
    <row r="179" spans="1:14" x14ac:dyDescent="0.25">
      <c r="A179" s="15"/>
      <c r="B179" s="15"/>
      <c r="C179">
        <v>35</v>
      </c>
      <c r="D179">
        <v>333.06</v>
      </c>
      <c r="E179">
        <v>179.34</v>
      </c>
      <c r="F179">
        <v>765.2</v>
      </c>
      <c r="G179">
        <v>1002.1</v>
      </c>
      <c r="H179">
        <v>0</v>
      </c>
      <c r="I179">
        <v>205.7</v>
      </c>
      <c r="J179">
        <v>90</v>
      </c>
      <c r="K179" s="10">
        <v>28.93</v>
      </c>
      <c r="L179" s="2">
        <f t="shared" si="4"/>
        <v>351.00647000000004</v>
      </c>
      <c r="M179" s="2">
        <f t="shared" si="5"/>
        <v>154.2765</v>
      </c>
      <c r="N179">
        <v>0</v>
      </c>
    </row>
    <row r="180" spans="1:14" x14ac:dyDescent="0.25">
      <c r="A180" s="15"/>
      <c r="B180" s="15"/>
      <c r="C180">
        <v>40</v>
      </c>
      <c r="D180">
        <v>307.44</v>
      </c>
      <c r="E180">
        <v>204.96</v>
      </c>
      <c r="F180">
        <v>765.2</v>
      </c>
      <c r="G180">
        <v>1002.1</v>
      </c>
      <c r="H180">
        <v>0</v>
      </c>
      <c r="I180">
        <v>205.7</v>
      </c>
      <c r="J180">
        <v>14</v>
      </c>
      <c r="K180" s="10">
        <v>24.69</v>
      </c>
      <c r="L180" s="2">
        <f t="shared" si="4"/>
        <v>332.30387000000002</v>
      </c>
      <c r="M180" s="2">
        <f t="shared" si="5"/>
        <v>144.66900000000001</v>
      </c>
      <c r="N180">
        <v>0</v>
      </c>
    </row>
    <row r="181" spans="1:14" x14ac:dyDescent="0.25">
      <c r="A181" s="15"/>
      <c r="B181" s="15"/>
      <c r="C181">
        <v>40</v>
      </c>
      <c r="D181">
        <v>307.44</v>
      </c>
      <c r="E181">
        <v>204.96</v>
      </c>
      <c r="F181">
        <v>765.2</v>
      </c>
      <c r="G181">
        <v>1002.1</v>
      </c>
      <c r="H181">
        <v>0</v>
      </c>
      <c r="I181">
        <v>205.7</v>
      </c>
      <c r="J181">
        <v>56</v>
      </c>
      <c r="K181" s="10">
        <v>23.33</v>
      </c>
      <c r="L181" s="2">
        <f t="shared" si="4"/>
        <v>332.30387000000002</v>
      </c>
      <c r="M181" s="2">
        <f t="shared" si="5"/>
        <v>144.66900000000001</v>
      </c>
      <c r="N181">
        <v>0</v>
      </c>
    </row>
    <row r="182" spans="1:14" x14ac:dyDescent="0.25">
      <c r="A182" s="15"/>
      <c r="B182" s="15"/>
      <c r="C182">
        <v>40</v>
      </c>
      <c r="D182">
        <v>307.44</v>
      </c>
      <c r="E182">
        <v>204.96</v>
      </c>
      <c r="F182">
        <v>765.2</v>
      </c>
      <c r="G182">
        <v>1002.1</v>
      </c>
      <c r="H182">
        <v>0</v>
      </c>
      <c r="I182">
        <v>205.7</v>
      </c>
      <c r="J182">
        <v>90</v>
      </c>
      <c r="K182" s="10">
        <v>26.35</v>
      </c>
      <c r="L182" s="2">
        <f t="shared" si="4"/>
        <v>332.30387000000002</v>
      </c>
      <c r="M182" s="2">
        <f t="shared" si="5"/>
        <v>144.66900000000001</v>
      </c>
      <c r="N182">
        <v>0</v>
      </c>
    </row>
    <row r="183" spans="1:14" x14ac:dyDescent="0.25">
      <c r="A183" s="15"/>
      <c r="B183" s="15"/>
      <c r="C183">
        <v>45</v>
      </c>
      <c r="D183">
        <v>281.82</v>
      </c>
      <c r="E183">
        <v>230.58</v>
      </c>
      <c r="F183">
        <v>765.2</v>
      </c>
      <c r="G183">
        <v>1002.1</v>
      </c>
      <c r="H183">
        <v>0</v>
      </c>
      <c r="I183">
        <v>205.7</v>
      </c>
      <c r="J183">
        <v>14</v>
      </c>
      <c r="K183" s="10">
        <v>22.22</v>
      </c>
      <c r="L183" s="2">
        <f t="shared" si="4"/>
        <v>313.60127</v>
      </c>
      <c r="M183" s="2">
        <f t="shared" si="5"/>
        <v>135.0615</v>
      </c>
      <c r="N183">
        <v>0</v>
      </c>
    </row>
    <row r="184" spans="1:14" x14ac:dyDescent="0.25">
      <c r="A184" s="15"/>
      <c r="B184" s="15"/>
      <c r="C184">
        <v>45</v>
      </c>
      <c r="D184">
        <v>281.82</v>
      </c>
      <c r="E184">
        <v>230.58</v>
      </c>
      <c r="F184">
        <v>765.2</v>
      </c>
      <c r="G184">
        <v>1002.1</v>
      </c>
      <c r="H184">
        <v>0</v>
      </c>
      <c r="I184">
        <v>205.7</v>
      </c>
      <c r="J184">
        <v>56</v>
      </c>
      <c r="K184" s="10">
        <v>25.08</v>
      </c>
      <c r="L184" s="2">
        <f t="shared" si="4"/>
        <v>313.60127</v>
      </c>
      <c r="M184" s="2">
        <f t="shared" si="5"/>
        <v>135.0615</v>
      </c>
      <c r="N184">
        <v>0</v>
      </c>
    </row>
    <row r="185" spans="1:14" x14ac:dyDescent="0.25">
      <c r="A185" s="15"/>
      <c r="B185" s="15"/>
      <c r="C185">
        <v>45</v>
      </c>
      <c r="D185">
        <v>281.82</v>
      </c>
      <c r="E185">
        <v>230.58</v>
      </c>
      <c r="F185">
        <v>765.2</v>
      </c>
      <c r="G185">
        <v>1002.1</v>
      </c>
      <c r="H185">
        <v>0</v>
      </c>
      <c r="I185">
        <v>205.7</v>
      </c>
      <c r="J185">
        <v>90</v>
      </c>
      <c r="K185" s="10">
        <v>24.7</v>
      </c>
      <c r="L185" s="2">
        <f t="shared" si="4"/>
        <v>313.60127</v>
      </c>
      <c r="M185" s="2">
        <f t="shared" si="5"/>
        <v>135.0615</v>
      </c>
      <c r="N185">
        <v>0</v>
      </c>
    </row>
    <row r="186" spans="1:14" x14ac:dyDescent="0.25">
      <c r="A186" s="15"/>
      <c r="B186" s="15"/>
      <c r="C186">
        <v>50</v>
      </c>
      <c r="D186">
        <v>256.2</v>
      </c>
      <c r="E186">
        <v>256.2</v>
      </c>
      <c r="F186">
        <v>765.2</v>
      </c>
      <c r="G186">
        <v>1002.1</v>
      </c>
      <c r="H186">
        <v>0</v>
      </c>
      <c r="I186">
        <v>205.7</v>
      </c>
      <c r="J186">
        <v>14</v>
      </c>
      <c r="K186" s="10">
        <v>15.06</v>
      </c>
      <c r="L186" s="2">
        <f t="shared" si="4"/>
        <v>294.89866999999998</v>
      </c>
      <c r="M186" s="2">
        <f t="shared" si="5"/>
        <v>125.45399999999999</v>
      </c>
      <c r="N186">
        <v>0</v>
      </c>
    </row>
    <row r="187" spans="1:14" x14ac:dyDescent="0.25">
      <c r="A187" s="15"/>
      <c r="B187" s="15"/>
      <c r="C187">
        <v>50</v>
      </c>
      <c r="D187">
        <v>256.2</v>
      </c>
      <c r="E187">
        <v>256.2</v>
      </c>
      <c r="F187">
        <v>765.2</v>
      </c>
      <c r="G187">
        <v>1002.1</v>
      </c>
      <c r="H187">
        <v>0</v>
      </c>
      <c r="I187">
        <v>205.7</v>
      </c>
      <c r="J187">
        <v>56</v>
      </c>
      <c r="K187" s="10">
        <v>25.31</v>
      </c>
      <c r="L187" s="2">
        <f t="shared" si="4"/>
        <v>294.89866999999998</v>
      </c>
      <c r="M187" s="2">
        <f t="shared" si="5"/>
        <v>125.45399999999999</v>
      </c>
      <c r="N187">
        <v>0</v>
      </c>
    </row>
    <row r="188" spans="1:14" x14ac:dyDescent="0.25">
      <c r="A188" s="15"/>
      <c r="B188" s="15"/>
      <c r="C188">
        <v>50</v>
      </c>
      <c r="D188">
        <v>256.2</v>
      </c>
      <c r="E188">
        <v>256.2</v>
      </c>
      <c r="F188">
        <v>765.2</v>
      </c>
      <c r="G188">
        <v>1002.1</v>
      </c>
      <c r="H188">
        <v>0</v>
      </c>
      <c r="I188">
        <v>205.7</v>
      </c>
      <c r="J188">
        <v>90</v>
      </c>
      <c r="K188" s="10">
        <v>25.14</v>
      </c>
      <c r="L188" s="2">
        <f t="shared" si="4"/>
        <v>294.89866999999998</v>
      </c>
      <c r="M188" s="2">
        <f t="shared" si="5"/>
        <v>125.45399999999999</v>
      </c>
      <c r="N188">
        <v>0</v>
      </c>
    </row>
    <row r="189" spans="1:14" x14ac:dyDescent="0.25">
      <c r="A189" s="15" t="s">
        <v>128</v>
      </c>
      <c r="B189" s="15" t="s">
        <v>129</v>
      </c>
      <c r="C189">
        <v>0</v>
      </c>
      <c r="D189">
        <v>429</v>
      </c>
      <c r="E189">
        <v>0</v>
      </c>
      <c r="F189">
        <v>800.4</v>
      </c>
      <c r="G189">
        <v>1039.7</v>
      </c>
      <c r="H189">
        <v>0</v>
      </c>
      <c r="I189">
        <v>187</v>
      </c>
      <c r="J189">
        <v>14</v>
      </c>
      <c r="K189" s="10">
        <v>28.29</v>
      </c>
      <c r="L189" s="2">
        <f t="shared" ref="L189:L213" si="6">SUM((D189*0.83)+(E189*0.1)+(F189*0.0139)+(G189*0.0459)+(H189*2))</f>
        <v>414.91779000000002</v>
      </c>
      <c r="M189" s="2">
        <f t="shared" si="5"/>
        <v>191.47799999999998</v>
      </c>
      <c r="N189">
        <v>0</v>
      </c>
    </row>
    <row r="190" spans="1:14" x14ac:dyDescent="0.25">
      <c r="A190" s="15"/>
      <c r="B190" s="15"/>
      <c r="C190">
        <v>0</v>
      </c>
      <c r="D190">
        <v>429</v>
      </c>
      <c r="E190">
        <v>0</v>
      </c>
      <c r="F190">
        <v>800.4</v>
      </c>
      <c r="G190">
        <v>1039.7</v>
      </c>
      <c r="H190">
        <v>0</v>
      </c>
      <c r="I190">
        <v>187</v>
      </c>
      <c r="J190">
        <v>28</v>
      </c>
      <c r="K190" s="10">
        <v>33.619999999999997</v>
      </c>
      <c r="L190" s="2">
        <f t="shared" si="6"/>
        <v>414.91779000000002</v>
      </c>
      <c r="M190" s="2">
        <f t="shared" si="5"/>
        <v>191.47799999999998</v>
      </c>
      <c r="N190">
        <v>0</v>
      </c>
    </row>
    <row r="191" spans="1:14" x14ac:dyDescent="0.25">
      <c r="A191" s="15"/>
      <c r="B191" s="15"/>
      <c r="C191">
        <v>0</v>
      </c>
      <c r="D191">
        <v>429</v>
      </c>
      <c r="E191">
        <v>0</v>
      </c>
      <c r="F191">
        <v>800.4</v>
      </c>
      <c r="G191">
        <v>1039.7</v>
      </c>
      <c r="H191">
        <v>0</v>
      </c>
      <c r="I191">
        <v>187</v>
      </c>
      <c r="J191">
        <v>56</v>
      </c>
      <c r="K191" s="10">
        <v>36.49</v>
      </c>
      <c r="L191" s="2">
        <f t="shared" si="6"/>
        <v>414.91779000000002</v>
      </c>
      <c r="M191" s="2">
        <f t="shared" si="5"/>
        <v>191.47799999999998</v>
      </c>
      <c r="N191">
        <v>0</v>
      </c>
    </row>
    <row r="192" spans="1:14" x14ac:dyDescent="0.25">
      <c r="A192" s="15"/>
      <c r="B192" s="15"/>
      <c r="C192">
        <v>0</v>
      </c>
      <c r="D192">
        <v>429</v>
      </c>
      <c r="E192">
        <v>0</v>
      </c>
      <c r="F192">
        <v>800.4</v>
      </c>
      <c r="G192">
        <v>1039.7</v>
      </c>
      <c r="H192">
        <v>0</v>
      </c>
      <c r="I192">
        <v>187</v>
      </c>
      <c r="J192">
        <v>90</v>
      </c>
      <c r="K192" s="10">
        <v>33.15</v>
      </c>
      <c r="L192" s="2">
        <f t="shared" si="6"/>
        <v>414.91779000000002</v>
      </c>
      <c r="M192" s="2">
        <f t="shared" si="5"/>
        <v>191.47799999999998</v>
      </c>
      <c r="N192">
        <v>0</v>
      </c>
    </row>
    <row r="193" spans="1:14" x14ac:dyDescent="0.25">
      <c r="A193" s="15"/>
      <c r="B193" s="15"/>
      <c r="C193">
        <v>5</v>
      </c>
      <c r="D193">
        <v>407.55</v>
      </c>
      <c r="E193">
        <v>21.45</v>
      </c>
      <c r="F193">
        <v>800.4</v>
      </c>
      <c r="G193">
        <v>1039.7</v>
      </c>
      <c r="H193">
        <v>0</v>
      </c>
      <c r="I193">
        <v>187</v>
      </c>
      <c r="J193">
        <v>14</v>
      </c>
      <c r="K193" s="10">
        <v>32.58</v>
      </c>
      <c r="L193" s="2">
        <f t="shared" si="6"/>
        <v>399.25929000000002</v>
      </c>
      <c r="M193" s="2">
        <f t="shared" si="5"/>
        <v>183.43424999999999</v>
      </c>
      <c r="N193">
        <v>0</v>
      </c>
    </row>
    <row r="194" spans="1:14" x14ac:dyDescent="0.25">
      <c r="A194" s="15"/>
      <c r="B194" s="15"/>
      <c r="C194">
        <v>5</v>
      </c>
      <c r="D194">
        <v>407.55</v>
      </c>
      <c r="E194">
        <v>21.45</v>
      </c>
      <c r="F194">
        <v>800.4</v>
      </c>
      <c r="G194">
        <v>1039.7</v>
      </c>
      <c r="H194">
        <v>0</v>
      </c>
      <c r="I194">
        <v>187</v>
      </c>
      <c r="J194">
        <v>28</v>
      </c>
      <c r="K194" s="10">
        <v>32.24</v>
      </c>
      <c r="L194" s="2">
        <f t="shared" si="6"/>
        <v>399.25929000000002</v>
      </c>
      <c r="M194" s="2">
        <f t="shared" si="5"/>
        <v>183.43424999999999</v>
      </c>
      <c r="N194">
        <v>0</v>
      </c>
    </row>
    <row r="195" spans="1:14" x14ac:dyDescent="0.25">
      <c r="A195" s="15"/>
      <c r="B195" s="15"/>
      <c r="C195">
        <v>5</v>
      </c>
      <c r="D195">
        <v>407.55</v>
      </c>
      <c r="E195">
        <v>21.45</v>
      </c>
      <c r="F195">
        <v>800.4</v>
      </c>
      <c r="G195">
        <v>1039.7</v>
      </c>
      <c r="H195">
        <v>0</v>
      </c>
      <c r="I195">
        <v>187</v>
      </c>
      <c r="J195">
        <v>56</v>
      </c>
      <c r="K195" s="10">
        <v>33.07</v>
      </c>
      <c r="L195" s="2">
        <f t="shared" si="6"/>
        <v>399.25929000000002</v>
      </c>
      <c r="M195" s="2">
        <f t="shared" ref="M195:M258" si="7">SUM((D195*5)+((F195*0.25)+(G195*0.2)+(H195*20)))*0.075</f>
        <v>183.43424999999999</v>
      </c>
      <c r="N195">
        <v>0</v>
      </c>
    </row>
    <row r="196" spans="1:14" x14ac:dyDescent="0.25">
      <c r="A196" s="15"/>
      <c r="B196" s="15"/>
      <c r="C196">
        <v>5</v>
      </c>
      <c r="D196">
        <v>407.55</v>
      </c>
      <c r="E196">
        <v>21.45</v>
      </c>
      <c r="F196">
        <v>800.4</v>
      </c>
      <c r="G196">
        <v>1039.7</v>
      </c>
      <c r="H196">
        <v>0</v>
      </c>
      <c r="I196">
        <v>187</v>
      </c>
      <c r="J196">
        <v>90</v>
      </c>
      <c r="K196" s="10">
        <v>32.76</v>
      </c>
      <c r="L196" s="2">
        <f t="shared" si="6"/>
        <v>399.25929000000002</v>
      </c>
      <c r="M196" s="2">
        <f t="shared" si="7"/>
        <v>183.43424999999999</v>
      </c>
      <c r="N196">
        <v>0</v>
      </c>
    </row>
    <row r="197" spans="1:14" x14ac:dyDescent="0.25">
      <c r="A197" s="15"/>
      <c r="B197" s="15"/>
      <c r="C197">
        <v>10</v>
      </c>
      <c r="D197">
        <v>386.1</v>
      </c>
      <c r="E197">
        <v>42.9</v>
      </c>
      <c r="F197">
        <v>800.4</v>
      </c>
      <c r="G197">
        <v>1039.7</v>
      </c>
      <c r="H197">
        <v>0</v>
      </c>
      <c r="I197">
        <v>187</v>
      </c>
      <c r="J197">
        <v>14</v>
      </c>
      <c r="K197" s="10">
        <v>28.57</v>
      </c>
      <c r="L197" s="2">
        <f t="shared" si="6"/>
        <v>383.60079000000007</v>
      </c>
      <c r="M197" s="2">
        <f t="shared" si="7"/>
        <v>175.3905</v>
      </c>
      <c r="N197">
        <v>0</v>
      </c>
    </row>
    <row r="198" spans="1:14" x14ac:dyDescent="0.25">
      <c r="A198" s="15"/>
      <c r="B198" s="15"/>
      <c r="C198">
        <v>10</v>
      </c>
      <c r="D198">
        <v>386.1</v>
      </c>
      <c r="E198">
        <v>42.9</v>
      </c>
      <c r="F198">
        <v>800.4</v>
      </c>
      <c r="G198">
        <v>1039.7</v>
      </c>
      <c r="H198">
        <v>0</v>
      </c>
      <c r="I198">
        <v>187</v>
      </c>
      <c r="J198">
        <v>28</v>
      </c>
      <c r="K198" s="10">
        <v>32.21</v>
      </c>
      <c r="L198" s="2">
        <f t="shared" si="6"/>
        <v>383.60079000000007</v>
      </c>
      <c r="M198" s="2">
        <f t="shared" si="7"/>
        <v>175.3905</v>
      </c>
      <c r="N198">
        <v>0</v>
      </c>
    </row>
    <row r="199" spans="1:14" x14ac:dyDescent="0.25">
      <c r="A199" s="15"/>
      <c r="B199" s="15"/>
      <c r="C199">
        <v>10</v>
      </c>
      <c r="D199">
        <v>386.1</v>
      </c>
      <c r="E199">
        <v>42.9</v>
      </c>
      <c r="F199">
        <v>800.4</v>
      </c>
      <c r="G199">
        <v>1039.7</v>
      </c>
      <c r="H199">
        <v>0</v>
      </c>
      <c r="I199">
        <v>187</v>
      </c>
      <c r="J199">
        <v>56</v>
      </c>
      <c r="K199" s="10">
        <v>31.52</v>
      </c>
      <c r="L199" s="2">
        <f t="shared" si="6"/>
        <v>383.60079000000007</v>
      </c>
      <c r="M199" s="2">
        <f t="shared" si="7"/>
        <v>175.3905</v>
      </c>
      <c r="N199">
        <v>0</v>
      </c>
    </row>
    <row r="200" spans="1:14" x14ac:dyDescent="0.25">
      <c r="A200" s="15"/>
      <c r="B200" s="15"/>
      <c r="C200">
        <v>10</v>
      </c>
      <c r="D200">
        <v>386.1</v>
      </c>
      <c r="E200">
        <v>42.9</v>
      </c>
      <c r="F200">
        <v>800.4</v>
      </c>
      <c r="G200">
        <v>1039.7</v>
      </c>
      <c r="H200">
        <v>0</v>
      </c>
      <c r="I200">
        <v>187</v>
      </c>
      <c r="J200">
        <v>90</v>
      </c>
      <c r="K200" s="10">
        <v>33.99</v>
      </c>
      <c r="L200" s="2">
        <f t="shared" si="6"/>
        <v>383.60079000000007</v>
      </c>
      <c r="M200" s="2">
        <f t="shared" si="7"/>
        <v>175.3905</v>
      </c>
      <c r="N200">
        <v>0</v>
      </c>
    </row>
    <row r="201" spans="1:14" x14ac:dyDescent="0.25">
      <c r="A201" s="15"/>
      <c r="B201" s="15"/>
      <c r="C201">
        <v>15</v>
      </c>
      <c r="D201">
        <v>364.65</v>
      </c>
      <c r="E201">
        <v>64.349999999999994</v>
      </c>
      <c r="F201">
        <v>800.4</v>
      </c>
      <c r="G201">
        <v>1039.7</v>
      </c>
      <c r="H201">
        <v>0</v>
      </c>
      <c r="I201">
        <v>187</v>
      </c>
      <c r="J201">
        <v>14</v>
      </c>
      <c r="K201" s="10">
        <v>26.56</v>
      </c>
      <c r="L201" s="2">
        <f t="shared" si="6"/>
        <v>367.94229000000001</v>
      </c>
      <c r="M201" s="2">
        <f t="shared" si="7"/>
        <v>167.34674999999999</v>
      </c>
      <c r="N201">
        <v>0</v>
      </c>
    </row>
    <row r="202" spans="1:14" x14ac:dyDescent="0.25">
      <c r="A202" s="15"/>
      <c r="B202" s="15"/>
      <c r="C202">
        <v>15</v>
      </c>
      <c r="D202">
        <v>364.65</v>
      </c>
      <c r="E202">
        <v>64.349999999999994</v>
      </c>
      <c r="F202">
        <v>800.4</v>
      </c>
      <c r="G202">
        <v>1039.7</v>
      </c>
      <c r="H202">
        <v>0</v>
      </c>
      <c r="I202">
        <v>187</v>
      </c>
      <c r="J202">
        <v>28</v>
      </c>
      <c r="K202" s="10">
        <v>32.369999999999997</v>
      </c>
      <c r="L202" s="2">
        <f t="shared" si="6"/>
        <v>367.94229000000001</v>
      </c>
      <c r="M202" s="2">
        <f t="shared" si="7"/>
        <v>167.34674999999999</v>
      </c>
      <c r="N202">
        <v>0</v>
      </c>
    </row>
    <row r="203" spans="1:14" x14ac:dyDescent="0.25">
      <c r="A203" s="15"/>
      <c r="B203" s="15"/>
      <c r="C203">
        <v>15</v>
      </c>
      <c r="D203">
        <v>364.65</v>
      </c>
      <c r="E203">
        <v>64.349999999999994</v>
      </c>
      <c r="F203">
        <v>800.4</v>
      </c>
      <c r="G203">
        <v>1039.7</v>
      </c>
      <c r="H203">
        <v>0</v>
      </c>
      <c r="I203">
        <v>187</v>
      </c>
      <c r="J203">
        <v>56</v>
      </c>
      <c r="K203" s="10">
        <v>29.29</v>
      </c>
      <c r="L203" s="2">
        <f t="shared" si="6"/>
        <v>367.94229000000001</v>
      </c>
      <c r="M203" s="2">
        <f t="shared" si="7"/>
        <v>167.34674999999999</v>
      </c>
      <c r="N203">
        <v>0</v>
      </c>
    </row>
    <row r="204" spans="1:14" x14ac:dyDescent="0.25">
      <c r="A204" s="15"/>
      <c r="B204" s="15"/>
      <c r="C204">
        <v>15</v>
      </c>
      <c r="D204">
        <v>364.65</v>
      </c>
      <c r="E204">
        <v>64.349999999999994</v>
      </c>
      <c r="F204">
        <v>800.4</v>
      </c>
      <c r="G204">
        <v>1039.7</v>
      </c>
      <c r="H204">
        <v>0</v>
      </c>
      <c r="I204">
        <v>187</v>
      </c>
      <c r="J204">
        <v>90</v>
      </c>
      <c r="K204" s="10">
        <v>29.2</v>
      </c>
      <c r="L204" s="2">
        <f t="shared" si="6"/>
        <v>367.94229000000001</v>
      </c>
      <c r="M204" s="2">
        <f t="shared" si="7"/>
        <v>167.34674999999999</v>
      </c>
      <c r="N204">
        <v>0</v>
      </c>
    </row>
    <row r="205" spans="1:14" x14ac:dyDescent="0.25">
      <c r="A205" s="15"/>
      <c r="B205" s="15"/>
      <c r="C205">
        <v>20</v>
      </c>
      <c r="D205">
        <v>343.2</v>
      </c>
      <c r="E205">
        <v>85.8</v>
      </c>
      <c r="F205">
        <v>800.4</v>
      </c>
      <c r="G205">
        <v>1039.7</v>
      </c>
      <c r="H205">
        <v>0</v>
      </c>
      <c r="I205">
        <v>187</v>
      </c>
      <c r="J205">
        <v>14</v>
      </c>
      <c r="K205" s="10">
        <v>23.88</v>
      </c>
      <c r="L205" s="2">
        <f t="shared" si="6"/>
        <v>352.28379000000001</v>
      </c>
      <c r="M205" s="2">
        <f t="shared" si="7"/>
        <v>159.303</v>
      </c>
      <c r="N205">
        <v>0</v>
      </c>
    </row>
    <row r="206" spans="1:14" x14ac:dyDescent="0.25">
      <c r="A206" s="15"/>
      <c r="B206" s="15"/>
      <c r="C206">
        <v>20</v>
      </c>
      <c r="D206">
        <v>343.2</v>
      </c>
      <c r="E206">
        <v>85.8</v>
      </c>
      <c r="F206">
        <v>800.4</v>
      </c>
      <c r="G206">
        <v>1039.7</v>
      </c>
      <c r="H206">
        <v>0</v>
      </c>
      <c r="I206">
        <v>187</v>
      </c>
      <c r="J206">
        <v>28</v>
      </c>
      <c r="K206" s="10">
        <v>26.81</v>
      </c>
      <c r="L206" s="2">
        <f t="shared" si="6"/>
        <v>352.28379000000001</v>
      </c>
      <c r="M206" s="2">
        <f t="shared" si="7"/>
        <v>159.303</v>
      </c>
      <c r="N206">
        <v>0</v>
      </c>
    </row>
    <row r="207" spans="1:14" x14ac:dyDescent="0.25">
      <c r="A207" s="15"/>
      <c r="B207" s="15"/>
      <c r="C207">
        <v>20</v>
      </c>
      <c r="D207">
        <v>343.2</v>
      </c>
      <c r="E207">
        <v>85.8</v>
      </c>
      <c r="F207">
        <v>800.4</v>
      </c>
      <c r="G207">
        <v>1039.7</v>
      </c>
      <c r="H207">
        <v>0</v>
      </c>
      <c r="I207">
        <v>187</v>
      </c>
      <c r="J207">
        <v>56</v>
      </c>
      <c r="K207" s="10">
        <v>33.299999999999997</v>
      </c>
      <c r="L207" s="2">
        <f t="shared" si="6"/>
        <v>352.28379000000001</v>
      </c>
      <c r="M207" s="2">
        <f t="shared" si="7"/>
        <v>159.303</v>
      </c>
      <c r="N207">
        <v>0</v>
      </c>
    </row>
    <row r="208" spans="1:14" x14ac:dyDescent="0.25">
      <c r="A208" s="15"/>
      <c r="B208" s="15"/>
      <c r="C208">
        <v>20</v>
      </c>
      <c r="D208">
        <v>343.2</v>
      </c>
      <c r="E208">
        <v>85.8</v>
      </c>
      <c r="F208">
        <v>800.4</v>
      </c>
      <c r="G208">
        <v>1039.7</v>
      </c>
      <c r="H208">
        <v>0</v>
      </c>
      <c r="I208">
        <v>187</v>
      </c>
      <c r="J208">
        <v>90</v>
      </c>
      <c r="K208" s="10">
        <v>31.67</v>
      </c>
      <c r="L208" s="2">
        <f t="shared" si="6"/>
        <v>352.28379000000001</v>
      </c>
      <c r="M208" s="2">
        <f t="shared" si="7"/>
        <v>159.303</v>
      </c>
      <c r="N208">
        <v>0</v>
      </c>
    </row>
    <row r="209" spans="1:14" x14ac:dyDescent="0.25">
      <c r="A209" s="15"/>
      <c r="B209" s="15"/>
      <c r="C209">
        <v>25</v>
      </c>
      <c r="D209">
        <v>321.75</v>
      </c>
      <c r="E209">
        <v>107.25</v>
      </c>
      <c r="F209">
        <v>800.4</v>
      </c>
      <c r="G209">
        <v>1039.7</v>
      </c>
      <c r="H209">
        <v>0</v>
      </c>
      <c r="I209">
        <v>187</v>
      </c>
      <c r="J209">
        <v>14</v>
      </c>
      <c r="K209" s="10">
        <v>21.89</v>
      </c>
      <c r="L209" s="2">
        <f t="shared" si="6"/>
        <v>336.62529000000006</v>
      </c>
      <c r="M209" s="2">
        <f t="shared" si="7"/>
        <v>151.25924999999998</v>
      </c>
      <c r="N209">
        <v>0</v>
      </c>
    </row>
    <row r="210" spans="1:14" x14ac:dyDescent="0.25">
      <c r="A210" s="15"/>
      <c r="B210" s="15"/>
      <c r="C210">
        <v>25</v>
      </c>
      <c r="D210">
        <v>321.75</v>
      </c>
      <c r="E210">
        <v>107.25</v>
      </c>
      <c r="F210">
        <v>800.4</v>
      </c>
      <c r="G210">
        <v>1039.7</v>
      </c>
      <c r="H210">
        <v>0</v>
      </c>
      <c r="I210">
        <v>187</v>
      </c>
      <c r="J210">
        <v>28</v>
      </c>
      <c r="K210" s="10">
        <v>25.48</v>
      </c>
      <c r="L210" s="2">
        <f t="shared" si="6"/>
        <v>336.62529000000006</v>
      </c>
      <c r="M210" s="2">
        <f t="shared" si="7"/>
        <v>151.25924999999998</v>
      </c>
      <c r="N210">
        <v>0</v>
      </c>
    </row>
    <row r="211" spans="1:14" x14ac:dyDescent="0.25">
      <c r="A211" s="15"/>
      <c r="B211" s="15"/>
      <c r="C211">
        <v>25</v>
      </c>
      <c r="D211">
        <v>321.75</v>
      </c>
      <c r="E211">
        <v>107.25</v>
      </c>
      <c r="F211">
        <v>800.4</v>
      </c>
      <c r="G211">
        <v>1039.7</v>
      </c>
      <c r="H211">
        <v>0</v>
      </c>
      <c r="I211">
        <v>187</v>
      </c>
      <c r="J211">
        <v>56</v>
      </c>
      <c r="K211" s="10">
        <v>34.61</v>
      </c>
      <c r="L211" s="2">
        <f t="shared" si="6"/>
        <v>336.62529000000006</v>
      </c>
      <c r="M211" s="2">
        <f t="shared" si="7"/>
        <v>151.25924999999998</v>
      </c>
      <c r="N211">
        <v>0</v>
      </c>
    </row>
    <row r="212" spans="1:14" x14ac:dyDescent="0.25">
      <c r="A212" s="15"/>
      <c r="B212" s="15"/>
      <c r="C212">
        <v>25</v>
      </c>
      <c r="D212">
        <v>321.75</v>
      </c>
      <c r="E212">
        <v>107.25</v>
      </c>
      <c r="F212">
        <v>800.4</v>
      </c>
      <c r="G212">
        <v>1039.7</v>
      </c>
      <c r="H212">
        <v>0</v>
      </c>
      <c r="I212">
        <v>187</v>
      </c>
      <c r="J212">
        <v>90</v>
      </c>
      <c r="K212" s="10">
        <v>27.03</v>
      </c>
      <c r="L212" s="2">
        <f t="shared" si="6"/>
        <v>336.62529000000006</v>
      </c>
      <c r="M212" s="2">
        <f t="shared" si="7"/>
        <v>151.25924999999998</v>
      </c>
      <c r="N212">
        <v>0</v>
      </c>
    </row>
    <row r="213" spans="1:14" x14ac:dyDescent="0.25">
      <c r="A213" s="15"/>
      <c r="B213" s="15"/>
      <c r="C213">
        <v>30</v>
      </c>
      <c r="D213">
        <v>300.3</v>
      </c>
      <c r="E213">
        <v>128.69999999999999</v>
      </c>
      <c r="F213">
        <v>800.4</v>
      </c>
      <c r="G213">
        <v>1039.7</v>
      </c>
      <c r="H213">
        <v>0</v>
      </c>
      <c r="I213">
        <v>187</v>
      </c>
      <c r="J213">
        <v>14</v>
      </c>
      <c r="K213" s="10">
        <v>24.3</v>
      </c>
      <c r="L213" s="2">
        <f t="shared" si="6"/>
        <v>320.96679</v>
      </c>
      <c r="M213" s="2">
        <f t="shared" si="7"/>
        <v>143.21549999999999</v>
      </c>
      <c r="N213">
        <v>0</v>
      </c>
    </row>
    <row r="214" spans="1:14" x14ac:dyDescent="0.25">
      <c r="A214" s="15"/>
      <c r="B214" s="15"/>
      <c r="C214">
        <v>30</v>
      </c>
      <c r="D214">
        <v>300.3</v>
      </c>
      <c r="E214">
        <v>128.69999999999999</v>
      </c>
      <c r="F214">
        <v>800.4</v>
      </c>
      <c r="G214">
        <v>1039.7</v>
      </c>
      <c r="H214">
        <v>0</v>
      </c>
      <c r="I214">
        <v>187</v>
      </c>
      <c r="J214">
        <v>28</v>
      </c>
      <c r="K214" s="10">
        <v>24.78</v>
      </c>
      <c r="L214" s="2">
        <f t="shared" ref="L214:L277" si="8">SUM((D214*0.83)+(E214*0.1)+(F214*0.0139)+(G214*0.0459)+(H214*2))</f>
        <v>320.96679</v>
      </c>
      <c r="M214" s="2">
        <f t="shared" si="7"/>
        <v>143.21549999999999</v>
      </c>
      <c r="N214">
        <v>0</v>
      </c>
    </row>
    <row r="215" spans="1:14" x14ac:dyDescent="0.25">
      <c r="A215" s="15"/>
      <c r="B215" s="15"/>
      <c r="C215">
        <v>30</v>
      </c>
      <c r="D215">
        <v>300.3</v>
      </c>
      <c r="E215">
        <v>128.69999999999999</v>
      </c>
      <c r="F215">
        <v>800.4</v>
      </c>
      <c r="G215">
        <v>1039.7</v>
      </c>
      <c r="H215">
        <v>0</v>
      </c>
      <c r="I215">
        <v>187</v>
      </c>
      <c r="J215">
        <v>56</v>
      </c>
      <c r="K215" s="10">
        <v>25.94</v>
      </c>
      <c r="L215" s="2">
        <f t="shared" si="8"/>
        <v>320.96679</v>
      </c>
      <c r="M215" s="2">
        <f t="shared" si="7"/>
        <v>143.21549999999999</v>
      </c>
      <c r="N215">
        <v>0</v>
      </c>
    </row>
    <row r="216" spans="1:14" x14ac:dyDescent="0.25">
      <c r="A216" s="15"/>
      <c r="B216" s="15"/>
      <c r="C216">
        <v>30</v>
      </c>
      <c r="D216">
        <v>300.3</v>
      </c>
      <c r="E216">
        <v>128.69999999999999</v>
      </c>
      <c r="F216">
        <v>800.4</v>
      </c>
      <c r="G216">
        <v>1039.7</v>
      </c>
      <c r="H216">
        <v>0</v>
      </c>
      <c r="I216">
        <v>187</v>
      </c>
      <c r="J216">
        <v>90</v>
      </c>
      <c r="K216" s="10">
        <v>31.21</v>
      </c>
      <c r="L216" s="2">
        <f t="shared" si="8"/>
        <v>320.96679</v>
      </c>
      <c r="M216" s="2">
        <f t="shared" si="7"/>
        <v>143.21549999999999</v>
      </c>
      <c r="N216">
        <v>0</v>
      </c>
    </row>
    <row r="217" spans="1:14" x14ac:dyDescent="0.25">
      <c r="A217" s="15"/>
      <c r="B217" s="15"/>
      <c r="C217">
        <v>35</v>
      </c>
      <c r="D217">
        <v>278.85000000000002</v>
      </c>
      <c r="E217">
        <v>150.15</v>
      </c>
      <c r="F217">
        <v>800.4</v>
      </c>
      <c r="G217">
        <v>1039.7</v>
      </c>
      <c r="H217">
        <v>0</v>
      </c>
      <c r="I217">
        <v>187</v>
      </c>
      <c r="J217">
        <v>14</v>
      </c>
      <c r="K217" s="10">
        <v>24.25</v>
      </c>
      <c r="L217" s="2">
        <f t="shared" si="8"/>
        <v>305.30829000000006</v>
      </c>
      <c r="M217" s="2">
        <f t="shared" si="7"/>
        <v>135.17175</v>
      </c>
      <c r="N217">
        <v>0</v>
      </c>
    </row>
    <row r="218" spans="1:14" x14ac:dyDescent="0.25">
      <c r="A218" s="15"/>
      <c r="B218" s="15"/>
      <c r="C218">
        <v>35</v>
      </c>
      <c r="D218">
        <v>278.85000000000002</v>
      </c>
      <c r="E218">
        <v>150.15</v>
      </c>
      <c r="F218">
        <v>800.4</v>
      </c>
      <c r="G218">
        <v>1039.7</v>
      </c>
      <c r="H218">
        <v>0</v>
      </c>
      <c r="I218">
        <v>187</v>
      </c>
      <c r="J218">
        <v>28</v>
      </c>
      <c r="K218" s="10">
        <v>28.81</v>
      </c>
      <c r="L218" s="2">
        <f t="shared" si="8"/>
        <v>305.30829000000006</v>
      </c>
      <c r="M218" s="2">
        <f t="shared" si="7"/>
        <v>135.17175</v>
      </c>
      <c r="N218">
        <v>0</v>
      </c>
    </row>
    <row r="219" spans="1:14" x14ac:dyDescent="0.25">
      <c r="A219" s="15"/>
      <c r="B219" s="15"/>
      <c r="C219">
        <v>35</v>
      </c>
      <c r="D219">
        <v>278.85000000000002</v>
      </c>
      <c r="E219">
        <v>150.15</v>
      </c>
      <c r="F219">
        <v>800.4</v>
      </c>
      <c r="G219">
        <v>1039.7</v>
      </c>
      <c r="H219">
        <v>0</v>
      </c>
      <c r="I219">
        <v>187</v>
      </c>
      <c r="J219">
        <v>56</v>
      </c>
      <c r="K219" s="10">
        <v>26.94</v>
      </c>
      <c r="L219" s="2">
        <f t="shared" si="8"/>
        <v>305.30829000000006</v>
      </c>
      <c r="M219" s="2">
        <f t="shared" si="7"/>
        <v>135.17175</v>
      </c>
      <c r="N219">
        <v>0</v>
      </c>
    </row>
    <row r="220" spans="1:14" x14ac:dyDescent="0.25">
      <c r="A220" s="15"/>
      <c r="B220" s="15"/>
      <c r="C220">
        <v>35</v>
      </c>
      <c r="D220">
        <v>278.85000000000002</v>
      </c>
      <c r="E220">
        <v>150.15</v>
      </c>
      <c r="F220">
        <v>800.4</v>
      </c>
      <c r="G220">
        <v>1039.7</v>
      </c>
      <c r="H220">
        <v>0</v>
      </c>
      <c r="I220">
        <v>187</v>
      </c>
      <c r="J220">
        <v>90</v>
      </c>
      <c r="K220" s="10">
        <v>27.69</v>
      </c>
      <c r="L220" s="2">
        <f t="shared" si="8"/>
        <v>305.30829000000006</v>
      </c>
      <c r="M220" s="2">
        <f t="shared" si="7"/>
        <v>135.17175</v>
      </c>
      <c r="N220">
        <v>0</v>
      </c>
    </row>
    <row r="221" spans="1:14" x14ac:dyDescent="0.25">
      <c r="A221" s="15"/>
      <c r="B221" s="15"/>
      <c r="C221">
        <v>40</v>
      </c>
      <c r="D221">
        <v>257.39999999999998</v>
      </c>
      <c r="E221">
        <v>171.6</v>
      </c>
      <c r="F221">
        <v>800.4</v>
      </c>
      <c r="G221">
        <v>1039.7</v>
      </c>
      <c r="H221">
        <v>0</v>
      </c>
      <c r="I221">
        <v>187</v>
      </c>
      <c r="J221">
        <v>14</v>
      </c>
      <c r="K221" s="10">
        <v>23.45</v>
      </c>
      <c r="L221" s="2">
        <f t="shared" si="8"/>
        <v>289.64979</v>
      </c>
      <c r="M221" s="2">
        <f t="shared" si="7"/>
        <v>127.12799999999999</v>
      </c>
      <c r="N221">
        <v>0</v>
      </c>
    </row>
    <row r="222" spans="1:14" x14ac:dyDescent="0.25">
      <c r="A222" s="15"/>
      <c r="B222" s="15"/>
      <c r="C222">
        <v>40</v>
      </c>
      <c r="D222">
        <v>257.39999999999998</v>
      </c>
      <c r="E222">
        <v>171.6</v>
      </c>
      <c r="F222">
        <v>800.4</v>
      </c>
      <c r="G222">
        <v>1039.7</v>
      </c>
      <c r="H222">
        <v>0</v>
      </c>
      <c r="I222">
        <v>187</v>
      </c>
      <c r="J222">
        <v>28</v>
      </c>
      <c r="K222" s="10">
        <v>25.9</v>
      </c>
      <c r="L222" s="2">
        <f t="shared" si="8"/>
        <v>289.64979</v>
      </c>
      <c r="M222" s="2">
        <f t="shared" si="7"/>
        <v>127.12799999999999</v>
      </c>
      <c r="N222">
        <v>0</v>
      </c>
    </row>
    <row r="223" spans="1:14" x14ac:dyDescent="0.25">
      <c r="A223" s="15"/>
      <c r="B223" s="15"/>
      <c r="C223">
        <v>40</v>
      </c>
      <c r="D223">
        <v>257.39999999999998</v>
      </c>
      <c r="E223">
        <v>171.6</v>
      </c>
      <c r="F223">
        <v>800.4</v>
      </c>
      <c r="G223">
        <v>1039.7</v>
      </c>
      <c r="H223">
        <v>0</v>
      </c>
      <c r="I223">
        <v>187</v>
      </c>
      <c r="J223">
        <v>56</v>
      </c>
      <c r="K223" s="10">
        <v>26.05</v>
      </c>
      <c r="L223" s="2">
        <f t="shared" si="8"/>
        <v>289.64979</v>
      </c>
      <c r="M223" s="2">
        <f t="shared" si="7"/>
        <v>127.12799999999999</v>
      </c>
      <c r="N223">
        <v>0</v>
      </c>
    </row>
    <row r="224" spans="1:14" x14ac:dyDescent="0.25">
      <c r="A224" s="15"/>
      <c r="B224" s="15"/>
      <c r="C224">
        <v>40</v>
      </c>
      <c r="D224">
        <v>257.39999999999998</v>
      </c>
      <c r="E224">
        <v>171.6</v>
      </c>
      <c r="F224">
        <v>800.4</v>
      </c>
      <c r="G224">
        <v>1039.7</v>
      </c>
      <c r="H224">
        <v>0</v>
      </c>
      <c r="I224">
        <v>187</v>
      </c>
      <c r="J224">
        <v>90</v>
      </c>
      <c r="K224" s="10">
        <v>29.63</v>
      </c>
      <c r="L224" s="2">
        <f t="shared" si="8"/>
        <v>289.64979</v>
      </c>
      <c r="M224" s="2">
        <f t="shared" si="7"/>
        <v>127.12799999999999</v>
      </c>
      <c r="N224">
        <v>0</v>
      </c>
    </row>
    <row r="225" spans="1:14" x14ac:dyDescent="0.25">
      <c r="A225" s="15"/>
      <c r="B225" s="15"/>
      <c r="C225">
        <v>45</v>
      </c>
      <c r="D225">
        <v>235.95</v>
      </c>
      <c r="E225">
        <v>193.05</v>
      </c>
      <c r="F225">
        <v>800.4</v>
      </c>
      <c r="G225">
        <v>1039.7</v>
      </c>
      <c r="H225">
        <v>0</v>
      </c>
      <c r="I225">
        <v>187</v>
      </c>
      <c r="J225">
        <v>14</v>
      </c>
      <c r="K225" s="10">
        <v>21.62</v>
      </c>
      <c r="L225" s="2">
        <f t="shared" si="8"/>
        <v>273.99128999999999</v>
      </c>
      <c r="M225" s="2">
        <f t="shared" si="7"/>
        <v>119.08425</v>
      </c>
      <c r="N225">
        <v>0</v>
      </c>
    </row>
    <row r="226" spans="1:14" x14ac:dyDescent="0.25">
      <c r="A226" s="15"/>
      <c r="B226" s="15"/>
      <c r="C226">
        <v>45</v>
      </c>
      <c r="D226">
        <v>235.95</v>
      </c>
      <c r="E226">
        <v>193.05</v>
      </c>
      <c r="F226">
        <v>800.4</v>
      </c>
      <c r="G226">
        <v>1039.7</v>
      </c>
      <c r="H226">
        <v>0</v>
      </c>
      <c r="I226">
        <v>187</v>
      </c>
      <c r="J226">
        <v>28</v>
      </c>
      <c r="K226" s="10">
        <v>23.09</v>
      </c>
      <c r="L226" s="2">
        <f t="shared" si="8"/>
        <v>273.99128999999999</v>
      </c>
      <c r="M226" s="2">
        <f t="shared" si="7"/>
        <v>119.08425</v>
      </c>
      <c r="N226">
        <v>0</v>
      </c>
    </row>
    <row r="227" spans="1:14" x14ac:dyDescent="0.25">
      <c r="A227" s="15"/>
      <c r="B227" s="15"/>
      <c r="C227">
        <v>45</v>
      </c>
      <c r="D227">
        <v>235.95</v>
      </c>
      <c r="E227">
        <v>193.05</v>
      </c>
      <c r="F227">
        <v>800.4</v>
      </c>
      <c r="G227">
        <v>1039.7</v>
      </c>
      <c r="H227">
        <v>0</v>
      </c>
      <c r="I227">
        <v>187</v>
      </c>
      <c r="J227">
        <v>56</v>
      </c>
      <c r="K227" s="10">
        <v>24.48</v>
      </c>
      <c r="L227" s="2">
        <f t="shared" si="8"/>
        <v>273.99128999999999</v>
      </c>
      <c r="M227" s="2">
        <f t="shared" si="7"/>
        <v>119.08425</v>
      </c>
      <c r="N227">
        <v>0</v>
      </c>
    </row>
    <row r="228" spans="1:14" x14ac:dyDescent="0.25">
      <c r="A228" s="15"/>
      <c r="B228" s="15"/>
      <c r="C228">
        <v>45</v>
      </c>
      <c r="D228">
        <v>235.95</v>
      </c>
      <c r="E228">
        <v>193.05</v>
      </c>
      <c r="F228">
        <v>800.4</v>
      </c>
      <c r="G228">
        <v>1039.7</v>
      </c>
      <c r="H228">
        <v>0</v>
      </c>
      <c r="I228">
        <v>187</v>
      </c>
      <c r="J228">
        <v>90</v>
      </c>
      <c r="K228" s="10">
        <v>27.79</v>
      </c>
      <c r="L228" s="2">
        <f t="shared" si="8"/>
        <v>273.99128999999999</v>
      </c>
      <c r="M228" s="2">
        <f t="shared" si="7"/>
        <v>119.08425</v>
      </c>
      <c r="N228">
        <v>0</v>
      </c>
    </row>
    <row r="229" spans="1:14" x14ac:dyDescent="0.25">
      <c r="A229" s="15"/>
      <c r="B229" s="15"/>
      <c r="C229">
        <v>50</v>
      </c>
      <c r="D229">
        <v>214.5</v>
      </c>
      <c r="E229">
        <v>214.5</v>
      </c>
      <c r="F229">
        <v>800.4</v>
      </c>
      <c r="G229">
        <v>1039.7</v>
      </c>
      <c r="H229">
        <v>0</v>
      </c>
      <c r="I229">
        <v>187</v>
      </c>
      <c r="J229">
        <v>14</v>
      </c>
      <c r="K229" s="10">
        <v>22.97</v>
      </c>
      <c r="L229" s="2">
        <f t="shared" si="8"/>
        <v>258.33279000000005</v>
      </c>
      <c r="M229" s="2">
        <f t="shared" si="7"/>
        <v>111.04049999999999</v>
      </c>
      <c r="N229">
        <v>0</v>
      </c>
    </row>
    <row r="230" spans="1:14" x14ac:dyDescent="0.25">
      <c r="A230" s="15"/>
      <c r="B230" s="15"/>
      <c r="C230">
        <v>50</v>
      </c>
      <c r="D230">
        <v>214.5</v>
      </c>
      <c r="E230">
        <v>214.5</v>
      </c>
      <c r="F230">
        <v>800.4</v>
      </c>
      <c r="G230">
        <v>1039.7</v>
      </c>
      <c r="H230">
        <v>0</v>
      </c>
      <c r="I230">
        <v>187</v>
      </c>
      <c r="J230">
        <v>28</v>
      </c>
      <c r="K230" s="10">
        <v>21.68</v>
      </c>
      <c r="L230" s="2">
        <f t="shared" si="8"/>
        <v>258.33279000000005</v>
      </c>
      <c r="M230" s="2">
        <f t="shared" si="7"/>
        <v>111.04049999999999</v>
      </c>
      <c r="N230">
        <v>0</v>
      </c>
    </row>
    <row r="231" spans="1:14" x14ac:dyDescent="0.25">
      <c r="A231" s="15"/>
      <c r="B231" s="15"/>
      <c r="C231">
        <v>50</v>
      </c>
      <c r="D231">
        <v>214.5</v>
      </c>
      <c r="E231">
        <v>214.5</v>
      </c>
      <c r="F231">
        <v>800.4</v>
      </c>
      <c r="G231">
        <v>1039.7</v>
      </c>
      <c r="H231">
        <v>0</v>
      </c>
      <c r="I231">
        <v>187</v>
      </c>
      <c r="J231">
        <v>56</v>
      </c>
      <c r="K231" s="10">
        <v>22.54</v>
      </c>
      <c r="L231" s="2">
        <f t="shared" si="8"/>
        <v>258.33279000000005</v>
      </c>
      <c r="M231" s="2">
        <f t="shared" si="7"/>
        <v>111.04049999999999</v>
      </c>
      <c r="N231">
        <v>0</v>
      </c>
    </row>
    <row r="232" spans="1:14" x14ac:dyDescent="0.25">
      <c r="A232" s="15"/>
      <c r="B232" s="15"/>
      <c r="C232">
        <v>50</v>
      </c>
      <c r="D232">
        <v>214.5</v>
      </c>
      <c r="E232">
        <v>214.5</v>
      </c>
      <c r="F232">
        <v>800.4</v>
      </c>
      <c r="G232">
        <v>1039.7</v>
      </c>
      <c r="H232">
        <v>0</v>
      </c>
      <c r="I232">
        <v>187</v>
      </c>
      <c r="J232">
        <v>90</v>
      </c>
      <c r="K232" s="10">
        <v>28.54</v>
      </c>
      <c r="L232" s="2">
        <f t="shared" si="8"/>
        <v>258.33279000000005</v>
      </c>
      <c r="M232" s="2">
        <f t="shared" si="7"/>
        <v>111.04049999999999</v>
      </c>
      <c r="N232">
        <v>0</v>
      </c>
    </row>
    <row r="233" spans="1:14" x14ac:dyDescent="0.25">
      <c r="A233" s="15" t="s">
        <v>130</v>
      </c>
      <c r="B233" s="15" t="s">
        <v>120</v>
      </c>
      <c r="C233">
        <v>0</v>
      </c>
      <c r="D233">
        <v>469.2</v>
      </c>
      <c r="E233">
        <v>0</v>
      </c>
      <c r="F233">
        <v>783.8</v>
      </c>
      <c r="G233">
        <v>1069.2</v>
      </c>
      <c r="H233">
        <v>0</v>
      </c>
      <c r="I233">
        <v>156.1</v>
      </c>
      <c r="J233">
        <v>14</v>
      </c>
      <c r="K233" s="10">
        <v>25.6</v>
      </c>
      <c r="L233" s="2">
        <f t="shared" si="8"/>
        <v>449.40709999999996</v>
      </c>
      <c r="M233" s="2">
        <f t="shared" si="7"/>
        <v>206.68424999999999</v>
      </c>
      <c r="N233">
        <v>0</v>
      </c>
    </row>
    <row r="234" spans="1:14" x14ac:dyDescent="0.25">
      <c r="A234" s="15"/>
      <c r="B234" s="15"/>
      <c r="C234">
        <v>0</v>
      </c>
      <c r="D234">
        <v>469.2</v>
      </c>
      <c r="E234">
        <v>0</v>
      </c>
      <c r="F234">
        <v>783.8</v>
      </c>
      <c r="G234">
        <v>1069.2</v>
      </c>
      <c r="H234">
        <v>0</v>
      </c>
      <c r="I234">
        <v>156.1</v>
      </c>
      <c r="J234">
        <v>56</v>
      </c>
      <c r="K234" s="10">
        <v>34.5</v>
      </c>
      <c r="L234" s="2">
        <f t="shared" si="8"/>
        <v>449.40709999999996</v>
      </c>
      <c r="M234" s="2">
        <f t="shared" si="7"/>
        <v>206.68424999999999</v>
      </c>
      <c r="N234">
        <v>0</v>
      </c>
    </row>
    <row r="235" spans="1:14" x14ac:dyDescent="0.25">
      <c r="A235" s="15"/>
      <c r="B235" s="15"/>
      <c r="C235">
        <v>0</v>
      </c>
      <c r="D235">
        <v>469.2</v>
      </c>
      <c r="E235">
        <v>0</v>
      </c>
      <c r="F235">
        <v>783.8</v>
      </c>
      <c r="G235">
        <v>1069.2</v>
      </c>
      <c r="H235">
        <v>0</v>
      </c>
      <c r="I235">
        <v>156.1</v>
      </c>
      <c r="J235">
        <v>90</v>
      </c>
      <c r="K235" s="10">
        <v>36.51</v>
      </c>
      <c r="L235" s="2">
        <f t="shared" si="8"/>
        <v>449.40709999999996</v>
      </c>
      <c r="M235" s="2">
        <f t="shared" si="7"/>
        <v>206.68424999999999</v>
      </c>
      <c r="N235">
        <v>0</v>
      </c>
    </row>
    <row r="236" spans="1:14" x14ac:dyDescent="0.25">
      <c r="A236" s="15"/>
      <c r="B236" s="15"/>
      <c r="C236">
        <v>5</v>
      </c>
      <c r="D236">
        <v>445.74</v>
      </c>
      <c r="E236">
        <v>23.46</v>
      </c>
      <c r="F236">
        <v>783.8</v>
      </c>
      <c r="G236">
        <v>1069.2</v>
      </c>
      <c r="H236">
        <v>0</v>
      </c>
      <c r="I236">
        <v>156.1</v>
      </c>
      <c r="J236">
        <v>14</v>
      </c>
      <c r="K236" s="10">
        <v>30.55</v>
      </c>
      <c r="L236" s="2">
        <f t="shared" si="8"/>
        <v>432.28129999999999</v>
      </c>
      <c r="M236" s="2">
        <f t="shared" si="7"/>
        <v>197.88674999999998</v>
      </c>
      <c r="N236">
        <v>0</v>
      </c>
    </row>
    <row r="237" spans="1:14" x14ac:dyDescent="0.25">
      <c r="A237" s="15"/>
      <c r="B237" s="15"/>
      <c r="C237">
        <v>5</v>
      </c>
      <c r="D237">
        <v>445.74</v>
      </c>
      <c r="E237">
        <v>23.46</v>
      </c>
      <c r="F237">
        <v>783.8</v>
      </c>
      <c r="G237">
        <v>1069.2</v>
      </c>
      <c r="H237">
        <v>0</v>
      </c>
      <c r="I237">
        <v>156.1</v>
      </c>
      <c r="J237">
        <v>56</v>
      </c>
      <c r="K237" s="10">
        <v>32.119999999999997</v>
      </c>
      <c r="L237" s="2">
        <f t="shared" si="8"/>
        <v>432.28129999999999</v>
      </c>
      <c r="M237" s="2">
        <f t="shared" si="7"/>
        <v>197.88674999999998</v>
      </c>
      <c r="N237">
        <v>0</v>
      </c>
    </row>
    <row r="238" spans="1:14" x14ac:dyDescent="0.25">
      <c r="A238" s="15"/>
      <c r="B238" s="15"/>
      <c r="C238">
        <v>5</v>
      </c>
      <c r="D238">
        <v>445.74</v>
      </c>
      <c r="E238">
        <v>23.46</v>
      </c>
      <c r="F238">
        <v>783.8</v>
      </c>
      <c r="G238">
        <v>1069.2</v>
      </c>
      <c r="H238">
        <v>0</v>
      </c>
      <c r="I238">
        <v>156.1</v>
      </c>
      <c r="J238">
        <v>90</v>
      </c>
      <c r="K238" s="10">
        <v>35.78</v>
      </c>
      <c r="L238" s="2">
        <f t="shared" si="8"/>
        <v>432.28129999999999</v>
      </c>
      <c r="M238" s="2">
        <f t="shared" si="7"/>
        <v>197.88674999999998</v>
      </c>
      <c r="N238">
        <v>0</v>
      </c>
    </row>
    <row r="239" spans="1:14" x14ac:dyDescent="0.25">
      <c r="A239" s="15"/>
      <c r="B239" s="15"/>
      <c r="C239">
        <v>10</v>
      </c>
      <c r="D239">
        <v>422.28</v>
      </c>
      <c r="E239">
        <v>46.92</v>
      </c>
      <c r="F239">
        <v>783.8</v>
      </c>
      <c r="G239">
        <v>1069.2</v>
      </c>
      <c r="H239">
        <v>0</v>
      </c>
      <c r="I239">
        <v>156.1</v>
      </c>
      <c r="J239">
        <v>14</v>
      </c>
      <c r="K239" s="10">
        <v>27.93</v>
      </c>
      <c r="L239" s="2">
        <f t="shared" si="8"/>
        <v>415.15549999999996</v>
      </c>
      <c r="M239" s="2">
        <f t="shared" si="7"/>
        <v>189.08924999999996</v>
      </c>
      <c r="N239">
        <v>0</v>
      </c>
    </row>
    <row r="240" spans="1:14" x14ac:dyDescent="0.25">
      <c r="A240" s="15"/>
      <c r="B240" s="15"/>
      <c r="C240">
        <v>10</v>
      </c>
      <c r="D240">
        <v>422.28</v>
      </c>
      <c r="E240">
        <v>46.92</v>
      </c>
      <c r="F240">
        <v>783.8</v>
      </c>
      <c r="G240">
        <v>1069.2</v>
      </c>
      <c r="H240">
        <v>0</v>
      </c>
      <c r="I240">
        <v>156.1</v>
      </c>
      <c r="J240">
        <v>56</v>
      </c>
      <c r="K240" s="10">
        <v>31.53</v>
      </c>
      <c r="L240" s="2">
        <f t="shared" si="8"/>
        <v>415.15549999999996</v>
      </c>
      <c r="M240" s="2">
        <f t="shared" si="7"/>
        <v>189.08924999999996</v>
      </c>
      <c r="N240">
        <v>0</v>
      </c>
    </row>
    <row r="241" spans="1:14" x14ac:dyDescent="0.25">
      <c r="A241" s="15"/>
      <c r="B241" s="15"/>
      <c r="C241">
        <v>10</v>
      </c>
      <c r="D241">
        <v>422.28</v>
      </c>
      <c r="E241">
        <v>46.92</v>
      </c>
      <c r="F241">
        <v>783.8</v>
      </c>
      <c r="G241">
        <v>1069.2</v>
      </c>
      <c r="H241">
        <v>0</v>
      </c>
      <c r="I241">
        <v>156.1</v>
      </c>
      <c r="J241">
        <v>90</v>
      </c>
      <c r="K241" s="10">
        <v>33.909999999999997</v>
      </c>
      <c r="L241" s="2">
        <f t="shared" si="8"/>
        <v>415.15549999999996</v>
      </c>
      <c r="M241" s="2">
        <f t="shared" si="7"/>
        <v>189.08924999999996</v>
      </c>
      <c r="N241">
        <v>0</v>
      </c>
    </row>
    <row r="242" spans="1:14" x14ac:dyDescent="0.25">
      <c r="A242" s="15"/>
      <c r="B242" s="15"/>
      <c r="C242">
        <v>15</v>
      </c>
      <c r="D242">
        <v>398.82</v>
      </c>
      <c r="E242">
        <v>70.38</v>
      </c>
      <c r="F242">
        <v>783.8</v>
      </c>
      <c r="G242">
        <v>1069.2</v>
      </c>
      <c r="H242">
        <v>0</v>
      </c>
      <c r="I242">
        <v>156.1</v>
      </c>
      <c r="J242">
        <v>14</v>
      </c>
      <c r="K242" s="10">
        <v>27.13</v>
      </c>
      <c r="L242" s="2">
        <f t="shared" si="8"/>
        <v>398.02969999999999</v>
      </c>
      <c r="M242" s="2">
        <f t="shared" si="7"/>
        <v>180.29174999999998</v>
      </c>
      <c r="N242">
        <v>0</v>
      </c>
    </row>
    <row r="243" spans="1:14" x14ac:dyDescent="0.25">
      <c r="A243" s="15"/>
      <c r="B243" s="15"/>
      <c r="C243">
        <v>15</v>
      </c>
      <c r="D243">
        <v>398.82</v>
      </c>
      <c r="E243">
        <v>70.38</v>
      </c>
      <c r="F243">
        <v>783.8</v>
      </c>
      <c r="G243">
        <v>1069.2</v>
      </c>
      <c r="H243">
        <v>0</v>
      </c>
      <c r="I243">
        <v>156.1</v>
      </c>
      <c r="J243">
        <v>56</v>
      </c>
      <c r="K243" s="10">
        <v>31.56</v>
      </c>
      <c r="L243" s="2">
        <f t="shared" si="8"/>
        <v>398.02969999999999</v>
      </c>
      <c r="M243" s="2">
        <f t="shared" si="7"/>
        <v>180.29174999999998</v>
      </c>
      <c r="N243">
        <v>0</v>
      </c>
    </row>
    <row r="244" spans="1:14" x14ac:dyDescent="0.25">
      <c r="A244" s="15"/>
      <c r="B244" s="15"/>
      <c r="C244">
        <v>15</v>
      </c>
      <c r="D244">
        <v>398.82</v>
      </c>
      <c r="E244">
        <v>70.38</v>
      </c>
      <c r="F244">
        <v>783.8</v>
      </c>
      <c r="G244">
        <v>1069.2</v>
      </c>
      <c r="H244">
        <v>0</v>
      </c>
      <c r="I244">
        <v>156.1</v>
      </c>
      <c r="J244">
        <v>90</v>
      </c>
      <c r="K244" s="10">
        <v>34</v>
      </c>
      <c r="L244" s="2">
        <f t="shared" si="8"/>
        <v>398.02969999999999</v>
      </c>
      <c r="M244" s="2">
        <f t="shared" si="7"/>
        <v>180.29174999999998</v>
      </c>
      <c r="N244">
        <v>0</v>
      </c>
    </row>
    <row r="245" spans="1:14" x14ac:dyDescent="0.25">
      <c r="A245" s="15"/>
      <c r="B245" s="15"/>
      <c r="C245">
        <v>20</v>
      </c>
      <c r="D245">
        <v>375.36</v>
      </c>
      <c r="E245">
        <v>93.84</v>
      </c>
      <c r="F245">
        <v>783.8</v>
      </c>
      <c r="G245">
        <v>1069.2</v>
      </c>
      <c r="H245">
        <v>0</v>
      </c>
      <c r="I245">
        <v>156.1</v>
      </c>
      <c r="J245">
        <v>14</v>
      </c>
      <c r="K245" s="10">
        <v>25.79</v>
      </c>
      <c r="L245" s="2">
        <f t="shared" si="8"/>
        <v>380.90389999999996</v>
      </c>
      <c r="M245" s="2">
        <f t="shared" si="7"/>
        <v>171.49424999999999</v>
      </c>
      <c r="N245">
        <v>0</v>
      </c>
    </row>
    <row r="246" spans="1:14" x14ac:dyDescent="0.25">
      <c r="A246" s="15"/>
      <c r="B246" s="15"/>
      <c r="C246">
        <v>20</v>
      </c>
      <c r="D246">
        <v>375.36</v>
      </c>
      <c r="E246">
        <v>93.84</v>
      </c>
      <c r="F246">
        <v>783.8</v>
      </c>
      <c r="G246">
        <v>1069.2</v>
      </c>
      <c r="H246">
        <v>0</v>
      </c>
      <c r="I246">
        <v>156.1</v>
      </c>
      <c r="J246">
        <v>56</v>
      </c>
      <c r="K246" s="10">
        <v>31.52</v>
      </c>
      <c r="L246" s="2">
        <f t="shared" si="8"/>
        <v>380.90389999999996</v>
      </c>
      <c r="M246" s="2">
        <f t="shared" si="7"/>
        <v>171.49424999999999</v>
      </c>
      <c r="N246">
        <v>0</v>
      </c>
    </row>
    <row r="247" spans="1:14" x14ac:dyDescent="0.25">
      <c r="A247" s="15"/>
      <c r="B247" s="15"/>
      <c r="C247">
        <v>20</v>
      </c>
      <c r="D247">
        <v>375.36</v>
      </c>
      <c r="E247">
        <v>93.84</v>
      </c>
      <c r="F247">
        <v>783.8</v>
      </c>
      <c r="G247">
        <v>1069.2</v>
      </c>
      <c r="H247">
        <v>0</v>
      </c>
      <c r="I247">
        <v>156.1</v>
      </c>
      <c r="J247">
        <v>90</v>
      </c>
      <c r="K247" s="10">
        <v>31.1</v>
      </c>
      <c r="L247" s="2">
        <f t="shared" si="8"/>
        <v>380.90389999999996</v>
      </c>
      <c r="M247" s="2">
        <f t="shared" si="7"/>
        <v>171.49424999999999</v>
      </c>
      <c r="N247">
        <v>0</v>
      </c>
    </row>
    <row r="248" spans="1:14" x14ac:dyDescent="0.25">
      <c r="A248" s="15"/>
      <c r="B248" s="15"/>
      <c r="C248">
        <v>25</v>
      </c>
      <c r="D248">
        <v>351.9</v>
      </c>
      <c r="E248">
        <v>117.3</v>
      </c>
      <c r="F248">
        <v>783.8</v>
      </c>
      <c r="G248">
        <v>1069.2</v>
      </c>
      <c r="H248">
        <v>0</v>
      </c>
      <c r="I248">
        <v>156.1</v>
      </c>
      <c r="J248">
        <v>14</v>
      </c>
      <c r="K248" s="10">
        <v>22.44</v>
      </c>
      <c r="L248" s="2">
        <f t="shared" si="8"/>
        <v>363.77809999999994</v>
      </c>
      <c r="M248" s="2">
        <f t="shared" si="7"/>
        <v>162.69674999999998</v>
      </c>
      <c r="N248">
        <v>0</v>
      </c>
    </row>
    <row r="249" spans="1:14" x14ac:dyDescent="0.25">
      <c r="A249" s="15"/>
      <c r="B249" s="15"/>
      <c r="C249">
        <v>25</v>
      </c>
      <c r="D249">
        <v>351.9</v>
      </c>
      <c r="E249">
        <v>117.3</v>
      </c>
      <c r="F249">
        <v>783.8</v>
      </c>
      <c r="G249">
        <v>1069.2</v>
      </c>
      <c r="H249">
        <v>0</v>
      </c>
      <c r="I249">
        <v>156.1</v>
      </c>
      <c r="J249">
        <v>56</v>
      </c>
      <c r="K249" s="10">
        <v>31.52</v>
      </c>
      <c r="L249" s="2">
        <f t="shared" si="8"/>
        <v>363.77809999999994</v>
      </c>
      <c r="M249" s="2">
        <f t="shared" si="7"/>
        <v>162.69674999999998</v>
      </c>
      <c r="N249">
        <v>0</v>
      </c>
    </row>
    <row r="250" spans="1:14" x14ac:dyDescent="0.25">
      <c r="A250" s="15"/>
      <c r="B250" s="15"/>
      <c r="C250">
        <v>25</v>
      </c>
      <c r="D250">
        <v>351.9</v>
      </c>
      <c r="E250">
        <v>117.3</v>
      </c>
      <c r="F250">
        <v>783.8</v>
      </c>
      <c r="G250">
        <v>1069.2</v>
      </c>
      <c r="H250">
        <v>0</v>
      </c>
      <c r="I250">
        <v>156.1</v>
      </c>
      <c r="J250">
        <v>90</v>
      </c>
      <c r="K250" s="10">
        <v>30.92</v>
      </c>
      <c r="L250" s="2">
        <f t="shared" si="8"/>
        <v>363.77809999999994</v>
      </c>
      <c r="M250" s="2">
        <f t="shared" si="7"/>
        <v>162.69674999999998</v>
      </c>
      <c r="N250">
        <v>0</v>
      </c>
    </row>
    <row r="251" spans="1:14" x14ac:dyDescent="0.25">
      <c r="A251" s="15"/>
      <c r="B251" s="15"/>
      <c r="C251">
        <v>30</v>
      </c>
      <c r="D251">
        <v>328.44</v>
      </c>
      <c r="E251">
        <v>140.76</v>
      </c>
      <c r="F251">
        <v>783.8</v>
      </c>
      <c r="G251">
        <v>1069.2</v>
      </c>
      <c r="H251">
        <v>0</v>
      </c>
      <c r="I251">
        <v>156.1</v>
      </c>
      <c r="J251">
        <v>14</v>
      </c>
      <c r="K251" s="10">
        <v>24.42</v>
      </c>
      <c r="L251" s="2">
        <f t="shared" si="8"/>
        <v>346.65229999999997</v>
      </c>
      <c r="M251" s="2">
        <f t="shared" si="7"/>
        <v>153.89925000000002</v>
      </c>
      <c r="N251">
        <v>0</v>
      </c>
    </row>
    <row r="252" spans="1:14" x14ac:dyDescent="0.25">
      <c r="A252" s="15"/>
      <c r="B252" s="15"/>
      <c r="C252">
        <v>30</v>
      </c>
      <c r="D252">
        <v>328.44</v>
      </c>
      <c r="E252">
        <v>140.76</v>
      </c>
      <c r="F252">
        <v>783.8</v>
      </c>
      <c r="G252">
        <v>1069.2</v>
      </c>
      <c r="H252">
        <v>0</v>
      </c>
      <c r="I252">
        <v>156.1</v>
      </c>
      <c r="J252">
        <v>56</v>
      </c>
      <c r="K252" s="10">
        <v>27.72</v>
      </c>
      <c r="L252" s="2">
        <f t="shared" si="8"/>
        <v>346.65229999999997</v>
      </c>
      <c r="M252" s="2">
        <f t="shared" si="7"/>
        <v>153.89925000000002</v>
      </c>
      <c r="N252">
        <v>0</v>
      </c>
    </row>
    <row r="253" spans="1:14" x14ac:dyDescent="0.25">
      <c r="A253" s="15"/>
      <c r="B253" s="15"/>
      <c r="C253">
        <v>30</v>
      </c>
      <c r="D253">
        <v>328.44</v>
      </c>
      <c r="E253">
        <v>140.76</v>
      </c>
      <c r="F253">
        <v>783.8</v>
      </c>
      <c r="G253">
        <v>1069.2</v>
      </c>
      <c r="H253">
        <v>0</v>
      </c>
      <c r="I253">
        <v>156.1</v>
      </c>
      <c r="J253">
        <v>90</v>
      </c>
      <c r="K253" s="10">
        <v>28.6</v>
      </c>
      <c r="L253" s="2">
        <f t="shared" si="8"/>
        <v>346.65229999999997</v>
      </c>
      <c r="M253" s="2">
        <f t="shared" si="7"/>
        <v>153.89925000000002</v>
      </c>
      <c r="N253">
        <v>0</v>
      </c>
    </row>
    <row r="254" spans="1:14" x14ac:dyDescent="0.25">
      <c r="A254" s="15"/>
      <c r="B254" s="15"/>
      <c r="C254">
        <v>35</v>
      </c>
      <c r="D254">
        <v>304.98</v>
      </c>
      <c r="E254">
        <v>164.22</v>
      </c>
      <c r="F254">
        <v>783.8</v>
      </c>
      <c r="G254">
        <v>1069.2</v>
      </c>
      <c r="H254">
        <v>0</v>
      </c>
      <c r="I254">
        <v>156.1</v>
      </c>
      <c r="J254">
        <v>14</v>
      </c>
      <c r="K254" s="10">
        <v>22.09</v>
      </c>
      <c r="L254" s="2">
        <f t="shared" si="8"/>
        <v>329.5265</v>
      </c>
      <c r="M254" s="2">
        <f t="shared" si="7"/>
        <v>145.10175000000001</v>
      </c>
      <c r="N254">
        <v>0</v>
      </c>
    </row>
    <row r="255" spans="1:14" x14ac:dyDescent="0.25">
      <c r="A255" s="15"/>
      <c r="B255" s="15"/>
      <c r="C255">
        <v>35</v>
      </c>
      <c r="D255">
        <v>304.98</v>
      </c>
      <c r="E255">
        <v>164.22</v>
      </c>
      <c r="F255">
        <v>783.8</v>
      </c>
      <c r="G255">
        <v>1069.2</v>
      </c>
      <c r="H255">
        <v>0</v>
      </c>
      <c r="I255">
        <v>156.1</v>
      </c>
      <c r="J255">
        <v>56</v>
      </c>
      <c r="K255" s="10">
        <v>26.22</v>
      </c>
      <c r="L255" s="2">
        <f t="shared" si="8"/>
        <v>329.5265</v>
      </c>
      <c r="M255" s="2">
        <f t="shared" si="7"/>
        <v>145.10175000000001</v>
      </c>
      <c r="N255">
        <v>0</v>
      </c>
    </row>
    <row r="256" spans="1:14" x14ac:dyDescent="0.25">
      <c r="A256" s="15"/>
      <c r="B256" s="15"/>
      <c r="C256">
        <v>35</v>
      </c>
      <c r="D256">
        <v>304.98</v>
      </c>
      <c r="E256">
        <v>164.22</v>
      </c>
      <c r="F256">
        <v>783.8</v>
      </c>
      <c r="G256">
        <v>1069.2</v>
      </c>
      <c r="H256">
        <v>0</v>
      </c>
      <c r="I256">
        <v>156.1</v>
      </c>
      <c r="J256">
        <v>90</v>
      </c>
      <c r="K256" s="10">
        <v>29.22</v>
      </c>
      <c r="L256" s="2">
        <f t="shared" si="8"/>
        <v>329.5265</v>
      </c>
      <c r="M256" s="2">
        <f t="shared" si="7"/>
        <v>145.10175000000001</v>
      </c>
      <c r="N256">
        <v>0</v>
      </c>
    </row>
    <row r="257" spans="1:14" x14ac:dyDescent="0.25">
      <c r="A257" s="15"/>
      <c r="B257" s="15"/>
      <c r="C257">
        <v>40</v>
      </c>
      <c r="D257">
        <v>281.52</v>
      </c>
      <c r="E257">
        <v>187.68</v>
      </c>
      <c r="F257">
        <v>783.8</v>
      </c>
      <c r="G257">
        <v>1069.2</v>
      </c>
      <c r="H257">
        <v>0</v>
      </c>
      <c r="I257">
        <v>156.1</v>
      </c>
      <c r="J257">
        <v>14</v>
      </c>
      <c r="K257" s="10">
        <v>20.2</v>
      </c>
      <c r="L257" s="2">
        <f t="shared" si="8"/>
        <v>312.40069999999997</v>
      </c>
      <c r="M257" s="2">
        <f t="shared" si="7"/>
        <v>136.30425</v>
      </c>
      <c r="N257">
        <v>0</v>
      </c>
    </row>
    <row r="258" spans="1:14" x14ac:dyDescent="0.25">
      <c r="A258" s="15"/>
      <c r="B258" s="15"/>
      <c r="C258">
        <v>40</v>
      </c>
      <c r="D258">
        <v>281.52</v>
      </c>
      <c r="E258">
        <v>187.68</v>
      </c>
      <c r="F258">
        <v>783.8</v>
      </c>
      <c r="G258">
        <v>1069.2</v>
      </c>
      <c r="H258">
        <v>0</v>
      </c>
      <c r="I258">
        <v>156.1</v>
      </c>
      <c r="J258">
        <v>56</v>
      </c>
      <c r="K258" s="10">
        <v>25.89</v>
      </c>
      <c r="L258" s="2">
        <f t="shared" si="8"/>
        <v>312.40069999999997</v>
      </c>
      <c r="M258" s="2">
        <f t="shared" si="7"/>
        <v>136.30425</v>
      </c>
      <c r="N258">
        <v>0</v>
      </c>
    </row>
    <row r="259" spans="1:14" x14ac:dyDescent="0.25">
      <c r="A259" s="15"/>
      <c r="B259" s="15"/>
      <c r="C259">
        <v>40</v>
      </c>
      <c r="D259">
        <v>281.52</v>
      </c>
      <c r="E259">
        <v>187.68</v>
      </c>
      <c r="F259">
        <v>783.8</v>
      </c>
      <c r="G259">
        <v>1069.2</v>
      </c>
      <c r="H259">
        <v>0</v>
      </c>
      <c r="I259">
        <v>156.1</v>
      </c>
      <c r="J259">
        <v>90</v>
      </c>
      <c r="K259" s="10">
        <v>26.14</v>
      </c>
      <c r="L259" s="2">
        <f t="shared" si="8"/>
        <v>312.40069999999997</v>
      </c>
      <c r="M259" s="2">
        <f t="shared" ref="M259:M322" si="9">SUM((D259*5)+((F259*0.25)+(G259*0.2)+(H259*20)))*0.075</f>
        <v>136.30425</v>
      </c>
      <c r="N259">
        <v>0</v>
      </c>
    </row>
    <row r="260" spans="1:14" x14ac:dyDescent="0.25">
      <c r="A260" s="15"/>
      <c r="B260" s="15"/>
      <c r="C260">
        <v>45</v>
      </c>
      <c r="D260">
        <v>258.06</v>
      </c>
      <c r="E260">
        <v>211.14</v>
      </c>
      <c r="F260">
        <v>783.8</v>
      </c>
      <c r="G260">
        <v>1069.2</v>
      </c>
      <c r="H260">
        <v>0</v>
      </c>
      <c r="I260">
        <v>156.1</v>
      </c>
      <c r="J260">
        <v>14</v>
      </c>
      <c r="K260" s="10">
        <v>23.79</v>
      </c>
      <c r="L260" s="2">
        <f t="shared" si="8"/>
        <v>295.2749</v>
      </c>
      <c r="M260" s="2">
        <f t="shared" si="9"/>
        <v>127.50674999999998</v>
      </c>
      <c r="N260">
        <v>0</v>
      </c>
    </row>
    <row r="261" spans="1:14" x14ac:dyDescent="0.25">
      <c r="A261" s="15"/>
      <c r="B261" s="15"/>
      <c r="C261">
        <v>45</v>
      </c>
      <c r="D261">
        <v>258.06</v>
      </c>
      <c r="E261">
        <v>211.14</v>
      </c>
      <c r="F261">
        <v>783.8</v>
      </c>
      <c r="G261">
        <v>1069.2</v>
      </c>
      <c r="H261">
        <v>0</v>
      </c>
      <c r="I261">
        <v>156.1</v>
      </c>
      <c r="J261">
        <v>56</v>
      </c>
      <c r="K261" s="10">
        <v>24.32</v>
      </c>
      <c r="L261" s="2">
        <f t="shared" si="8"/>
        <v>295.2749</v>
      </c>
      <c r="M261" s="2">
        <f t="shared" si="9"/>
        <v>127.50674999999998</v>
      </c>
      <c r="N261">
        <v>0</v>
      </c>
    </row>
    <row r="262" spans="1:14" x14ac:dyDescent="0.25">
      <c r="A262" s="15"/>
      <c r="B262" s="15"/>
      <c r="C262">
        <v>45</v>
      </c>
      <c r="D262">
        <v>258.06</v>
      </c>
      <c r="E262">
        <v>211.14</v>
      </c>
      <c r="F262">
        <v>783.8</v>
      </c>
      <c r="G262">
        <v>1069.2</v>
      </c>
      <c r="H262">
        <v>0</v>
      </c>
      <c r="I262">
        <v>156.1</v>
      </c>
      <c r="J262">
        <v>90</v>
      </c>
      <c r="K262" s="10">
        <v>31.9</v>
      </c>
      <c r="L262" s="2">
        <f t="shared" si="8"/>
        <v>295.2749</v>
      </c>
      <c r="M262" s="2">
        <f t="shared" si="9"/>
        <v>127.50674999999998</v>
      </c>
      <c r="N262">
        <v>0</v>
      </c>
    </row>
    <row r="263" spans="1:14" x14ac:dyDescent="0.25">
      <c r="A263" s="15"/>
      <c r="B263" s="15"/>
      <c r="C263">
        <v>50</v>
      </c>
      <c r="D263">
        <v>234.6</v>
      </c>
      <c r="E263">
        <v>234.6</v>
      </c>
      <c r="F263">
        <v>783.8</v>
      </c>
      <c r="G263">
        <v>1069.2</v>
      </c>
      <c r="H263">
        <v>0</v>
      </c>
      <c r="I263">
        <v>156.1</v>
      </c>
      <c r="J263">
        <v>14</v>
      </c>
      <c r="K263" s="10">
        <v>23.89</v>
      </c>
      <c r="L263" s="2">
        <f t="shared" si="8"/>
        <v>278.14910000000003</v>
      </c>
      <c r="M263" s="2">
        <f t="shared" si="9"/>
        <v>118.70925</v>
      </c>
      <c r="N263">
        <v>0</v>
      </c>
    </row>
    <row r="264" spans="1:14" x14ac:dyDescent="0.25">
      <c r="A264" s="15"/>
      <c r="B264" s="15"/>
      <c r="C264">
        <v>50</v>
      </c>
      <c r="D264">
        <v>234.6</v>
      </c>
      <c r="E264">
        <v>234.6</v>
      </c>
      <c r="F264">
        <v>783.8</v>
      </c>
      <c r="G264">
        <v>1069.2</v>
      </c>
      <c r="H264">
        <v>0</v>
      </c>
      <c r="I264">
        <v>156.1</v>
      </c>
      <c r="J264">
        <v>56</v>
      </c>
      <c r="K264" s="10">
        <v>22.28</v>
      </c>
      <c r="L264" s="2">
        <f t="shared" si="8"/>
        <v>278.14910000000003</v>
      </c>
      <c r="M264" s="2">
        <f t="shared" si="9"/>
        <v>118.70925</v>
      </c>
      <c r="N264">
        <v>0</v>
      </c>
    </row>
    <row r="265" spans="1:14" x14ac:dyDescent="0.25">
      <c r="A265" s="15"/>
      <c r="B265" s="15"/>
      <c r="C265">
        <v>50</v>
      </c>
      <c r="D265">
        <v>234.6</v>
      </c>
      <c r="E265">
        <v>234.6</v>
      </c>
      <c r="F265">
        <v>783.8</v>
      </c>
      <c r="G265">
        <v>1069.2</v>
      </c>
      <c r="H265">
        <v>0</v>
      </c>
      <c r="I265">
        <v>156.1</v>
      </c>
      <c r="J265">
        <v>90</v>
      </c>
      <c r="K265" s="10">
        <v>23.85</v>
      </c>
      <c r="L265" s="2">
        <f t="shared" si="8"/>
        <v>278.14910000000003</v>
      </c>
      <c r="M265" s="2">
        <f t="shared" si="9"/>
        <v>118.70925</v>
      </c>
      <c r="N265">
        <v>0</v>
      </c>
    </row>
    <row r="266" spans="1:14" x14ac:dyDescent="0.25">
      <c r="A266" s="20" t="s">
        <v>131</v>
      </c>
      <c r="B266" s="15" t="s">
        <v>132</v>
      </c>
      <c r="C266">
        <v>0</v>
      </c>
      <c r="D266">
        <v>493.4</v>
      </c>
      <c r="E266">
        <v>0</v>
      </c>
      <c r="F266">
        <v>734.3</v>
      </c>
      <c r="G266">
        <v>1023.3</v>
      </c>
      <c r="H266">
        <v>0</v>
      </c>
      <c r="I266">
        <v>213.3</v>
      </c>
      <c r="J266">
        <v>7</v>
      </c>
      <c r="K266" s="10">
        <v>25.26</v>
      </c>
      <c r="L266" s="2">
        <f t="shared" si="8"/>
        <v>466.69823999999994</v>
      </c>
      <c r="M266" s="2">
        <f t="shared" si="9"/>
        <v>214.14262500000001</v>
      </c>
      <c r="N266">
        <v>0</v>
      </c>
    </row>
    <row r="267" spans="1:14" x14ac:dyDescent="0.25">
      <c r="A267" s="20"/>
      <c r="B267" s="15"/>
      <c r="C267">
        <v>0</v>
      </c>
      <c r="D267">
        <v>493.4</v>
      </c>
      <c r="E267">
        <v>0</v>
      </c>
      <c r="F267">
        <v>734.3</v>
      </c>
      <c r="G267">
        <v>1023.3</v>
      </c>
      <c r="H267">
        <v>0</v>
      </c>
      <c r="I267">
        <v>213.3</v>
      </c>
      <c r="J267">
        <v>14</v>
      </c>
      <c r="K267" s="10">
        <v>31.66</v>
      </c>
      <c r="L267" s="2">
        <f t="shared" si="8"/>
        <v>466.69823999999994</v>
      </c>
      <c r="M267" s="2">
        <f t="shared" si="9"/>
        <v>214.14262500000001</v>
      </c>
      <c r="N267">
        <v>0</v>
      </c>
    </row>
    <row r="268" spans="1:14" x14ac:dyDescent="0.25">
      <c r="A268" s="20"/>
      <c r="B268" s="15"/>
      <c r="C268">
        <v>0</v>
      </c>
      <c r="D268">
        <v>493.4</v>
      </c>
      <c r="E268">
        <v>0</v>
      </c>
      <c r="F268">
        <v>734.3</v>
      </c>
      <c r="G268">
        <v>1023.3</v>
      </c>
      <c r="H268">
        <v>0</v>
      </c>
      <c r="I268">
        <v>213.3</v>
      </c>
      <c r="J268">
        <v>56</v>
      </c>
      <c r="K268" s="10">
        <v>36.56</v>
      </c>
      <c r="L268" s="2">
        <f t="shared" si="8"/>
        <v>466.69823999999994</v>
      </c>
      <c r="M268" s="2">
        <f t="shared" si="9"/>
        <v>214.14262500000001</v>
      </c>
      <c r="N268">
        <v>0</v>
      </c>
    </row>
    <row r="269" spans="1:14" x14ac:dyDescent="0.25">
      <c r="A269" s="20"/>
      <c r="B269" s="15"/>
      <c r="C269">
        <v>0</v>
      </c>
      <c r="D269">
        <v>493.4</v>
      </c>
      <c r="E269">
        <v>0</v>
      </c>
      <c r="F269">
        <v>734.3</v>
      </c>
      <c r="G269">
        <v>1023.3</v>
      </c>
      <c r="H269">
        <v>0</v>
      </c>
      <c r="I269">
        <v>213.3</v>
      </c>
      <c r="J269">
        <v>90</v>
      </c>
      <c r="K269" s="10">
        <v>36.67</v>
      </c>
      <c r="L269" s="2">
        <f t="shared" si="8"/>
        <v>466.69823999999994</v>
      </c>
      <c r="M269" s="2">
        <f t="shared" si="9"/>
        <v>214.14262500000001</v>
      </c>
      <c r="N269">
        <v>0</v>
      </c>
    </row>
    <row r="270" spans="1:14" x14ac:dyDescent="0.25">
      <c r="A270" s="20"/>
      <c r="B270" s="15"/>
      <c r="C270">
        <v>5</v>
      </c>
      <c r="D270">
        <v>468.73</v>
      </c>
      <c r="E270">
        <v>24.67</v>
      </c>
      <c r="F270">
        <v>734.3</v>
      </c>
      <c r="G270">
        <v>1023.3</v>
      </c>
      <c r="H270">
        <v>0</v>
      </c>
      <c r="I270">
        <v>213.3</v>
      </c>
      <c r="J270">
        <v>7</v>
      </c>
      <c r="K270" s="10">
        <v>23.97</v>
      </c>
      <c r="L270" s="2">
        <f t="shared" si="8"/>
        <v>448.68914000000001</v>
      </c>
      <c r="M270" s="2">
        <f t="shared" si="9"/>
        <v>204.89137500000001</v>
      </c>
      <c r="N270">
        <v>0</v>
      </c>
    </row>
    <row r="271" spans="1:14" x14ac:dyDescent="0.25">
      <c r="A271" s="20"/>
      <c r="B271" s="15"/>
      <c r="C271">
        <v>5</v>
      </c>
      <c r="D271">
        <v>468.73</v>
      </c>
      <c r="E271">
        <v>24.67</v>
      </c>
      <c r="F271">
        <v>734.3</v>
      </c>
      <c r="G271">
        <v>1023.3</v>
      </c>
      <c r="H271">
        <v>0</v>
      </c>
      <c r="I271">
        <v>213.3</v>
      </c>
      <c r="J271">
        <v>14</v>
      </c>
      <c r="K271" s="10">
        <v>26.11</v>
      </c>
      <c r="L271" s="2">
        <f t="shared" si="8"/>
        <v>448.68914000000001</v>
      </c>
      <c r="M271" s="2">
        <f t="shared" si="9"/>
        <v>204.89137500000001</v>
      </c>
      <c r="N271">
        <v>0</v>
      </c>
    </row>
    <row r="272" spans="1:14" x14ac:dyDescent="0.25">
      <c r="A272" s="20"/>
      <c r="B272" s="15"/>
      <c r="C272">
        <v>5</v>
      </c>
      <c r="D272">
        <v>468.73</v>
      </c>
      <c r="E272">
        <v>24.67</v>
      </c>
      <c r="F272">
        <v>734.3</v>
      </c>
      <c r="G272">
        <v>1023.3</v>
      </c>
      <c r="H272">
        <v>0</v>
      </c>
      <c r="I272">
        <v>213.3</v>
      </c>
      <c r="J272">
        <v>56</v>
      </c>
      <c r="K272" s="10">
        <v>35.93</v>
      </c>
      <c r="L272" s="2">
        <f t="shared" si="8"/>
        <v>448.68914000000001</v>
      </c>
      <c r="M272" s="2">
        <f t="shared" si="9"/>
        <v>204.89137500000001</v>
      </c>
      <c r="N272">
        <v>0</v>
      </c>
    </row>
    <row r="273" spans="1:14" x14ac:dyDescent="0.25">
      <c r="A273" s="20"/>
      <c r="B273" s="15"/>
      <c r="C273">
        <v>5</v>
      </c>
      <c r="D273">
        <v>468.73</v>
      </c>
      <c r="E273">
        <v>24.67</v>
      </c>
      <c r="F273">
        <v>734.3</v>
      </c>
      <c r="G273">
        <v>1023.3</v>
      </c>
      <c r="H273">
        <v>0</v>
      </c>
      <c r="I273">
        <v>213.3</v>
      </c>
      <c r="J273">
        <v>90</v>
      </c>
      <c r="K273" s="10">
        <v>36.18</v>
      </c>
      <c r="L273" s="2">
        <f t="shared" si="8"/>
        <v>448.68914000000001</v>
      </c>
      <c r="M273" s="2">
        <f t="shared" si="9"/>
        <v>204.89137500000001</v>
      </c>
      <c r="N273">
        <v>0</v>
      </c>
    </row>
    <row r="274" spans="1:14" x14ac:dyDescent="0.25">
      <c r="A274" s="20"/>
      <c r="B274" s="15"/>
      <c r="C274">
        <v>10</v>
      </c>
      <c r="D274">
        <v>444.06</v>
      </c>
      <c r="E274">
        <v>49.34</v>
      </c>
      <c r="F274">
        <v>734.3</v>
      </c>
      <c r="G274">
        <v>1023.3</v>
      </c>
      <c r="H274">
        <v>0</v>
      </c>
      <c r="I274">
        <v>213.3</v>
      </c>
      <c r="J274">
        <v>7</v>
      </c>
      <c r="K274" s="10">
        <v>24.58</v>
      </c>
      <c r="L274" s="2">
        <f t="shared" si="8"/>
        <v>430.68004000000002</v>
      </c>
      <c r="M274" s="2">
        <f t="shared" si="9"/>
        <v>195.64012500000001</v>
      </c>
      <c r="N274">
        <v>0</v>
      </c>
    </row>
    <row r="275" spans="1:14" x14ac:dyDescent="0.25">
      <c r="A275" s="20"/>
      <c r="B275" s="15"/>
      <c r="C275">
        <v>10</v>
      </c>
      <c r="D275">
        <v>444.06</v>
      </c>
      <c r="E275">
        <v>49.34</v>
      </c>
      <c r="F275">
        <v>734.3</v>
      </c>
      <c r="G275">
        <v>1023.3</v>
      </c>
      <c r="H275">
        <v>0</v>
      </c>
      <c r="I275">
        <v>213.3</v>
      </c>
      <c r="J275">
        <v>14</v>
      </c>
      <c r="K275" s="10">
        <v>28.8</v>
      </c>
      <c r="L275" s="2">
        <f t="shared" si="8"/>
        <v>430.68004000000002</v>
      </c>
      <c r="M275" s="2">
        <f t="shared" si="9"/>
        <v>195.64012500000001</v>
      </c>
      <c r="N275">
        <v>0</v>
      </c>
    </row>
    <row r="276" spans="1:14" x14ac:dyDescent="0.25">
      <c r="A276" s="20"/>
      <c r="B276" s="15"/>
      <c r="C276">
        <v>10</v>
      </c>
      <c r="D276">
        <v>444.06</v>
      </c>
      <c r="E276">
        <v>49.34</v>
      </c>
      <c r="F276">
        <v>734.3</v>
      </c>
      <c r="G276">
        <v>1023.3</v>
      </c>
      <c r="H276">
        <v>0</v>
      </c>
      <c r="I276">
        <v>213.3</v>
      </c>
      <c r="J276">
        <v>56</v>
      </c>
      <c r="K276" s="10">
        <v>32.729999999999997</v>
      </c>
      <c r="L276" s="2">
        <f t="shared" si="8"/>
        <v>430.68004000000002</v>
      </c>
      <c r="M276" s="2">
        <f t="shared" si="9"/>
        <v>195.64012500000001</v>
      </c>
      <c r="N276">
        <v>0</v>
      </c>
    </row>
    <row r="277" spans="1:14" x14ac:dyDescent="0.25">
      <c r="A277" s="20"/>
      <c r="B277" s="15"/>
      <c r="C277">
        <v>10</v>
      </c>
      <c r="D277">
        <v>444.06</v>
      </c>
      <c r="E277">
        <v>49.34</v>
      </c>
      <c r="F277">
        <v>734.3</v>
      </c>
      <c r="G277">
        <v>1023.3</v>
      </c>
      <c r="H277">
        <v>0</v>
      </c>
      <c r="I277">
        <v>213.3</v>
      </c>
      <c r="J277">
        <v>90</v>
      </c>
      <c r="K277" s="10">
        <v>36.22</v>
      </c>
      <c r="L277" s="2">
        <f t="shared" si="8"/>
        <v>430.68004000000002</v>
      </c>
      <c r="M277" s="2">
        <f t="shared" si="9"/>
        <v>195.64012500000001</v>
      </c>
      <c r="N277">
        <v>0</v>
      </c>
    </row>
    <row r="278" spans="1:14" x14ac:dyDescent="0.25">
      <c r="A278" s="20"/>
      <c r="B278" s="15"/>
      <c r="C278">
        <v>15</v>
      </c>
      <c r="D278">
        <v>419.39</v>
      </c>
      <c r="E278">
        <v>74.010000000000005</v>
      </c>
      <c r="F278">
        <v>734.3</v>
      </c>
      <c r="G278">
        <v>1023.3</v>
      </c>
      <c r="H278">
        <v>0</v>
      </c>
      <c r="I278">
        <v>213.3</v>
      </c>
      <c r="J278">
        <v>7</v>
      </c>
      <c r="K278" s="10">
        <v>22.73</v>
      </c>
      <c r="L278" s="2">
        <f t="shared" ref="L278:L341" si="10">SUM((D278*0.83)+(E278*0.1)+(F278*0.0139)+(G278*0.0459)+(H278*2))</f>
        <v>412.67093999999997</v>
      </c>
      <c r="M278" s="2">
        <f t="shared" si="9"/>
        <v>186.38887499999998</v>
      </c>
      <c r="N278">
        <v>0</v>
      </c>
    </row>
    <row r="279" spans="1:14" x14ac:dyDescent="0.25">
      <c r="A279" s="20"/>
      <c r="B279" s="15"/>
      <c r="C279">
        <v>15</v>
      </c>
      <c r="D279">
        <v>419.39</v>
      </c>
      <c r="E279">
        <v>74.010000000000005</v>
      </c>
      <c r="F279">
        <v>734.3</v>
      </c>
      <c r="G279">
        <v>1023.3</v>
      </c>
      <c r="H279">
        <v>0</v>
      </c>
      <c r="I279">
        <v>213.3</v>
      </c>
      <c r="J279">
        <v>14</v>
      </c>
      <c r="K279" s="10">
        <v>26.87</v>
      </c>
      <c r="L279" s="2">
        <f t="shared" si="10"/>
        <v>412.67093999999997</v>
      </c>
      <c r="M279" s="2">
        <f t="shared" si="9"/>
        <v>186.38887499999998</v>
      </c>
      <c r="N279">
        <v>0</v>
      </c>
    </row>
    <row r="280" spans="1:14" x14ac:dyDescent="0.25">
      <c r="A280" s="20"/>
      <c r="B280" s="15"/>
      <c r="C280">
        <v>15</v>
      </c>
      <c r="D280">
        <v>419.39</v>
      </c>
      <c r="E280">
        <v>74.010000000000005</v>
      </c>
      <c r="F280">
        <v>734.3</v>
      </c>
      <c r="G280">
        <v>1023.3</v>
      </c>
      <c r="H280">
        <v>0</v>
      </c>
      <c r="I280">
        <v>213.3</v>
      </c>
      <c r="J280">
        <v>56</v>
      </c>
      <c r="K280" s="10">
        <v>30.17</v>
      </c>
      <c r="L280" s="2">
        <f t="shared" si="10"/>
        <v>412.67093999999997</v>
      </c>
      <c r="M280" s="2">
        <f t="shared" si="9"/>
        <v>186.38887499999998</v>
      </c>
      <c r="N280">
        <v>0</v>
      </c>
    </row>
    <row r="281" spans="1:14" x14ac:dyDescent="0.25">
      <c r="A281" s="20"/>
      <c r="B281" s="15"/>
      <c r="C281">
        <v>15</v>
      </c>
      <c r="D281">
        <v>419.39</v>
      </c>
      <c r="E281">
        <v>74.010000000000005</v>
      </c>
      <c r="F281">
        <v>734.3</v>
      </c>
      <c r="G281">
        <v>1023.3</v>
      </c>
      <c r="H281">
        <v>0</v>
      </c>
      <c r="I281">
        <v>213.3</v>
      </c>
      <c r="J281">
        <v>90</v>
      </c>
      <c r="K281" s="10">
        <v>32.68</v>
      </c>
      <c r="L281" s="2">
        <f t="shared" si="10"/>
        <v>412.67093999999997</v>
      </c>
      <c r="M281" s="2">
        <f t="shared" si="9"/>
        <v>186.38887499999998</v>
      </c>
      <c r="N281">
        <v>0</v>
      </c>
    </row>
    <row r="282" spans="1:14" x14ac:dyDescent="0.25">
      <c r="A282" s="20"/>
      <c r="B282" s="15"/>
      <c r="C282">
        <v>20</v>
      </c>
      <c r="D282">
        <v>394.72</v>
      </c>
      <c r="E282">
        <v>98.68</v>
      </c>
      <c r="F282">
        <v>734.3</v>
      </c>
      <c r="G282">
        <v>1023.3</v>
      </c>
      <c r="H282">
        <v>0</v>
      </c>
      <c r="I282">
        <v>213.3</v>
      </c>
      <c r="J282">
        <v>7</v>
      </c>
      <c r="K282" s="10">
        <v>23.65</v>
      </c>
      <c r="L282" s="2">
        <f t="shared" si="10"/>
        <v>394.66183999999998</v>
      </c>
      <c r="M282" s="2">
        <f t="shared" si="9"/>
        <v>177.13762499999999</v>
      </c>
      <c r="N282">
        <v>0</v>
      </c>
    </row>
    <row r="283" spans="1:14" x14ac:dyDescent="0.25">
      <c r="A283" s="20"/>
      <c r="B283" s="15"/>
      <c r="C283">
        <v>20</v>
      </c>
      <c r="D283">
        <v>394.72</v>
      </c>
      <c r="E283">
        <v>98.68</v>
      </c>
      <c r="F283">
        <v>734.3</v>
      </c>
      <c r="G283">
        <v>1023.3</v>
      </c>
      <c r="H283">
        <v>0</v>
      </c>
      <c r="I283">
        <v>213.3</v>
      </c>
      <c r="J283">
        <v>14</v>
      </c>
      <c r="K283" s="10">
        <v>26.09</v>
      </c>
      <c r="L283" s="2">
        <f t="shared" si="10"/>
        <v>394.66183999999998</v>
      </c>
      <c r="M283" s="2">
        <f t="shared" si="9"/>
        <v>177.13762499999999</v>
      </c>
      <c r="N283">
        <v>0</v>
      </c>
    </row>
    <row r="284" spans="1:14" x14ac:dyDescent="0.25">
      <c r="A284" s="20"/>
      <c r="B284" s="15"/>
      <c r="C284">
        <v>20</v>
      </c>
      <c r="D284">
        <v>394.72</v>
      </c>
      <c r="E284">
        <v>98.68</v>
      </c>
      <c r="F284">
        <v>734.3</v>
      </c>
      <c r="G284">
        <v>1023.3</v>
      </c>
      <c r="H284">
        <v>0</v>
      </c>
      <c r="I284">
        <v>213.3</v>
      </c>
      <c r="J284">
        <v>56</v>
      </c>
      <c r="K284" s="10">
        <v>33.17</v>
      </c>
      <c r="L284" s="2">
        <f t="shared" si="10"/>
        <v>394.66183999999998</v>
      </c>
      <c r="M284" s="2">
        <f t="shared" si="9"/>
        <v>177.13762499999999</v>
      </c>
      <c r="N284">
        <v>0</v>
      </c>
    </row>
    <row r="285" spans="1:14" x14ac:dyDescent="0.25">
      <c r="A285" s="20"/>
      <c r="B285" s="15"/>
      <c r="C285">
        <v>20</v>
      </c>
      <c r="D285">
        <v>394.72</v>
      </c>
      <c r="E285">
        <v>98.68</v>
      </c>
      <c r="F285">
        <v>734.3</v>
      </c>
      <c r="G285">
        <v>1023.3</v>
      </c>
      <c r="H285">
        <v>0</v>
      </c>
      <c r="I285">
        <v>213.3</v>
      </c>
      <c r="J285">
        <v>90</v>
      </c>
      <c r="K285" s="10">
        <v>32.25</v>
      </c>
      <c r="L285" s="2">
        <f t="shared" si="10"/>
        <v>394.66183999999998</v>
      </c>
      <c r="M285" s="2">
        <f t="shared" si="9"/>
        <v>177.13762499999999</v>
      </c>
      <c r="N285">
        <v>0</v>
      </c>
    </row>
    <row r="286" spans="1:14" x14ac:dyDescent="0.25">
      <c r="A286" s="20"/>
      <c r="B286" s="15"/>
      <c r="C286">
        <v>25</v>
      </c>
      <c r="D286">
        <v>370.05</v>
      </c>
      <c r="E286">
        <v>123.35</v>
      </c>
      <c r="F286">
        <v>734.3</v>
      </c>
      <c r="G286">
        <v>1023.3</v>
      </c>
      <c r="H286">
        <v>0</v>
      </c>
      <c r="I286">
        <v>213.3</v>
      </c>
      <c r="J286">
        <v>7</v>
      </c>
      <c r="K286" s="10">
        <v>24.2</v>
      </c>
      <c r="L286" s="2">
        <f t="shared" si="10"/>
        <v>376.65273999999999</v>
      </c>
      <c r="M286" s="2">
        <f t="shared" si="9"/>
        <v>167.88637500000002</v>
      </c>
      <c r="N286">
        <v>0</v>
      </c>
    </row>
    <row r="287" spans="1:14" x14ac:dyDescent="0.25">
      <c r="A287" s="20"/>
      <c r="B287" s="15"/>
      <c r="C287">
        <v>25</v>
      </c>
      <c r="D287">
        <v>370.05</v>
      </c>
      <c r="E287">
        <v>123.35</v>
      </c>
      <c r="F287">
        <v>734.3</v>
      </c>
      <c r="G287">
        <v>1023.3</v>
      </c>
      <c r="H287">
        <v>0</v>
      </c>
      <c r="I287">
        <v>213.3</v>
      </c>
      <c r="J287">
        <v>14</v>
      </c>
      <c r="K287" s="10">
        <v>21.17</v>
      </c>
      <c r="L287" s="2">
        <f t="shared" si="10"/>
        <v>376.65273999999999</v>
      </c>
      <c r="M287" s="2">
        <f t="shared" si="9"/>
        <v>167.88637500000002</v>
      </c>
      <c r="N287">
        <v>0</v>
      </c>
    </row>
    <row r="288" spans="1:14" x14ac:dyDescent="0.25">
      <c r="A288" s="20"/>
      <c r="B288" s="15"/>
      <c r="C288">
        <v>25</v>
      </c>
      <c r="D288">
        <v>370.05</v>
      </c>
      <c r="E288">
        <v>123.35</v>
      </c>
      <c r="F288">
        <v>734.3</v>
      </c>
      <c r="G288">
        <v>1023.3</v>
      </c>
      <c r="H288">
        <v>0</v>
      </c>
      <c r="I288">
        <v>213.3</v>
      </c>
      <c r="J288">
        <v>56</v>
      </c>
      <c r="K288" s="10">
        <v>27.2</v>
      </c>
      <c r="L288" s="2">
        <f t="shared" si="10"/>
        <v>376.65273999999999</v>
      </c>
      <c r="M288" s="2">
        <f t="shared" si="9"/>
        <v>167.88637500000002</v>
      </c>
      <c r="N288">
        <v>0</v>
      </c>
    </row>
    <row r="289" spans="1:14" x14ac:dyDescent="0.25">
      <c r="A289" s="20"/>
      <c r="B289" s="15"/>
      <c r="C289">
        <v>25</v>
      </c>
      <c r="D289">
        <v>370.05</v>
      </c>
      <c r="E289">
        <v>123.35</v>
      </c>
      <c r="F289">
        <v>734.3</v>
      </c>
      <c r="G289">
        <v>1023.3</v>
      </c>
      <c r="H289">
        <v>0</v>
      </c>
      <c r="I289">
        <v>213.3</v>
      </c>
      <c r="J289">
        <v>90</v>
      </c>
      <c r="K289" s="10">
        <v>31.01</v>
      </c>
      <c r="L289" s="2">
        <f t="shared" si="10"/>
        <v>376.65273999999999</v>
      </c>
      <c r="M289" s="2">
        <f t="shared" si="9"/>
        <v>167.88637500000002</v>
      </c>
      <c r="N289">
        <v>0</v>
      </c>
    </row>
    <row r="290" spans="1:14" x14ac:dyDescent="0.25">
      <c r="A290" s="20"/>
      <c r="B290" s="15"/>
      <c r="C290">
        <v>30</v>
      </c>
      <c r="D290">
        <v>345.38</v>
      </c>
      <c r="E290">
        <v>148.02000000000001</v>
      </c>
      <c r="F290">
        <v>734.3</v>
      </c>
      <c r="G290">
        <v>1023.3</v>
      </c>
      <c r="H290">
        <v>0</v>
      </c>
      <c r="I290">
        <v>213.3</v>
      </c>
      <c r="J290">
        <v>7</v>
      </c>
      <c r="K290" s="10">
        <v>19.05</v>
      </c>
      <c r="L290" s="2">
        <f t="shared" si="10"/>
        <v>358.64364</v>
      </c>
      <c r="M290" s="2">
        <f t="shared" si="9"/>
        <v>158.63512500000002</v>
      </c>
      <c r="N290">
        <v>0</v>
      </c>
    </row>
    <row r="291" spans="1:14" x14ac:dyDescent="0.25">
      <c r="A291" s="20"/>
      <c r="B291" s="15"/>
      <c r="C291">
        <v>30</v>
      </c>
      <c r="D291">
        <v>345.38</v>
      </c>
      <c r="E291">
        <v>148.02000000000001</v>
      </c>
      <c r="F291">
        <v>734.3</v>
      </c>
      <c r="G291">
        <v>1023.3</v>
      </c>
      <c r="H291">
        <v>0</v>
      </c>
      <c r="I291">
        <v>213.3</v>
      </c>
      <c r="J291">
        <v>14</v>
      </c>
      <c r="K291" s="10">
        <v>25.99</v>
      </c>
      <c r="L291" s="2">
        <f t="shared" si="10"/>
        <v>358.64364</v>
      </c>
      <c r="M291" s="2">
        <f t="shared" si="9"/>
        <v>158.63512500000002</v>
      </c>
      <c r="N291">
        <v>0</v>
      </c>
    </row>
    <row r="292" spans="1:14" x14ac:dyDescent="0.25">
      <c r="A292" s="20"/>
      <c r="B292" s="15"/>
      <c r="C292">
        <v>30</v>
      </c>
      <c r="D292">
        <v>345.38</v>
      </c>
      <c r="E292">
        <v>148.02000000000001</v>
      </c>
      <c r="F292">
        <v>734.3</v>
      </c>
      <c r="G292">
        <v>1023.3</v>
      </c>
      <c r="H292">
        <v>0</v>
      </c>
      <c r="I292">
        <v>213.3</v>
      </c>
      <c r="J292">
        <v>56</v>
      </c>
      <c r="K292" s="10">
        <v>30.97</v>
      </c>
      <c r="L292" s="2">
        <f t="shared" si="10"/>
        <v>358.64364</v>
      </c>
      <c r="M292" s="2">
        <f t="shared" si="9"/>
        <v>158.63512500000002</v>
      </c>
      <c r="N292">
        <v>0</v>
      </c>
    </row>
    <row r="293" spans="1:14" x14ac:dyDescent="0.25">
      <c r="A293" s="20"/>
      <c r="B293" s="15"/>
      <c r="C293">
        <v>30</v>
      </c>
      <c r="D293">
        <v>345.38</v>
      </c>
      <c r="E293">
        <v>148.02000000000001</v>
      </c>
      <c r="F293">
        <v>734.3</v>
      </c>
      <c r="G293">
        <v>1023.3</v>
      </c>
      <c r="H293">
        <v>0</v>
      </c>
      <c r="I293">
        <v>213.3</v>
      </c>
      <c r="J293">
        <v>90</v>
      </c>
      <c r="K293" s="10">
        <v>34.15</v>
      </c>
      <c r="L293" s="2">
        <f t="shared" si="10"/>
        <v>358.64364</v>
      </c>
      <c r="M293" s="2">
        <f t="shared" si="9"/>
        <v>158.63512500000002</v>
      </c>
      <c r="N293">
        <v>0</v>
      </c>
    </row>
    <row r="294" spans="1:14" x14ac:dyDescent="0.25">
      <c r="A294" s="20"/>
      <c r="B294" s="15"/>
      <c r="C294">
        <v>35</v>
      </c>
      <c r="D294">
        <v>320.70999999999998</v>
      </c>
      <c r="E294">
        <v>172.69</v>
      </c>
      <c r="F294">
        <v>734.3</v>
      </c>
      <c r="G294">
        <v>1023.3</v>
      </c>
      <c r="H294">
        <v>0</v>
      </c>
      <c r="I294">
        <v>213.3</v>
      </c>
      <c r="J294">
        <v>7</v>
      </c>
      <c r="K294" s="10">
        <v>21.37</v>
      </c>
      <c r="L294" s="2">
        <f t="shared" si="10"/>
        <v>340.63453999999996</v>
      </c>
      <c r="M294" s="2">
        <f t="shared" si="9"/>
        <v>149.38387499999999</v>
      </c>
      <c r="N294">
        <v>0</v>
      </c>
    </row>
    <row r="295" spans="1:14" x14ac:dyDescent="0.25">
      <c r="A295" s="20"/>
      <c r="B295" s="15"/>
      <c r="C295">
        <v>35</v>
      </c>
      <c r="D295">
        <v>320.70999999999998</v>
      </c>
      <c r="E295">
        <v>172.69</v>
      </c>
      <c r="F295">
        <v>734.3</v>
      </c>
      <c r="G295">
        <v>1023.3</v>
      </c>
      <c r="H295">
        <v>0</v>
      </c>
      <c r="I295">
        <v>213.3</v>
      </c>
      <c r="J295">
        <v>14</v>
      </c>
      <c r="K295" s="10">
        <v>23.05</v>
      </c>
      <c r="L295" s="2">
        <f t="shared" si="10"/>
        <v>340.63453999999996</v>
      </c>
      <c r="M295" s="2">
        <f t="shared" si="9"/>
        <v>149.38387499999999</v>
      </c>
      <c r="N295">
        <v>0</v>
      </c>
    </row>
    <row r="296" spans="1:14" x14ac:dyDescent="0.25">
      <c r="A296" s="20"/>
      <c r="B296" s="15"/>
      <c r="C296">
        <v>35</v>
      </c>
      <c r="D296">
        <v>320.70999999999998</v>
      </c>
      <c r="E296">
        <v>172.69</v>
      </c>
      <c r="F296">
        <v>734.3</v>
      </c>
      <c r="G296">
        <v>1023.3</v>
      </c>
      <c r="H296">
        <v>0</v>
      </c>
      <c r="I296">
        <v>213.3</v>
      </c>
      <c r="J296">
        <v>56</v>
      </c>
      <c r="K296" s="10">
        <v>27.21</v>
      </c>
      <c r="L296" s="2">
        <f t="shared" si="10"/>
        <v>340.63453999999996</v>
      </c>
      <c r="M296" s="2">
        <f t="shared" si="9"/>
        <v>149.38387499999999</v>
      </c>
      <c r="N296">
        <v>0</v>
      </c>
    </row>
    <row r="297" spans="1:14" x14ac:dyDescent="0.25">
      <c r="A297" s="20"/>
      <c r="B297" s="15"/>
      <c r="C297">
        <v>35</v>
      </c>
      <c r="D297">
        <v>320.70999999999998</v>
      </c>
      <c r="E297">
        <v>172.69</v>
      </c>
      <c r="F297">
        <v>734.3</v>
      </c>
      <c r="G297">
        <v>1023.3</v>
      </c>
      <c r="H297">
        <v>0</v>
      </c>
      <c r="I297">
        <v>213.3</v>
      </c>
      <c r="J297">
        <v>90</v>
      </c>
      <c r="K297" s="10">
        <v>26.93</v>
      </c>
      <c r="L297" s="2">
        <f t="shared" si="10"/>
        <v>340.63453999999996</v>
      </c>
      <c r="M297" s="2">
        <f t="shared" si="9"/>
        <v>149.38387499999999</v>
      </c>
      <c r="N297">
        <v>0</v>
      </c>
    </row>
    <row r="298" spans="1:14" x14ac:dyDescent="0.25">
      <c r="A298" s="20"/>
      <c r="B298" s="15"/>
      <c r="C298">
        <v>40</v>
      </c>
      <c r="D298">
        <v>296.04000000000002</v>
      </c>
      <c r="E298">
        <v>197.36</v>
      </c>
      <c r="F298">
        <v>734.3</v>
      </c>
      <c r="G298">
        <v>1023.3</v>
      </c>
      <c r="H298">
        <v>0</v>
      </c>
      <c r="I298">
        <v>213.3</v>
      </c>
      <c r="J298">
        <v>7</v>
      </c>
      <c r="K298" s="10">
        <v>20.34</v>
      </c>
      <c r="L298" s="2">
        <f t="shared" si="10"/>
        <v>322.62544000000003</v>
      </c>
      <c r="M298" s="2">
        <f t="shared" si="9"/>
        <v>140.13262499999999</v>
      </c>
      <c r="N298">
        <v>0</v>
      </c>
    </row>
    <row r="299" spans="1:14" x14ac:dyDescent="0.25">
      <c r="A299" s="20"/>
      <c r="B299" s="15"/>
      <c r="C299">
        <v>40</v>
      </c>
      <c r="D299">
        <v>296.04000000000002</v>
      </c>
      <c r="E299">
        <v>197.36</v>
      </c>
      <c r="F299">
        <v>734.3</v>
      </c>
      <c r="G299">
        <v>1023.3</v>
      </c>
      <c r="H299">
        <v>0</v>
      </c>
      <c r="I299">
        <v>213.3</v>
      </c>
      <c r="J299">
        <v>14</v>
      </c>
      <c r="K299" s="10">
        <v>21.24</v>
      </c>
      <c r="L299" s="2">
        <f t="shared" si="10"/>
        <v>322.62544000000003</v>
      </c>
      <c r="M299" s="2">
        <f t="shared" si="9"/>
        <v>140.13262499999999</v>
      </c>
      <c r="N299">
        <v>0</v>
      </c>
    </row>
    <row r="300" spans="1:14" x14ac:dyDescent="0.25">
      <c r="A300" s="20"/>
      <c r="B300" s="15"/>
      <c r="C300">
        <v>40</v>
      </c>
      <c r="D300">
        <v>296.04000000000002</v>
      </c>
      <c r="E300">
        <v>197.36</v>
      </c>
      <c r="F300">
        <v>734.3</v>
      </c>
      <c r="G300">
        <v>1023.3</v>
      </c>
      <c r="H300">
        <v>0</v>
      </c>
      <c r="I300">
        <v>213.3</v>
      </c>
      <c r="J300">
        <v>56</v>
      </c>
      <c r="K300" s="10">
        <v>27.97</v>
      </c>
      <c r="L300" s="2">
        <f t="shared" si="10"/>
        <v>322.62544000000003</v>
      </c>
      <c r="M300" s="2">
        <f t="shared" si="9"/>
        <v>140.13262499999999</v>
      </c>
      <c r="N300">
        <v>0</v>
      </c>
    </row>
    <row r="301" spans="1:14" x14ac:dyDescent="0.25">
      <c r="A301" s="20"/>
      <c r="B301" s="15"/>
      <c r="C301">
        <v>40</v>
      </c>
      <c r="D301">
        <v>296.04000000000002</v>
      </c>
      <c r="E301">
        <v>197.36</v>
      </c>
      <c r="F301">
        <v>734.3</v>
      </c>
      <c r="G301">
        <v>1023.3</v>
      </c>
      <c r="H301">
        <v>0</v>
      </c>
      <c r="I301">
        <v>213.3</v>
      </c>
      <c r="J301">
        <v>90</v>
      </c>
      <c r="K301" s="10">
        <v>25.3</v>
      </c>
      <c r="L301" s="2">
        <f t="shared" si="10"/>
        <v>322.62544000000003</v>
      </c>
      <c r="M301" s="2">
        <f t="shared" si="9"/>
        <v>140.13262499999999</v>
      </c>
      <c r="N301">
        <v>0</v>
      </c>
    </row>
    <row r="302" spans="1:14" x14ac:dyDescent="0.25">
      <c r="A302" s="20"/>
      <c r="B302" s="15"/>
      <c r="C302">
        <v>45</v>
      </c>
      <c r="D302">
        <v>271.37</v>
      </c>
      <c r="E302">
        <v>222.03</v>
      </c>
      <c r="F302">
        <v>734.3</v>
      </c>
      <c r="G302">
        <v>1023.3</v>
      </c>
      <c r="H302">
        <v>0</v>
      </c>
      <c r="I302">
        <v>213.3</v>
      </c>
      <c r="J302">
        <v>7</v>
      </c>
      <c r="K302" s="10">
        <v>17.13</v>
      </c>
      <c r="L302" s="2">
        <f t="shared" si="10"/>
        <v>304.61633999999998</v>
      </c>
      <c r="M302" s="2">
        <f t="shared" si="9"/>
        <v>130.88137499999999</v>
      </c>
      <c r="N302">
        <v>0</v>
      </c>
    </row>
    <row r="303" spans="1:14" x14ac:dyDescent="0.25">
      <c r="A303" s="20"/>
      <c r="B303" s="15"/>
      <c r="C303">
        <v>45</v>
      </c>
      <c r="D303">
        <v>271.37</v>
      </c>
      <c r="E303">
        <v>222.03</v>
      </c>
      <c r="F303">
        <v>734.3</v>
      </c>
      <c r="G303">
        <v>1023.3</v>
      </c>
      <c r="H303">
        <v>0</v>
      </c>
      <c r="I303">
        <v>213.3</v>
      </c>
      <c r="J303">
        <v>14</v>
      </c>
      <c r="K303" s="10">
        <v>25.15</v>
      </c>
      <c r="L303" s="2">
        <f t="shared" si="10"/>
        <v>304.61633999999998</v>
      </c>
      <c r="M303" s="2">
        <f t="shared" si="9"/>
        <v>130.88137499999999</v>
      </c>
      <c r="N303">
        <v>0</v>
      </c>
    </row>
    <row r="304" spans="1:14" x14ac:dyDescent="0.25">
      <c r="A304" s="20"/>
      <c r="B304" s="15"/>
      <c r="C304">
        <v>45</v>
      </c>
      <c r="D304">
        <v>271.37</v>
      </c>
      <c r="E304">
        <v>222.03</v>
      </c>
      <c r="F304">
        <v>734.3</v>
      </c>
      <c r="G304">
        <v>1023.3</v>
      </c>
      <c r="H304">
        <v>0</v>
      </c>
      <c r="I304">
        <v>213.3</v>
      </c>
      <c r="J304">
        <v>56</v>
      </c>
      <c r="K304" s="10">
        <v>25.67</v>
      </c>
      <c r="L304" s="2">
        <f t="shared" si="10"/>
        <v>304.61633999999998</v>
      </c>
      <c r="M304" s="2">
        <f t="shared" si="9"/>
        <v>130.88137499999999</v>
      </c>
      <c r="N304">
        <v>0</v>
      </c>
    </row>
    <row r="305" spans="1:14" x14ac:dyDescent="0.25">
      <c r="A305" s="20"/>
      <c r="B305" s="15"/>
      <c r="C305">
        <v>45</v>
      </c>
      <c r="D305">
        <v>271.37</v>
      </c>
      <c r="E305">
        <v>222.03</v>
      </c>
      <c r="F305">
        <v>734.3</v>
      </c>
      <c r="G305">
        <v>1023.3</v>
      </c>
      <c r="H305">
        <v>0</v>
      </c>
      <c r="I305">
        <v>213.3</v>
      </c>
      <c r="J305">
        <v>90</v>
      </c>
      <c r="K305" s="10">
        <v>21.01</v>
      </c>
      <c r="L305" s="2">
        <f t="shared" si="10"/>
        <v>304.61633999999998</v>
      </c>
      <c r="M305" s="2">
        <f t="shared" si="9"/>
        <v>130.88137499999999</v>
      </c>
      <c r="N305">
        <v>0</v>
      </c>
    </row>
    <row r="306" spans="1:14" x14ac:dyDescent="0.25">
      <c r="A306" s="20"/>
      <c r="B306" s="15"/>
      <c r="C306">
        <v>50</v>
      </c>
      <c r="D306">
        <v>246.7</v>
      </c>
      <c r="E306">
        <v>246.7</v>
      </c>
      <c r="F306">
        <v>734.3</v>
      </c>
      <c r="G306">
        <v>1023.3</v>
      </c>
      <c r="H306">
        <v>0</v>
      </c>
      <c r="I306">
        <v>213.3</v>
      </c>
      <c r="J306">
        <v>7</v>
      </c>
      <c r="K306" s="10">
        <v>19.57</v>
      </c>
      <c r="L306" s="2">
        <f t="shared" si="10"/>
        <v>286.60723999999999</v>
      </c>
      <c r="M306" s="2">
        <f t="shared" si="9"/>
        <v>121.63012500000001</v>
      </c>
      <c r="N306">
        <v>0</v>
      </c>
    </row>
    <row r="307" spans="1:14" x14ac:dyDescent="0.25">
      <c r="A307" s="20"/>
      <c r="B307" s="15"/>
      <c r="C307">
        <v>50</v>
      </c>
      <c r="D307">
        <v>246.7</v>
      </c>
      <c r="E307">
        <v>246.7</v>
      </c>
      <c r="F307">
        <v>734.3</v>
      </c>
      <c r="G307">
        <v>1023.3</v>
      </c>
      <c r="H307">
        <v>0</v>
      </c>
      <c r="I307">
        <v>213.3</v>
      </c>
      <c r="J307">
        <v>14</v>
      </c>
      <c r="K307" s="10">
        <v>22.34</v>
      </c>
      <c r="L307" s="2">
        <f t="shared" si="10"/>
        <v>286.60723999999999</v>
      </c>
      <c r="M307" s="2">
        <f t="shared" si="9"/>
        <v>121.63012500000001</v>
      </c>
      <c r="N307">
        <v>0</v>
      </c>
    </row>
    <row r="308" spans="1:14" x14ac:dyDescent="0.25">
      <c r="A308" s="20"/>
      <c r="B308" s="15"/>
      <c r="C308">
        <v>50</v>
      </c>
      <c r="D308">
        <v>246.7</v>
      </c>
      <c r="E308">
        <v>246.7</v>
      </c>
      <c r="F308">
        <v>734.3</v>
      </c>
      <c r="G308">
        <v>1023.3</v>
      </c>
      <c r="H308">
        <v>0</v>
      </c>
      <c r="I308">
        <v>213.3</v>
      </c>
      <c r="J308">
        <v>56</v>
      </c>
      <c r="K308" s="10">
        <v>25.69</v>
      </c>
      <c r="L308" s="2">
        <f t="shared" si="10"/>
        <v>286.60723999999999</v>
      </c>
      <c r="M308" s="2">
        <f t="shared" si="9"/>
        <v>121.63012500000001</v>
      </c>
      <c r="N308">
        <v>0</v>
      </c>
    </row>
    <row r="309" spans="1:14" x14ac:dyDescent="0.25">
      <c r="A309" s="20"/>
      <c r="B309" s="15"/>
      <c r="C309">
        <v>50</v>
      </c>
      <c r="D309">
        <v>246.7</v>
      </c>
      <c r="E309">
        <v>246.7</v>
      </c>
      <c r="F309">
        <v>734.3</v>
      </c>
      <c r="G309">
        <v>1023.3</v>
      </c>
      <c r="H309">
        <v>0</v>
      </c>
      <c r="I309">
        <v>213.3</v>
      </c>
      <c r="J309">
        <v>90</v>
      </c>
      <c r="K309" s="10">
        <v>22.72</v>
      </c>
      <c r="L309" s="2">
        <f t="shared" si="10"/>
        <v>286.60723999999999</v>
      </c>
      <c r="M309" s="2">
        <f t="shared" si="9"/>
        <v>121.63012500000001</v>
      </c>
      <c r="N309">
        <v>0</v>
      </c>
    </row>
    <row r="310" spans="1:14" x14ac:dyDescent="0.25">
      <c r="A310" s="15" t="s">
        <v>133</v>
      </c>
      <c r="B310" s="15" t="s">
        <v>132</v>
      </c>
      <c r="C310">
        <v>0</v>
      </c>
      <c r="D310">
        <v>410.6</v>
      </c>
      <c r="E310">
        <v>0</v>
      </c>
      <c r="F310">
        <v>739.7</v>
      </c>
      <c r="G310">
        <v>1112.5</v>
      </c>
      <c r="H310">
        <v>0</v>
      </c>
      <c r="I310">
        <v>190.8</v>
      </c>
      <c r="J310">
        <v>14</v>
      </c>
      <c r="K310" s="10">
        <v>26.41</v>
      </c>
      <c r="L310" s="2">
        <f t="shared" si="10"/>
        <v>402.14358000000004</v>
      </c>
      <c r="M310" s="2">
        <f t="shared" si="9"/>
        <v>184.53187500000001</v>
      </c>
      <c r="N310">
        <v>0</v>
      </c>
    </row>
    <row r="311" spans="1:14" x14ac:dyDescent="0.25">
      <c r="A311" s="15"/>
      <c r="B311" s="15"/>
      <c r="C311">
        <v>0</v>
      </c>
      <c r="D311">
        <v>410.6</v>
      </c>
      <c r="E311">
        <v>0</v>
      </c>
      <c r="F311">
        <v>739.7</v>
      </c>
      <c r="G311">
        <v>1112.5</v>
      </c>
      <c r="H311">
        <v>0</v>
      </c>
      <c r="I311">
        <v>190.8</v>
      </c>
      <c r="J311">
        <v>56</v>
      </c>
      <c r="K311" s="10">
        <v>31.63</v>
      </c>
      <c r="L311" s="2">
        <f t="shared" si="10"/>
        <v>402.14358000000004</v>
      </c>
      <c r="M311" s="2">
        <f t="shared" si="9"/>
        <v>184.53187500000001</v>
      </c>
      <c r="N311">
        <v>0</v>
      </c>
    </row>
    <row r="312" spans="1:14" x14ac:dyDescent="0.25">
      <c r="A312" s="15"/>
      <c r="B312" s="15"/>
      <c r="C312">
        <v>0</v>
      </c>
      <c r="D312">
        <v>410.6</v>
      </c>
      <c r="E312">
        <v>0</v>
      </c>
      <c r="F312">
        <v>739.7</v>
      </c>
      <c r="G312">
        <v>1112.5</v>
      </c>
      <c r="H312">
        <v>0</v>
      </c>
      <c r="I312">
        <v>190.8</v>
      </c>
      <c r="J312">
        <v>90</v>
      </c>
      <c r="K312" s="10">
        <v>35.950000000000003</v>
      </c>
      <c r="L312" s="2">
        <f t="shared" si="10"/>
        <v>402.14358000000004</v>
      </c>
      <c r="M312" s="2">
        <f t="shared" si="9"/>
        <v>184.53187500000001</v>
      </c>
      <c r="N312">
        <v>0</v>
      </c>
    </row>
    <row r="313" spans="1:14" x14ac:dyDescent="0.25">
      <c r="A313" s="15"/>
      <c r="B313" s="15"/>
      <c r="C313">
        <v>5</v>
      </c>
      <c r="D313">
        <v>390.07</v>
      </c>
      <c r="E313">
        <v>20.53</v>
      </c>
      <c r="F313">
        <v>739.7</v>
      </c>
      <c r="G313">
        <v>1112.5</v>
      </c>
      <c r="H313">
        <v>0</v>
      </c>
      <c r="I313">
        <v>190.8</v>
      </c>
      <c r="J313">
        <v>14</v>
      </c>
      <c r="K313" s="10">
        <v>31.19</v>
      </c>
      <c r="L313" s="2">
        <f t="shared" si="10"/>
        <v>387.15667999999999</v>
      </c>
      <c r="M313" s="2">
        <f t="shared" si="9"/>
        <v>176.833125</v>
      </c>
      <c r="N313">
        <v>0</v>
      </c>
    </row>
    <row r="314" spans="1:14" x14ac:dyDescent="0.25">
      <c r="A314" s="15"/>
      <c r="B314" s="15"/>
      <c r="C314">
        <v>5</v>
      </c>
      <c r="D314">
        <v>390.07</v>
      </c>
      <c r="E314">
        <v>20.53</v>
      </c>
      <c r="F314">
        <v>739.7</v>
      </c>
      <c r="G314">
        <v>1112.5</v>
      </c>
      <c r="H314">
        <v>0</v>
      </c>
      <c r="I314">
        <v>190.8</v>
      </c>
      <c r="J314">
        <v>56</v>
      </c>
      <c r="K314" s="10">
        <v>34.85</v>
      </c>
      <c r="L314" s="2">
        <f t="shared" si="10"/>
        <v>387.15667999999999</v>
      </c>
      <c r="M314" s="2">
        <f t="shared" si="9"/>
        <v>176.833125</v>
      </c>
      <c r="N314">
        <v>0</v>
      </c>
    </row>
    <row r="315" spans="1:14" x14ac:dyDescent="0.25">
      <c r="A315" s="15"/>
      <c r="B315" s="15"/>
      <c r="C315">
        <v>5</v>
      </c>
      <c r="D315">
        <v>390.07</v>
      </c>
      <c r="E315">
        <v>20.53</v>
      </c>
      <c r="F315">
        <v>739.7</v>
      </c>
      <c r="G315">
        <v>1112.5</v>
      </c>
      <c r="H315">
        <v>0</v>
      </c>
      <c r="I315">
        <v>190.8</v>
      </c>
      <c r="J315">
        <v>90</v>
      </c>
      <c r="K315" s="10">
        <v>35.090000000000003</v>
      </c>
      <c r="L315" s="2">
        <f t="shared" si="10"/>
        <v>387.15667999999999</v>
      </c>
      <c r="M315" s="2">
        <f t="shared" si="9"/>
        <v>176.833125</v>
      </c>
      <c r="N315">
        <v>0</v>
      </c>
    </row>
    <row r="316" spans="1:14" x14ac:dyDescent="0.25">
      <c r="A316" s="15"/>
      <c r="B316" s="15"/>
      <c r="C316">
        <v>10</v>
      </c>
      <c r="D316">
        <v>369.54</v>
      </c>
      <c r="E316">
        <v>41.06</v>
      </c>
      <c r="F316">
        <v>739.7</v>
      </c>
      <c r="G316">
        <v>1112.5</v>
      </c>
      <c r="H316">
        <v>0</v>
      </c>
      <c r="I316">
        <v>190.8</v>
      </c>
      <c r="J316">
        <v>14</v>
      </c>
      <c r="K316" s="10">
        <v>24.7</v>
      </c>
      <c r="L316" s="2">
        <f t="shared" si="10"/>
        <v>372.16978000000006</v>
      </c>
      <c r="M316" s="2">
        <f t="shared" si="9"/>
        <v>169.13437500000001</v>
      </c>
      <c r="N316">
        <v>0</v>
      </c>
    </row>
    <row r="317" spans="1:14" x14ac:dyDescent="0.25">
      <c r="A317" s="15"/>
      <c r="B317" s="15"/>
      <c r="C317">
        <v>10</v>
      </c>
      <c r="D317">
        <v>369.54</v>
      </c>
      <c r="E317">
        <v>41.06</v>
      </c>
      <c r="F317">
        <v>739.7</v>
      </c>
      <c r="G317">
        <v>1112.5</v>
      </c>
      <c r="H317">
        <v>0</v>
      </c>
      <c r="I317">
        <v>190.8</v>
      </c>
      <c r="J317">
        <v>56</v>
      </c>
      <c r="K317" s="10">
        <v>33.89</v>
      </c>
      <c r="L317" s="2">
        <f t="shared" si="10"/>
        <v>372.16978000000006</v>
      </c>
      <c r="M317" s="2">
        <f t="shared" si="9"/>
        <v>169.13437500000001</v>
      </c>
      <c r="N317">
        <v>0</v>
      </c>
    </row>
    <row r="318" spans="1:14" x14ac:dyDescent="0.25">
      <c r="A318" s="15"/>
      <c r="B318" s="15"/>
      <c r="C318">
        <v>10</v>
      </c>
      <c r="D318">
        <v>369.54</v>
      </c>
      <c r="E318">
        <v>41.06</v>
      </c>
      <c r="F318">
        <v>739.7</v>
      </c>
      <c r="G318">
        <v>1112.5</v>
      </c>
      <c r="H318">
        <v>0</v>
      </c>
      <c r="I318">
        <v>190.8</v>
      </c>
      <c r="J318">
        <v>90</v>
      </c>
      <c r="K318" s="10">
        <v>37.549999999999997</v>
      </c>
      <c r="L318" s="2">
        <f t="shared" si="10"/>
        <v>372.16978000000006</v>
      </c>
      <c r="M318" s="2">
        <f t="shared" si="9"/>
        <v>169.13437500000001</v>
      </c>
      <c r="N318">
        <v>0</v>
      </c>
    </row>
    <row r="319" spans="1:14" x14ac:dyDescent="0.25">
      <c r="A319" s="15"/>
      <c r="B319" s="15"/>
      <c r="C319">
        <v>15</v>
      </c>
      <c r="D319">
        <v>349.01</v>
      </c>
      <c r="E319">
        <v>61.59</v>
      </c>
      <c r="F319">
        <v>739.7</v>
      </c>
      <c r="G319">
        <v>1112.5</v>
      </c>
      <c r="H319">
        <v>0</v>
      </c>
      <c r="I319">
        <v>190.8</v>
      </c>
      <c r="J319">
        <v>14</v>
      </c>
      <c r="K319" s="10">
        <v>25.65</v>
      </c>
      <c r="L319" s="2">
        <f t="shared" si="10"/>
        <v>357.18288000000001</v>
      </c>
      <c r="M319" s="2">
        <f t="shared" si="9"/>
        <v>161.43562499999999</v>
      </c>
      <c r="N319">
        <v>0</v>
      </c>
    </row>
    <row r="320" spans="1:14" x14ac:dyDescent="0.25">
      <c r="A320" s="15"/>
      <c r="B320" s="15"/>
      <c r="C320">
        <v>15</v>
      </c>
      <c r="D320">
        <v>349.01</v>
      </c>
      <c r="E320">
        <v>61.59</v>
      </c>
      <c r="F320">
        <v>739.7</v>
      </c>
      <c r="G320">
        <v>1112.5</v>
      </c>
      <c r="H320">
        <v>0</v>
      </c>
      <c r="I320">
        <v>190.8</v>
      </c>
      <c r="J320">
        <v>56</v>
      </c>
      <c r="K320" s="10">
        <v>32.369999999999997</v>
      </c>
      <c r="L320" s="2">
        <f t="shared" si="10"/>
        <v>357.18288000000001</v>
      </c>
      <c r="M320" s="2">
        <f t="shared" si="9"/>
        <v>161.43562499999999</v>
      </c>
      <c r="N320">
        <v>0</v>
      </c>
    </row>
    <row r="321" spans="1:14" x14ac:dyDescent="0.25">
      <c r="A321" s="15"/>
      <c r="B321" s="15"/>
      <c r="C321">
        <v>15</v>
      </c>
      <c r="D321">
        <v>349.01</v>
      </c>
      <c r="E321">
        <v>61.59</v>
      </c>
      <c r="F321">
        <v>739.7</v>
      </c>
      <c r="G321">
        <v>1112.5</v>
      </c>
      <c r="H321">
        <v>0</v>
      </c>
      <c r="I321">
        <v>190.8</v>
      </c>
      <c r="J321">
        <v>90</v>
      </c>
      <c r="K321" s="10">
        <v>34.07</v>
      </c>
      <c r="L321" s="2">
        <f t="shared" si="10"/>
        <v>357.18288000000001</v>
      </c>
      <c r="M321" s="2">
        <f t="shared" si="9"/>
        <v>161.43562499999999</v>
      </c>
      <c r="N321">
        <v>0</v>
      </c>
    </row>
    <row r="322" spans="1:14" x14ac:dyDescent="0.25">
      <c r="A322" s="15"/>
      <c r="B322" s="15"/>
      <c r="C322">
        <v>20</v>
      </c>
      <c r="D322">
        <v>328.48</v>
      </c>
      <c r="E322">
        <v>82.12</v>
      </c>
      <c r="F322">
        <v>739.7</v>
      </c>
      <c r="G322">
        <v>1112.5</v>
      </c>
      <c r="H322">
        <v>0</v>
      </c>
      <c r="I322">
        <v>190.8</v>
      </c>
      <c r="J322">
        <v>14</v>
      </c>
      <c r="K322" s="10">
        <v>24.86</v>
      </c>
      <c r="L322" s="2">
        <f t="shared" si="10"/>
        <v>342.19598000000002</v>
      </c>
      <c r="M322" s="2">
        <f t="shared" si="9"/>
        <v>153.73687500000003</v>
      </c>
      <c r="N322">
        <v>0</v>
      </c>
    </row>
    <row r="323" spans="1:14" x14ac:dyDescent="0.25">
      <c r="A323" s="15"/>
      <c r="B323" s="15"/>
      <c r="C323">
        <v>20</v>
      </c>
      <c r="D323">
        <v>328.48</v>
      </c>
      <c r="E323">
        <v>82.12</v>
      </c>
      <c r="F323">
        <v>739.7</v>
      </c>
      <c r="G323">
        <v>1112.5</v>
      </c>
      <c r="H323">
        <v>0</v>
      </c>
      <c r="I323">
        <v>190.8</v>
      </c>
      <c r="J323">
        <v>56</v>
      </c>
      <c r="K323" s="10">
        <v>29.97</v>
      </c>
      <c r="L323" s="2">
        <f t="shared" si="10"/>
        <v>342.19598000000002</v>
      </c>
      <c r="M323" s="2">
        <f t="shared" ref="M323:M386" si="11">SUM((D323*5)+((F323*0.25)+(G323*0.2)+(H323*20)))*0.075</f>
        <v>153.73687500000003</v>
      </c>
      <c r="N323">
        <v>0</v>
      </c>
    </row>
    <row r="324" spans="1:14" x14ac:dyDescent="0.25">
      <c r="A324" s="15"/>
      <c r="B324" s="15"/>
      <c r="C324">
        <v>20</v>
      </c>
      <c r="D324">
        <v>328.48</v>
      </c>
      <c r="E324">
        <v>82.12</v>
      </c>
      <c r="F324">
        <v>739.7</v>
      </c>
      <c r="G324">
        <v>1112.5</v>
      </c>
      <c r="H324">
        <v>0</v>
      </c>
      <c r="I324">
        <v>190.8</v>
      </c>
      <c r="J324">
        <v>90</v>
      </c>
      <c r="K324" s="10">
        <v>37.71</v>
      </c>
      <c r="L324" s="2">
        <f t="shared" si="10"/>
        <v>342.19598000000002</v>
      </c>
      <c r="M324" s="2">
        <f t="shared" si="11"/>
        <v>153.73687500000003</v>
      </c>
      <c r="N324">
        <v>0</v>
      </c>
    </row>
    <row r="325" spans="1:14" x14ac:dyDescent="0.25">
      <c r="A325" s="15"/>
      <c r="B325" s="15"/>
      <c r="C325">
        <v>25</v>
      </c>
      <c r="D325">
        <v>307.95</v>
      </c>
      <c r="E325">
        <v>102.65</v>
      </c>
      <c r="F325">
        <v>739.7</v>
      </c>
      <c r="G325">
        <v>1112.5</v>
      </c>
      <c r="H325">
        <v>0</v>
      </c>
      <c r="I325">
        <v>190.8</v>
      </c>
      <c r="J325">
        <v>14</v>
      </c>
      <c r="K325" s="10">
        <v>20.5</v>
      </c>
      <c r="L325" s="2">
        <f t="shared" si="10"/>
        <v>327.20908000000003</v>
      </c>
      <c r="M325" s="2">
        <f t="shared" si="11"/>
        <v>146.03812499999998</v>
      </c>
      <c r="N325">
        <v>0</v>
      </c>
    </row>
    <row r="326" spans="1:14" x14ac:dyDescent="0.25">
      <c r="A326" s="15"/>
      <c r="B326" s="15"/>
      <c r="C326">
        <v>25</v>
      </c>
      <c r="D326">
        <v>307.95</v>
      </c>
      <c r="E326">
        <v>102.65</v>
      </c>
      <c r="F326">
        <v>739.7</v>
      </c>
      <c r="G326">
        <v>1112.5</v>
      </c>
      <c r="H326">
        <v>0</v>
      </c>
      <c r="I326">
        <v>190.8</v>
      </c>
      <c r="J326">
        <v>56</v>
      </c>
      <c r="K326" s="10">
        <v>26.93</v>
      </c>
      <c r="L326" s="2">
        <f t="shared" si="10"/>
        <v>327.20908000000003</v>
      </c>
      <c r="M326" s="2">
        <f t="shared" si="11"/>
        <v>146.03812499999998</v>
      </c>
      <c r="N326">
        <v>0</v>
      </c>
    </row>
    <row r="327" spans="1:14" x14ac:dyDescent="0.25">
      <c r="A327" s="15"/>
      <c r="B327" s="15"/>
      <c r="C327">
        <v>25</v>
      </c>
      <c r="D327">
        <v>307.95</v>
      </c>
      <c r="E327">
        <v>102.65</v>
      </c>
      <c r="F327">
        <v>739.7</v>
      </c>
      <c r="G327">
        <v>1112.5</v>
      </c>
      <c r="H327">
        <v>0</v>
      </c>
      <c r="I327">
        <v>190.8</v>
      </c>
      <c r="J327">
        <v>90</v>
      </c>
      <c r="K327" s="10">
        <v>31.65</v>
      </c>
      <c r="L327" s="2">
        <f t="shared" si="10"/>
        <v>327.20908000000003</v>
      </c>
      <c r="M327" s="2">
        <f t="shared" si="11"/>
        <v>146.03812499999998</v>
      </c>
      <c r="N327">
        <v>0</v>
      </c>
    </row>
    <row r="328" spans="1:14" x14ac:dyDescent="0.25">
      <c r="A328" s="15"/>
      <c r="B328" s="15"/>
      <c r="C328">
        <v>30</v>
      </c>
      <c r="D328">
        <v>287.42</v>
      </c>
      <c r="E328">
        <v>123.18</v>
      </c>
      <c r="F328">
        <v>739.7</v>
      </c>
      <c r="G328">
        <v>1112.5</v>
      </c>
      <c r="H328">
        <v>0</v>
      </c>
      <c r="I328">
        <v>190.8</v>
      </c>
      <c r="J328">
        <v>14</v>
      </c>
      <c r="K328" s="10">
        <v>23.32</v>
      </c>
      <c r="L328" s="2">
        <f t="shared" si="10"/>
        <v>312.22218000000004</v>
      </c>
      <c r="M328" s="2">
        <f t="shared" si="11"/>
        <v>138.33937499999999</v>
      </c>
      <c r="N328">
        <v>0</v>
      </c>
    </row>
    <row r="329" spans="1:14" x14ac:dyDescent="0.25">
      <c r="A329" s="15"/>
      <c r="B329" s="15"/>
      <c r="C329">
        <v>30</v>
      </c>
      <c r="D329">
        <v>287.42</v>
      </c>
      <c r="E329">
        <v>123.18</v>
      </c>
      <c r="F329">
        <v>739.7</v>
      </c>
      <c r="G329">
        <v>1112.5</v>
      </c>
      <c r="H329">
        <v>0</v>
      </c>
      <c r="I329">
        <v>190.8</v>
      </c>
      <c r="J329">
        <v>56</v>
      </c>
      <c r="K329" s="10">
        <v>27.68</v>
      </c>
      <c r="L329" s="2">
        <f t="shared" si="10"/>
        <v>312.22218000000004</v>
      </c>
      <c r="M329" s="2">
        <f t="shared" si="11"/>
        <v>138.33937499999999</v>
      </c>
      <c r="N329">
        <v>0</v>
      </c>
    </row>
    <row r="330" spans="1:14" x14ac:dyDescent="0.25">
      <c r="A330" s="15"/>
      <c r="B330" s="15"/>
      <c r="C330">
        <v>30</v>
      </c>
      <c r="D330">
        <v>287.42</v>
      </c>
      <c r="E330">
        <v>123.18</v>
      </c>
      <c r="F330">
        <v>739.7</v>
      </c>
      <c r="G330">
        <v>1112.5</v>
      </c>
      <c r="H330">
        <v>0</v>
      </c>
      <c r="I330">
        <v>190.8</v>
      </c>
      <c r="J330">
        <v>90</v>
      </c>
      <c r="K330" s="10">
        <v>31.59</v>
      </c>
      <c r="L330" s="2">
        <f t="shared" si="10"/>
        <v>312.22218000000004</v>
      </c>
      <c r="M330" s="2">
        <f t="shared" si="11"/>
        <v>138.33937499999999</v>
      </c>
      <c r="N330">
        <v>0</v>
      </c>
    </row>
    <row r="331" spans="1:14" x14ac:dyDescent="0.25">
      <c r="A331" s="15"/>
      <c r="B331" s="15"/>
      <c r="C331">
        <v>35</v>
      </c>
      <c r="D331">
        <v>266.89</v>
      </c>
      <c r="E331">
        <v>143.71</v>
      </c>
      <c r="F331">
        <v>739.7</v>
      </c>
      <c r="G331">
        <v>1112.5</v>
      </c>
      <c r="H331">
        <v>0</v>
      </c>
      <c r="I331">
        <v>190.8</v>
      </c>
      <c r="J331">
        <v>14</v>
      </c>
      <c r="K331" s="10">
        <v>24.18</v>
      </c>
      <c r="L331" s="2">
        <f t="shared" si="10"/>
        <v>297.23527999999999</v>
      </c>
      <c r="M331" s="2">
        <f t="shared" si="11"/>
        <v>130.64062499999997</v>
      </c>
      <c r="N331">
        <v>0</v>
      </c>
    </row>
    <row r="332" spans="1:14" x14ac:dyDescent="0.25">
      <c r="A332" s="15"/>
      <c r="B332" s="15"/>
      <c r="C332">
        <v>35</v>
      </c>
      <c r="D332">
        <v>266.89</v>
      </c>
      <c r="E332">
        <v>143.71</v>
      </c>
      <c r="F332">
        <v>739.7</v>
      </c>
      <c r="G332">
        <v>1112.5</v>
      </c>
      <c r="H332">
        <v>0</v>
      </c>
      <c r="I332">
        <v>190.8</v>
      </c>
      <c r="J332">
        <v>56</v>
      </c>
      <c r="K332" s="10">
        <v>29.15</v>
      </c>
      <c r="L332" s="2">
        <f t="shared" si="10"/>
        <v>297.23527999999999</v>
      </c>
      <c r="M332" s="2">
        <f t="shared" si="11"/>
        <v>130.64062499999997</v>
      </c>
      <c r="N332">
        <v>0</v>
      </c>
    </row>
    <row r="333" spans="1:14" x14ac:dyDescent="0.25">
      <c r="A333" s="15"/>
      <c r="B333" s="15"/>
      <c r="C333">
        <v>35</v>
      </c>
      <c r="D333">
        <v>266.89</v>
      </c>
      <c r="E333">
        <v>143.71</v>
      </c>
      <c r="F333">
        <v>739.7</v>
      </c>
      <c r="G333">
        <v>1112.5</v>
      </c>
      <c r="H333">
        <v>0</v>
      </c>
      <c r="I333">
        <v>190.8</v>
      </c>
      <c r="J333">
        <v>90</v>
      </c>
      <c r="K333" s="10">
        <v>29.54</v>
      </c>
      <c r="L333" s="2">
        <f t="shared" si="10"/>
        <v>297.23527999999999</v>
      </c>
      <c r="M333" s="2">
        <f t="shared" si="11"/>
        <v>130.64062499999997</v>
      </c>
      <c r="N333">
        <v>0</v>
      </c>
    </row>
    <row r="334" spans="1:14" x14ac:dyDescent="0.25">
      <c r="A334" s="15"/>
      <c r="B334" s="15"/>
      <c r="C334">
        <v>40</v>
      </c>
      <c r="D334">
        <v>246.36</v>
      </c>
      <c r="E334">
        <v>164.24</v>
      </c>
      <c r="F334">
        <v>739.7</v>
      </c>
      <c r="G334">
        <v>1112.5</v>
      </c>
      <c r="H334">
        <v>0</v>
      </c>
      <c r="I334">
        <v>190.8</v>
      </c>
      <c r="J334">
        <v>14</v>
      </c>
      <c r="K334" s="10">
        <v>20.97</v>
      </c>
      <c r="L334" s="2">
        <f t="shared" si="10"/>
        <v>282.24838000000005</v>
      </c>
      <c r="M334" s="2">
        <f t="shared" si="11"/>
        <v>122.94187500000001</v>
      </c>
      <c r="N334">
        <v>0</v>
      </c>
    </row>
    <row r="335" spans="1:14" x14ac:dyDescent="0.25">
      <c r="A335" s="15"/>
      <c r="B335" s="15"/>
      <c r="C335">
        <v>40</v>
      </c>
      <c r="D335">
        <v>246.36</v>
      </c>
      <c r="E335">
        <v>164.24</v>
      </c>
      <c r="F335">
        <v>739.7</v>
      </c>
      <c r="G335">
        <v>1112.5</v>
      </c>
      <c r="H335">
        <v>0</v>
      </c>
      <c r="I335">
        <v>190.8</v>
      </c>
      <c r="J335">
        <v>56</v>
      </c>
      <c r="K335" s="10">
        <v>23.97</v>
      </c>
      <c r="L335" s="2">
        <f t="shared" si="10"/>
        <v>282.24838000000005</v>
      </c>
      <c r="M335" s="2">
        <f t="shared" si="11"/>
        <v>122.94187500000001</v>
      </c>
      <c r="N335">
        <v>0</v>
      </c>
    </row>
    <row r="336" spans="1:14" x14ac:dyDescent="0.25">
      <c r="A336" s="15"/>
      <c r="B336" s="15"/>
      <c r="C336">
        <v>40</v>
      </c>
      <c r="D336">
        <v>246.36</v>
      </c>
      <c r="E336">
        <v>164.24</v>
      </c>
      <c r="F336">
        <v>739.7</v>
      </c>
      <c r="G336">
        <v>1112.5</v>
      </c>
      <c r="H336">
        <v>0</v>
      </c>
      <c r="I336">
        <v>190.8</v>
      </c>
      <c r="J336">
        <v>90</v>
      </c>
      <c r="K336" s="10">
        <v>24.02</v>
      </c>
      <c r="L336" s="2">
        <f t="shared" si="10"/>
        <v>282.24838000000005</v>
      </c>
      <c r="M336" s="2">
        <f t="shared" si="11"/>
        <v>122.94187500000001</v>
      </c>
      <c r="N336">
        <v>0</v>
      </c>
    </row>
    <row r="337" spans="1:14" x14ac:dyDescent="0.25">
      <c r="A337" s="15"/>
      <c r="B337" s="15"/>
      <c r="C337">
        <v>45</v>
      </c>
      <c r="D337">
        <v>225.83</v>
      </c>
      <c r="E337">
        <v>184.77</v>
      </c>
      <c r="F337">
        <v>739.7</v>
      </c>
      <c r="G337">
        <v>1112.5</v>
      </c>
      <c r="H337">
        <v>0</v>
      </c>
      <c r="I337">
        <v>190.8</v>
      </c>
      <c r="J337">
        <v>14</v>
      </c>
      <c r="K337" s="10">
        <v>21.2</v>
      </c>
      <c r="L337" s="2">
        <f t="shared" si="10"/>
        <v>267.26148000000001</v>
      </c>
      <c r="M337" s="2">
        <f t="shared" si="11"/>
        <v>115.24312499999999</v>
      </c>
      <c r="N337">
        <v>0</v>
      </c>
    </row>
    <row r="338" spans="1:14" x14ac:dyDescent="0.25">
      <c r="A338" s="15"/>
      <c r="B338" s="15"/>
      <c r="C338">
        <v>45</v>
      </c>
      <c r="D338">
        <v>225.83</v>
      </c>
      <c r="E338">
        <v>184.77</v>
      </c>
      <c r="F338">
        <v>739.7</v>
      </c>
      <c r="G338">
        <v>1112.5</v>
      </c>
      <c r="H338">
        <v>0</v>
      </c>
      <c r="I338">
        <v>190.8</v>
      </c>
      <c r="J338">
        <v>56</v>
      </c>
      <c r="K338" s="10">
        <v>23.96</v>
      </c>
      <c r="L338" s="2">
        <f t="shared" si="10"/>
        <v>267.26148000000001</v>
      </c>
      <c r="M338" s="2">
        <f t="shared" si="11"/>
        <v>115.24312499999999</v>
      </c>
      <c r="N338">
        <v>0</v>
      </c>
    </row>
    <row r="339" spans="1:14" x14ac:dyDescent="0.25">
      <c r="A339" s="15"/>
      <c r="B339" s="15"/>
      <c r="C339">
        <v>45</v>
      </c>
      <c r="D339">
        <v>225.83</v>
      </c>
      <c r="E339">
        <v>184.77</v>
      </c>
      <c r="F339">
        <v>739.7</v>
      </c>
      <c r="G339">
        <v>1112.5</v>
      </c>
      <c r="H339">
        <v>0</v>
      </c>
      <c r="I339">
        <v>190.8</v>
      </c>
      <c r="J339">
        <v>90</v>
      </c>
      <c r="K339" s="10">
        <v>28.88</v>
      </c>
      <c r="L339" s="2">
        <f t="shared" si="10"/>
        <v>267.26148000000001</v>
      </c>
      <c r="M339" s="2">
        <f t="shared" si="11"/>
        <v>115.24312499999999</v>
      </c>
      <c r="N339">
        <v>0</v>
      </c>
    </row>
    <row r="340" spans="1:14" x14ac:dyDescent="0.25">
      <c r="A340" s="15"/>
      <c r="B340" s="15"/>
      <c r="C340">
        <v>50</v>
      </c>
      <c r="D340">
        <v>205.3</v>
      </c>
      <c r="E340">
        <v>205.3</v>
      </c>
      <c r="F340">
        <v>739.7</v>
      </c>
      <c r="G340">
        <v>1112.5</v>
      </c>
      <c r="H340">
        <v>0</v>
      </c>
      <c r="I340">
        <v>190.8</v>
      </c>
      <c r="J340">
        <v>14</v>
      </c>
      <c r="K340" s="10">
        <v>19.18</v>
      </c>
      <c r="L340" s="2">
        <f t="shared" si="10"/>
        <v>252.27457999999999</v>
      </c>
      <c r="M340" s="2">
        <f t="shared" si="11"/>
        <v>107.54437499999999</v>
      </c>
      <c r="N340">
        <v>0</v>
      </c>
    </row>
    <row r="341" spans="1:14" x14ac:dyDescent="0.25">
      <c r="A341" s="15"/>
      <c r="B341" s="15"/>
      <c r="C341">
        <v>50</v>
      </c>
      <c r="D341">
        <v>205.3</v>
      </c>
      <c r="E341">
        <v>205.3</v>
      </c>
      <c r="F341">
        <v>739.7</v>
      </c>
      <c r="G341">
        <v>1112.5</v>
      </c>
      <c r="H341">
        <v>0</v>
      </c>
      <c r="I341">
        <v>190.8</v>
      </c>
      <c r="J341">
        <v>56</v>
      </c>
      <c r="K341" s="10">
        <v>24.85</v>
      </c>
      <c r="L341" s="2">
        <f t="shared" si="10"/>
        <v>252.27457999999999</v>
      </c>
      <c r="M341" s="2">
        <f t="shared" si="11"/>
        <v>107.54437499999999</v>
      </c>
      <c r="N341">
        <v>0</v>
      </c>
    </row>
    <row r="342" spans="1:14" x14ac:dyDescent="0.25">
      <c r="A342" s="15"/>
      <c r="B342" s="15"/>
      <c r="C342">
        <v>50</v>
      </c>
      <c r="D342">
        <v>205.3</v>
      </c>
      <c r="E342">
        <v>205.3</v>
      </c>
      <c r="F342">
        <v>739.7</v>
      </c>
      <c r="G342">
        <v>1112.5</v>
      </c>
      <c r="H342">
        <v>0</v>
      </c>
      <c r="I342">
        <v>190.8</v>
      </c>
      <c r="J342">
        <v>90</v>
      </c>
      <c r="K342" s="10">
        <v>25.01</v>
      </c>
      <c r="L342" s="2">
        <f t="shared" ref="L342:L405" si="12">SUM((D342*0.83)+(E342*0.1)+(F342*0.0139)+(G342*0.0459)+(H342*2))</f>
        <v>252.27457999999999</v>
      </c>
      <c r="M342" s="2">
        <f t="shared" si="11"/>
        <v>107.54437499999999</v>
      </c>
      <c r="N342">
        <v>0</v>
      </c>
    </row>
    <row r="343" spans="1:14" x14ac:dyDescent="0.25">
      <c r="A343" s="15" t="s">
        <v>134</v>
      </c>
      <c r="B343" s="15" t="s">
        <v>135</v>
      </c>
      <c r="C343">
        <v>0</v>
      </c>
      <c r="D343">
        <v>484.2</v>
      </c>
      <c r="E343">
        <v>0</v>
      </c>
      <c r="F343">
        <v>651.79999999999995</v>
      </c>
      <c r="G343">
        <v>1131.9000000000001</v>
      </c>
      <c r="H343">
        <v>0</v>
      </c>
      <c r="I343">
        <v>195.3</v>
      </c>
      <c r="J343">
        <v>14</v>
      </c>
      <c r="K343" s="10">
        <v>25.56</v>
      </c>
      <c r="L343" s="2">
        <f t="shared" si="12"/>
        <v>462.90022999999997</v>
      </c>
      <c r="M343" s="2">
        <f t="shared" si="11"/>
        <v>210.77474999999998</v>
      </c>
      <c r="N343">
        <v>0</v>
      </c>
    </row>
    <row r="344" spans="1:14" x14ac:dyDescent="0.25">
      <c r="A344" s="15"/>
      <c r="B344" s="15"/>
      <c r="C344">
        <v>0</v>
      </c>
      <c r="D344">
        <v>484.2</v>
      </c>
      <c r="E344">
        <v>0</v>
      </c>
      <c r="F344">
        <v>651.79999999999995</v>
      </c>
      <c r="G344">
        <v>1131.9000000000001</v>
      </c>
      <c r="H344">
        <v>0</v>
      </c>
      <c r="I344">
        <v>195.3</v>
      </c>
      <c r="J344">
        <v>56</v>
      </c>
      <c r="K344" s="10">
        <v>35.56</v>
      </c>
      <c r="L344" s="2">
        <f t="shared" si="12"/>
        <v>462.90022999999997</v>
      </c>
      <c r="M344" s="2">
        <f t="shared" si="11"/>
        <v>210.77474999999998</v>
      </c>
      <c r="N344">
        <v>0</v>
      </c>
    </row>
    <row r="345" spans="1:14" x14ac:dyDescent="0.25">
      <c r="A345" s="15"/>
      <c r="B345" s="15"/>
      <c r="C345">
        <v>0</v>
      </c>
      <c r="D345">
        <v>484.2</v>
      </c>
      <c r="E345">
        <v>0</v>
      </c>
      <c r="F345">
        <v>651.79999999999995</v>
      </c>
      <c r="G345">
        <v>1131.9000000000001</v>
      </c>
      <c r="H345">
        <v>0</v>
      </c>
      <c r="I345">
        <v>195.3</v>
      </c>
      <c r="J345">
        <v>90</v>
      </c>
      <c r="K345" s="10">
        <v>39.19</v>
      </c>
      <c r="L345" s="2">
        <f t="shared" si="12"/>
        <v>462.90022999999997</v>
      </c>
      <c r="M345" s="2">
        <f t="shared" si="11"/>
        <v>210.77474999999998</v>
      </c>
      <c r="N345">
        <v>0</v>
      </c>
    </row>
    <row r="346" spans="1:14" x14ac:dyDescent="0.25">
      <c r="A346" s="15"/>
      <c r="B346" s="15"/>
      <c r="C346">
        <v>5</v>
      </c>
      <c r="D346">
        <v>459.99</v>
      </c>
      <c r="E346">
        <v>24.21</v>
      </c>
      <c r="F346">
        <v>651.79999999999995</v>
      </c>
      <c r="G346">
        <v>1131.9000000000001</v>
      </c>
      <c r="H346">
        <v>0</v>
      </c>
      <c r="I346">
        <v>195.3</v>
      </c>
      <c r="J346">
        <v>14</v>
      </c>
      <c r="K346" s="10">
        <v>27.89</v>
      </c>
      <c r="L346" s="2">
        <f t="shared" si="12"/>
        <v>445.22692999999998</v>
      </c>
      <c r="M346" s="2">
        <f t="shared" si="11"/>
        <v>201.69599999999997</v>
      </c>
      <c r="N346">
        <v>0</v>
      </c>
    </row>
    <row r="347" spans="1:14" x14ac:dyDescent="0.25">
      <c r="A347" s="15"/>
      <c r="B347" s="15"/>
      <c r="C347">
        <v>5</v>
      </c>
      <c r="D347">
        <v>459.99</v>
      </c>
      <c r="E347">
        <v>24.21</v>
      </c>
      <c r="F347">
        <v>651.79999999999995</v>
      </c>
      <c r="G347">
        <v>1131.9000000000001</v>
      </c>
      <c r="H347">
        <v>0</v>
      </c>
      <c r="I347">
        <v>195.3</v>
      </c>
      <c r="J347">
        <v>56</v>
      </c>
      <c r="K347" s="10">
        <v>32.19</v>
      </c>
      <c r="L347" s="2">
        <f t="shared" si="12"/>
        <v>445.22692999999998</v>
      </c>
      <c r="M347" s="2">
        <f t="shared" si="11"/>
        <v>201.69599999999997</v>
      </c>
      <c r="N347">
        <v>0</v>
      </c>
    </row>
    <row r="348" spans="1:14" x14ac:dyDescent="0.25">
      <c r="A348" s="15"/>
      <c r="B348" s="15"/>
      <c r="C348">
        <v>5</v>
      </c>
      <c r="D348">
        <v>459.99</v>
      </c>
      <c r="E348">
        <v>24.21</v>
      </c>
      <c r="F348">
        <v>651.79999999999995</v>
      </c>
      <c r="G348">
        <v>1131.9000000000001</v>
      </c>
      <c r="H348">
        <v>0</v>
      </c>
      <c r="I348">
        <v>195.3</v>
      </c>
      <c r="J348">
        <v>90</v>
      </c>
      <c r="K348" s="10">
        <v>39.01</v>
      </c>
      <c r="L348" s="2">
        <f t="shared" si="12"/>
        <v>445.22692999999998</v>
      </c>
      <c r="M348" s="2">
        <f t="shared" si="11"/>
        <v>201.69599999999997</v>
      </c>
      <c r="N348">
        <v>0</v>
      </c>
    </row>
    <row r="349" spans="1:14" x14ac:dyDescent="0.25">
      <c r="A349" s="15"/>
      <c r="B349" s="15"/>
      <c r="C349">
        <v>10</v>
      </c>
      <c r="D349">
        <v>435.78</v>
      </c>
      <c r="E349">
        <v>48.42</v>
      </c>
      <c r="F349">
        <v>651.79999999999995</v>
      </c>
      <c r="G349">
        <v>1131.9000000000001</v>
      </c>
      <c r="H349">
        <v>0</v>
      </c>
      <c r="I349">
        <v>195.3</v>
      </c>
      <c r="J349">
        <v>14</v>
      </c>
      <c r="K349" s="10">
        <v>27.79</v>
      </c>
      <c r="L349" s="2">
        <f t="shared" si="12"/>
        <v>427.55362999999994</v>
      </c>
      <c r="M349" s="2">
        <f t="shared" si="11"/>
        <v>192.61724999999996</v>
      </c>
      <c r="N349">
        <v>0</v>
      </c>
    </row>
    <row r="350" spans="1:14" x14ac:dyDescent="0.25">
      <c r="A350" s="15"/>
      <c r="B350" s="15"/>
      <c r="C350">
        <v>10</v>
      </c>
      <c r="D350">
        <v>435.78</v>
      </c>
      <c r="E350">
        <v>48.42</v>
      </c>
      <c r="F350">
        <v>651.79999999999995</v>
      </c>
      <c r="G350">
        <v>1131.9000000000001</v>
      </c>
      <c r="H350">
        <v>0</v>
      </c>
      <c r="I350">
        <v>195.3</v>
      </c>
      <c r="J350">
        <v>56</v>
      </c>
      <c r="K350" s="10">
        <v>29.52</v>
      </c>
      <c r="L350" s="2">
        <f t="shared" si="12"/>
        <v>427.55362999999994</v>
      </c>
      <c r="M350" s="2">
        <f t="shared" si="11"/>
        <v>192.61724999999996</v>
      </c>
      <c r="N350">
        <v>0</v>
      </c>
    </row>
    <row r="351" spans="1:14" x14ac:dyDescent="0.25">
      <c r="A351" s="15"/>
      <c r="B351" s="15"/>
      <c r="C351">
        <v>10</v>
      </c>
      <c r="D351">
        <v>435.78</v>
      </c>
      <c r="E351">
        <v>48.42</v>
      </c>
      <c r="F351">
        <v>651.79999999999995</v>
      </c>
      <c r="G351">
        <v>1131.9000000000001</v>
      </c>
      <c r="H351">
        <v>0</v>
      </c>
      <c r="I351">
        <v>195.3</v>
      </c>
      <c r="J351">
        <v>90</v>
      </c>
      <c r="K351" s="10">
        <v>32.06</v>
      </c>
      <c r="L351" s="2">
        <f t="shared" si="12"/>
        <v>427.55362999999994</v>
      </c>
      <c r="M351" s="2">
        <f t="shared" si="11"/>
        <v>192.61724999999996</v>
      </c>
      <c r="N351">
        <v>0</v>
      </c>
    </row>
    <row r="352" spans="1:14" x14ac:dyDescent="0.25">
      <c r="A352" s="15"/>
      <c r="B352" s="15"/>
      <c r="C352">
        <v>15</v>
      </c>
      <c r="D352">
        <v>411.57</v>
      </c>
      <c r="E352">
        <v>72.63</v>
      </c>
      <c r="F352">
        <v>651.79999999999995</v>
      </c>
      <c r="G352">
        <v>1131.9000000000001</v>
      </c>
      <c r="H352">
        <v>0</v>
      </c>
      <c r="I352">
        <v>195.3</v>
      </c>
      <c r="J352">
        <v>14</v>
      </c>
      <c r="K352" s="10">
        <v>24.32</v>
      </c>
      <c r="L352" s="2">
        <f t="shared" si="12"/>
        <v>409.88032999999996</v>
      </c>
      <c r="M352" s="2">
        <f t="shared" si="11"/>
        <v>183.53849999999997</v>
      </c>
      <c r="N352">
        <v>0</v>
      </c>
    </row>
    <row r="353" spans="1:14" x14ac:dyDescent="0.25">
      <c r="A353" s="15"/>
      <c r="B353" s="15"/>
      <c r="C353">
        <v>15</v>
      </c>
      <c r="D353">
        <v>411.57</v>
      </c>
      <c r="E353">
        <v>72.63</v>
      </c>
      <c r="F353">
        <v>651.79999999999995</v>
      </c>
      <c r="G353">
        <v>1131.9000000000001</v>
      </c>
      <c r="H353">
        <v>0</v>
      </c>
      <c r="I353">
        <v>195.3</v>
      </c>
      <c r="J353">
        <v>56</v>
      </c>
      <c r="K353" s="10">
        <v>31.49</v>
      </c>
      <c r="L353" s="2">
        <f t="shared" si="12"/>
        <v>409.88032999999996</v>
      </c>
      <c r="M353" s="2">
        <f t="shared" si="11"/>
        <v>183.53849999999997</v>
      </c>
      <c r="N353">
        <v>0</v>
      </c>
    </row>
    <row r="354" spans="1:14" x14ac:dyDescent="0.25">
      <c r="A354" s="15"/>
      <c r="B354" s="15"/>
      <c r="C354">
        <v>15</v>
      </c>
      <c r="D354">
        <v>411.57</v>
      </c>
      <c r="E354">
        <v>72.63</v>
      </c>
      <c r="F354">
        <v>651.79999999999995</v>
      </c>
      <c r="G354">
        <v>1131.9000000000001</v>
      </c>
      <c r="H354">
        <v>0</v>
      </c>
      <c r="I354">
        <v>195.3</v>
      </c>
      <c r="J354">
        <v>90</v>
      </c>
      <c r="K354" s="10">
        <v>32</v>
      </c>
      <c r="L354" s="2">
        <f t="shared" si="12"/>
        <v>409.88032999999996</v>
      </c>
      <c r="M354" s="2">
        <f t="shared" si="11"/>
        <v>183.53849999999997</v>
      </c>
      <c r="N354">
        <v>0</v>
      </c>
    </row>
    <row r="355" spans="1:14" x14ac:dyDescent="0.25">
      <c r="A355" s="15"/>
      <c r="B355" s="15"/>
      <c r="C355">
        <v>20</v>
      </c>
      <c r="D355">
        <v>387.36</v>
      </c>
      <c r="E355">
        <v>96.84</v>
      </c>
      <c r="F355">
        <v>651.79999999999995</v>
      </c>
      <c r="G355">
        <v>1131.9000000000001</v>
      </c>
      <c r="H355">
        <v>0</v>
      </c>
      <c r="I355">
        <v>195.3</v>
      </c>
      <c r="J355">
        <v>14</v>
      </c>
      <c r="K355" s="10">
        <v>25.4</v>
      </c>
      <c r="L355" s="2">
        <f t="shared" si="12"/>
        <v>392.20703000000003</v>
      </c>
      <c r="M355" s="2">
        <f t="shared" si="11"/>
        <v>174.45975000000001</v>
      </c>
      <c r="N355">
        <v>0</v>
      </c>
    </row>
    <row r="356" spans="1:14" x14ac:dyDescent="0.25">
      <c r="A356" s="15"/>
      <c r="B356" s="15"/>
      <c r="C356">
        <v>20</v>
      </c>
      <c r="D356">
        <v>387.36</v>
      </c>
      <c r="E356">
        <v>96.84</v>
      </c>
      <c r="F356">
        <v>651.79999999999995</v>
      </c>
      <c r="G356">
        <v>1131.9000000000001</v>
      </c>
      <c r="H356">
        <v>0</v>
      </c>
      <c r="I356">
        <v>195.3</v>
      </c>
      <c r="J356">
        <v>56</v>
      </c>
      <c r="K356" s="10">
        <v>30.95</v>
      </c>
      <c r="L356" s="2">
        <f t="shared" si="12"/>
        <v>392.20703000000003</v>
      </c>
      <c r="M356" s="2">
        <f t="shared" si="11"/>
        <v>174.45975000000001</v>
      </c>
      <c r="N356">
        <v>0</v>
      </c>
    </row>
    <row r="357" spans="1:14" x14ac:dyDescent="0.25">
      <c r="A357" s="15"/>
      <c r="B357" s="15"/>
      <c r="C357">
        <v>20</v>
      </c>
      <c r="D357">
        <v>387.36</v>
      </c>
      <c r="E357">
        <v>96.84</v>
      </c>
      <c r="F357">
        <v>651.79999999999995</v>
      </c>
      <c r="G357">
        <v>1131.9000000000001</v>
      </c>
      <c r="H357">
        <v>0</v>
      </c>
      <c r="I357">
        <v>195.3</v>
      </c>
      <c r="J357">
        <v>90</v>
      </c>
      <c r="K357" s="10">
        <v>32.78</v>
      </c>
      <c r="L357" s="2">
        <f t="shared" si="12"/>
        <v>392.20703000000003</v>
      </c>
      <c r="M357" s="2">
        <f t="shared" si="11"/>
        <v>174.45975000000001</v>
      </c>
      <c r="N357">
        <v>0</v>
      </c>
    </row>
    <row r="358" spans="1:14" x14ac:dyDescent="0.25">
      <c r="A358" s="15"/>
      <c r="B358" s="15"/>
      <c r="C358">
        <v>25</v>
      </c>
      <c r="D358">
        <v>363.15</v>
      </c>
      <c r="E358">
        <v>121.05</v>
      </c>
      <c r="F358">
        <v>651.79999999999995</v>
      </c>
      <c r="G358">
        <v>1131.9000000000001</v>
      </c>
      <c r="H358">
        <v>0</v>
      </c>
      <c r="I358">
        <v>195.3</v>
      </c>
      <c r="J358">
        <v>14</v>
      </c>
      <c r="K358" s="10">
        <v>21.88</v>
      </c>
      <c r="L358" s="2">
        <f t="shared" si="12"/>
        <v>374.53372999999999</v>
      </c>
      <c r="M358" s="2">
        <f t="shared" si="11"/>
        <v>165.381</v>
      </c>
      <c r="N358">
        <v>0</v>
      </c>
    </row>
    <row r="359" spans="1:14" x14ac:dyDescent="0.25">
      <c r="A359" s="15"/>
      <c r="B359" s="15"/>
      <c r="C359">
        <v>25</v>
      </c>
      <c r="D359">
        <v>363.15</v>
      </c>
      <c r="E359">
        <v>121.05</v>
      </c>
      <c r="F359">
        <v>651.79999999999995</v>
      </c>
      <c r="G359">
        <v>1131.9000000000001</v>
      </c>
      <c r="H359">
        <v>0</v>
      </c>
      <c r="I359">
        <v>195.3</v>
      </c>
      <c r="J359">
        <v>56</v>
      </c>
      <c r="K359" s="10">
        <v>29.93</v>
      </c>
      <c r="L359" s="2">
        <f t="shared" si="12"/>
        <v>374.53372999999999</v>
      </c>
      <c r="M359" s="2">
        <f t="shared" si="11"/>
        <v>165.381</v>
      </c>
      <c r="N359">
        <v>0</v>
      </c>
    </row>
    <row r="360" spans="1:14" x14ac:dyDescent="0.25">
      <c r="A360" s="15"/>
      <c r="B360" s="15"/>
      <c r="C360">
        <v>25</v>
      </c>
      <c r="D360">
        <v>363.15</v>
      </c>
      <c r="E360">
        <v>121.05</v>
      </c>
      <c r="F360">
        <v>651.79999999999995</v>
      </c>
      <c r="G360">
        <v>1131.9000000000001</v>
      </c>
      <c r="H360">
        <v>0</v>
      </c>
      <c r="I360">
        <v>195.3</v>
      </c>
      <c r="J360">
        <v>90</v>
      </c>
      <c r="K360" s="10">
        <v>27.68</v>
      </c>
      <c r="L360" s="2">
        <f t="shared" si="12"/>
        <v>374.53372999999999</v>
      </c>
      <c r="M360" s="2">
        <f t="shared" si="11"/>
        <v>165.381</v>
      </c>
      <c r="N360">
        <v>0</v>
      </c>
    </row>
    <row r="361" spans="1:14" x14ac:dyDescent="0.25">
      <c r="A361" s="15"/>
      <c r="B361" s="15"/>
      <c r="C361">
        <v>30</v>
      </c>
      <c r="D361">
        <v>338.94</v>
      </c>
      <c r="E361">
        <v>145.26</v>
      </c>
      <c r="F361">
        <v>651.79999999999995</v>
      </c>
      <c r="G361">
        <v>1131.9000000000001</v>
      </c>
      <c r="H361">
        <v>0</v>
      </c>
      <c r="I361">
        <v>195.3</v>
      </c>
      <c r="J361">
        <v>14</v>
      </c>
      <c r="K361" s="10">
        <v>26.97</v>
      </c>
      <c r="L361" s="2">
        <f t="shared" si="12"/>
        <v>356.86043000000001</v>
      </c>
      <c r="M361" s="2">
        <f t="shared" si="11"/>
        <v>156.30225000000002</v>
      </c>
      <c r="N361">
        <v>0</v>
      </c>
    </row>
    <row r="362" spans="1:14" x14ac:dyDescent="0.25">
      <c r="A362" s="15"/>
      <c r="B362" s="15"/>
      <c r="C362">
        <v>30</v>
      </c>
      <c r="D362">
        <v>338.94</v>
      </c>
      <c r="E362">
        <v>145.26</v>
      </c>
      <c r="F362">
        <v>651.79999999999995</v>
      </c>
      <c r="G362">
        <v>1131.9000000000001</v>
      </c>
      <c r="H362">
        <v>0</v>
      </c>
      <c r="I362">
        <v>195.3</v>
      </c>
      <c r="J362">
        <v>56</v>
      </c>
      <c r="K362" s="10">
        <v>26.65</v>
      </c>
      <c r="L362" s="2">
        <f t="shared" si="12"/>
        <v>356.86043000000001</v>
      </c>
      <c r="M362" s="2">
        <f t="shared" si="11"/>
        <v>156.30225000000002</v>
      </c>
      <c r="N362">
        <v>0</v>
      </c>
    </row>
    <row r="363" spans="1:14" x14ac:dyDescent="0.25">
      <c r="A363" s="15"/>
      <c r="B363" s="15"/>
      <c r="C363">
        <v>30</v>
      </c>
      <c r="D363">
        <v>338.94</v>
      </c>
      <c r="E363">
        <v>145.26</v>
      </c>
      <c r="F363">
        <v>651.79999999999995</v>
      </c>
      <c r="G363">
        <v>1131.9000000000001</v>
      </c>
      <c r="H363">
        <v>0</v>
      </c>
      <c r="I363">
        <v>195.3</v>
      </c>
      <c r="J363">
        <v>90</v>
      </c>
      <c r="K363" s="10">
        <v>27.56</v>
      </c>
      <c r="L363" s="2">
        <f t="shared" si="12"/>
        <v>356.86043000000001</v>
      </c>
      <c r="M363" s="2">
        <f t="shared" si="11"/>
        <v>156.30225000000002</v>
      </c>
      <c r="N363">
        <v>0</v>
      </c>
    </row>
    <row r="364" spans="1:14" x14ac:dyDescent="0.25">
      <c r="A364" s="15"/>
      <c r="B364" s="15"/>
      <c r="C364">
        <v>35</v>
      </c>
      <c r="D364">
        <v>314.73</v>
      </c>
      <c r="E364">
        <v>169.47</v>
      </c>
      <c r="F364">
        <v>651.79999999999995</v>
      </c>
      <c r="G364">
        <v>1131.9000000000001</v>
      </c>
      <c r="H364">
        <v>0</v>
      </c>
      <c r="I364">
        <v>195.3</v>
      </c>
      <c r="J364">
        <v>14</v>
      </c>
      <c r="K364" s="10">
        <v>23.67</v>
      </c>
      <c r="L364" s="2">
        <f t="shared" si="12"/>
        <v>339.18713000000002</v>
      </c>
      <c r="M364" s="2">
        <f t="shared" si="11"/>
        <v>147.2235</v>
      </c>
      <c r="N364">
        <v>0</v>
      </c>
    </row>
    <row r="365" spans="1:14" x14ac:dyDescent="0.25">
      <c r="A365" s="15"/>
      <c r="B365" s="15"/>
      <c r="C365">
        <v>35</v>
      </c>
      <c r="D365">
        <v>314.73</v>
      </c>
      <c r="E365">
        <v>169.47</v>
      </c>
      <c r="F365">
        <v>651.79999999999995</v>
      </c>
      <c r="G365">
        <v>1131.9000000000001</v>
      </c>
      <c r="H365">
        <v>0</v>
      </c>
      <c r="I365">
        <v>195.3</v>
      </c>
      <c r="J365">
        <v>56</v>
      </c>
      <c r="K365" s="10">
        <v>23.95</v>
      </c>
      <c r="L365" s="2">
        <f t="shared" si="12"/>
        <v>339.18713000000002</v>
      </c>
      <c r="M365" s="2">
        <f t="shared" si="11"/>
        <v>147.2235</v>
      </c>
      <c r="N365">
        <v>0</v>
      </c>
    </row>
    <row r="366" spans="1:14" x14ac:dyDescent="0.25">
      <c r="A366" s="15"/>
      <c r="B366" s="15"/>
      <c r="C366">
        <v>35</v>
      </c>
      <c r="D366">
        <v>314.73</v>
      </c>
      <c r="E366">
        <v>169.47</v>
      </c>
      <c r="F366">
        <v>651.79999999999995</v>
      </c>
      <c r="G366">
        <v>1131.9000000000001</v>
      </c>
      <c r="H366">
        <v>0</v>
      </c>
      <c r="I366">
        <v>195.3</v>
      </c>
      <c r="J366">
        <v>90</v>
      </c>
      <c r="K366" s="10">
        <v>28.81</v>
      </c>
      <c r="L366" s="2">
        <f t="shared" si="12"/>
        <v>339.18713000000002</v>
      </c>
      <c r="M366" s="2">
        <f t="shared" si="11"/>
        <v>147.2235</v>
      </c>
      <c r="N366">
        <v>0</v>
      </c>
    </row>
    <row r="367" spans="1:14" x14ac:dyDescent="0.25">
      <c r="A367" s="15"/>
      <c r="B367" s="15"/>
      <c r="C367">
        <v>40</v>
      </c>
      <c r="D367">
        <v>290.52</v>
      </c>
      <c r="E367">
        <v>193.68</v>
      </c>
      <c r="F367">
        <v>651.79999999999995</v>
      </c>
      <c r="G367">
        <v>1131.9000000000001</v>
      </c>
      <c r="H367">
        <v>0</v>
      </c>
      <c r="I367">
        <v>195.3</v>
      </c>
      <c r="J367">
        <v>14</v>
      </c>
      <c r="K367" s="10">
        <v>24.13</v>
      </c>
      <c r="L367" s="2">
        <f t="shared" si="12"/>
        <v>321.51382999999998</v>
      </c>
      <c r="M367" s="2">
        <f t="shared" si="11"/>
        <v>138.14474999999999</v>
      </c>
      <c r="N367">
        <v>0</v>
      </c>
    </row>
    <row r="368" spans="1:14" x14ac:dyDescent="0.25">
      <c r="A368" s="15"/>
      <c r="B368" s="15"/>
      <c r="C368">
        <v>40</v>
      </c>
      <c r="D368">
        <v>290.52</v>
      </c>
      <c r="E368">
        <v>193.68</v>
      </c>
      <c r="F368">
        <v>651.79999999999995</v>
      </c>
      <c r="G368">
        <v>1131.9000000000001</v>
      </c>
      <c r="H368">
        <v>0</v>
      </c>
      <c r="I368">
        <v>195.3</v>
      </c>
      <c r="J368">
        <v>56</v>
      </c>
      <c r="K368" s="10">
        <v>25.14</v>
      </c>
      <c r="L368" s="2">
        <f t="shared" si="12"/>
        <v>321.51382999999998</v>
      </c>
      <c r="M368" s="2">
        <f t="shared" si="11"/>
        <v>138.14474999999999</v>
      </c>
      <c r="N368">
        <v>0</v>
      </c>
    </row>
    <row r="369" spans="1:14" x14ac:dyDescent="0.25">
      <c r="A369" s="15"/>
      <c r="B369" s="15"/>
      <c r="C369">
        <v>40</v>
      </c>
      <c r="D369">
        <v>290.52</v>
      </c>
      <c r="E369">
        <v>193.68</v>
      </c>
      <c r="F369">
        <v>651.79999999999995</v>
      </c>
      <c r="G369">
        <v>1131.9000000000001</v>
      </c>
      <c r="H369">
        <v>0</v>
      </c>
      <c r="I369">
        <v>195.3</v>
      </c>
      <c r="J369">
        <v>90</v>
      </c>
      <c r="K369" s="10">
        <v>27.61</v>
      </c>
      <c r="L369" s="2">
        <f t="shared" si="12"/>
        <v>321.51382999999998</v>
      </c>
      <c r="M369" s="2">
        <f t="shared" si="11"/>
        <v>138.14474999999999</v>
      </c>
      <c r="N369">
        <v>0</v>
      </c>
    </row>
    <row r="370" spans="1:14" x14ac:dyDescent="0.25">
      <c r="A370" s="15"/>
      <c r="B370" s="15"/>
      <c r="C370">
        <v>45</v>
      </c>
      <c r="D370">
        <v>266.31</v>
      </c>
      <c r="E370">
        <v>217.89</v>
      </c>
      <c r="F370">
        <v>651.79999999999995</v>
      </c>
      <c r="G370">
        <v>1131.9000000000001</v>
      </c>
      <c r="H370">
        <v>0</v>
      </c>
      <c r="I370">
        <v>195.3</v>
      </c>
      <c r="J370">
        <v>14</v>
      </c>
      <c r="K370" s="10">
        <v>19.579999999999998</v>
      </c>
      <c r="L370" s="2">
        <f t="shared" si="12"/>
        <v>303.84053</v>
      </c>
      <c r="M370" s="2">
        <f t="shared" si="11"/>
        <v>129.066</v>
      </c>
      <c r="N370">
        <v>0</v>
      </c>
    </row>
    <row r="371" spans="1:14" x14ac:dyDescent="0.25">
      <c r="A371" s="15"/>
      <c r="B371" s="15"/>
      <c r="C371">
        <v>45</v>
      </c>
      <c r="D371">
        <v>266.31</v>
      </c>
      <c r="E371">
        <v>217.89</v>
      </c>
      <c r="F371">
        <v>651.79999999999995</v>
      </c>
      <c r="G371">
        <v>1131.9000000000001</v>
      </c>
      <c r="H371">
        <v>0</v>
      </c>
      <c r="I371">
        <v>195.3</v>
      </c>
      <c r="J371">
        <v>56</v>
      </c>
      <c r="K371" s="10">
        <v>24.28</v>
      </c>
      <c r="L371" s="2">
        <f t="shared" si="12"/>
        <v>303.84053</v>
      </c>
      <c r="M371" s="2">
        <f t="shared" si="11"/>
        <v>129.066</v>
      </c>
      <c r="N371">
        <v>0</v>
      </c>
    </row>
    <row r="372" spans="1:14" x14ac:dyDescent="0.25">
      <c r="A372" s="15"/>
      <c r="B372" s="15"/>
      <c r="C372">
        <v>45</v>
      </c>
      <c r="D372">
        <v>266.31</v>
      </c>
      <c r="E372">
        <v>217.89</v>
      </c>
      <c r="F372">
        <v>651.79999999999995</v>
      </c>
      <c r="G372">
        <v>1131.9000000000001</v>
      </c>
      <c r="H372">
        <v>0</v>
      </c>
      <c r="I372">
        <v>195.3</v>
      </c>
      <c r="J372">
        <v>90</v>
      </c>
      <c r="K372" s="10">
        <v>26.99</v>
      </c>
      <c r="L372" s="2">
        <f t="shared" si="12"/>
        <v>303.84053</v>
      </c>
      <c r="M372" s="2">
        <f t="shared" si="11"/>
        <v>129.066</v>
      </c>
      <c r="N372">
        <v>0</v>
      </c>
    </row>
    <row r="373" spans="1:14" x14ac:dyDescent="0.25">
      <c r="A373" s="15"/>
      <c r="B373" s="15"/>
      <c r="C373">
        <v>50</v>
      </c>
      <c r="D373">
        <v>242.1</v>
      </c>
      <c r="E373">
        <v>242.1</v>
      </c>
      <c r="F373">
        <v>651.79999999999995</v>
      </c>
      <c r="G373">
        <v>1131.9000000000001</v>
      </c>
      <c r="H373">
        <v>0</v>
      </c>
      <c r="I373">
        <v>195.3</v>
      </c>
      <c r="J373">
        <v>14</v>
      </c>
      <c r="K373" s="10">
        <v>22.15</v>
      </c>
      <c r="L373" s="2">
        <f t="shared" si="12"/>
        <v>286.16723000000002</v>
      </c>
      <c r="M373" s="2">
        <f t="shared" si="11"/>
        <v>119.98724999999999</v>
      </c>
      <c r="N373">
        <v>0</v>
      </c>
    </row>
    <row r="374" spans="1:14" x14ac:dyDescent="0.25">
      <c r="A374" s="15"/>
      <c r="B374" s="15"/>
      <c r="C374">
        <v>50</v>
      </c>
      <c r="D374">
        <v>242.1</v>
      </c>
      <c r="E374">
        <v>242.1</v>
      </c>
      <c r="F374">
        <v>651.79999999999995</v>
      </c>
      <c r="G374">
        <v>1131.9000000000001</v>
      </c>
      <c r="H374">
        <v>0</v>
      </c>
      <c r="I374">
        <v>195.3</v>
      </c>
      <c r="J374">
        <v>56</v>
      </c>
      <c r="K374" s="10">
        <v>24.45</v>
      </c>
      <c r="L374" s="2">
        <f t="shared" si="12"/>
        <v>286.16723000000002</v>
      </c>
      <c r="M374" s="2">
        <f t="shared" si="11"/>
        <v>119.98724999999999</v>
      </c>
      <c r="N374">
        <v>0</v>
      </c>
    </row>
    <row r="375" spans="1:14" x14ac:dyDescent="0.25">
      <c r="A375" s="15"/>
      <c r="B375" s="15"/>
      <c r="C375">
        <v>50</v>
      </c>
      <c r="D375">
        <v>242.1</v>
      </c>
      <c r="E375">
        <v>242.1</v>
      </c>
      <c r="F375">
        <v>651.79999999999995</v>
      </c>
      <c r="G375">
        <v>1131.9000000000001</v>
      </c>
      <c r="H375">
        <v>0</v>
      </c>
      <c r="I375">
        <v>195.3</v>
      </c>
      <c r="J375">
        <v>90</v>
      </c>
      <c r="K375" s="10">
        <v>27.1</v>
      </c>
      <c r="L375" s="2">
        <f t="shared" si="12"/>
        <v>286.16723000000002</v>
      </c>
      <c r="M375" s="2">
        <f t="shared" si="11"/>
        <v>119.98724999999999</v>
      </c>
      <c r="N375">
        <v>0</v>
      </c>
    </row>
    <row r="376" spans="1:14" x14ac:dyDescent="0.25">
      <c r="A376" s="15" t="s">
        <v>136</v>
      </c>
      <c r="B376" s="15" t="s">
        <v>122</v>
      </c>
      <c r="C376">
        <v>0</v>
      </c>
      <c r="D376">
        <v>532.79999999999995</v>
      </c>
      <c r="E376">
        <v>0</v>
      </c>
      <c r="F376">
        <v>651.1</v>
      </c>
      <c r="G376">
        <v>1123.2</v>
      </c>
      <c r="H376">
        <v>0</v>
      </c>
      <c r="I376">
        <v>181.7</v>
      </c>
      <c r="J376">
        <v>14</v>
      </c>
      <c r="K376" s="10">
        <v>27.64</v>
      </c>
      <c r="L376" s="2">
        <f t="shared" si="12"/>
        <v>502.82916999999998</v>
      </c>
      <c r="M376" s="2">
        <f t="shared" si="11"/>
        <v>228.85612499999999</v>
      </c>
      <c r="N376">
        <v>0</v>
      </c>
    </row>
    <row r="377" spans="1:14" x14ac:dyDescent="0.25">
      <c r="A377" s="15"/>
      <c r="B377" s="15"/>
      <c r="C377">
        <v>0</v>
      </c>
      <c r="D377">
        <v>532.79999999999995</v>
      </c>
      <c r="E377">
        <v>0</v>
      </c>
      <c r="F377">
        <v>651.1</v>
      </c>
      <c r="G377">
        <v>1123.2</v>
      </c>
      <c r="H377">
        <v>0</v>
      </c>
      <c r="I377">
        <v>181.7</v>
      </c>
      <c r="J377">
        <v>28</v>
      </c>
      <c r="K377" s="10">
        <v>31.48</v>
      </c>
      <c r="L377" s="2">
        <f t="shared" si="12"/>
        <v>502.82916999999998</v>
      </c>
      <c r="M377" s="2">
        <f t="shared" si="11"/>
        <v>228.85612499999999</v>
      </c>
      <c r="N377">
        <v>0</v>
      </c>
    </row>
    <row r="378" spans="1:14" x14ac:dyDescent="0.25">
      <c r="A378" s="15"/>
      <c r="B378" s="15"/>
      <c r="C378">
        <v>0</v>
      </c>
      <c r="D378">
        <v>532.79999999999995</v>
      </c>
      <c r="E378">
        <v>0</v>
      </c>
      <c r="F378">
        <v>651.1</v>
      </c>
      <c r="G378">
        <v>1123.2</v>
      </c>
      <c r="H378">
        <v>0</v>
      </c>
      <c r="I378">
        <v>181.7</v>
      </c>
      <c r="J378">
        <v>56</v>
      </c>
      <c r="K378" s="10">
        <v>33.65</v>
      </c>
      <c r="L378" s="2">
        <f t="shared" si="12"/>
        <v>502.82916999999998</v>
      </c>
      <c r="M378" s="2">
        <f t="shared" si="11"/>
        <v>228.85612499999999</v>
      </c>
      <c r="N378">
        <v>0</v>
      </c>
    </row>
    <row r="379" spans="1:14" x14ac:dyDescent="0.25">
      <c r="A379" s="15"/>
      <c r="B379" s="15"/>
      <c r="C379">
        <v>0</v>
      </c>
      <c r="D379">
        <v>532.79999999999995</v>
      </c>
      <c r="E379">
        <v>0</v>
      </c>
      <c r="F379">
        <v>651.1</v>
      </c>
      <c r="G379">
        <v>1123.2</v>
      </c>
      <c r="H379">
        <v>0</v>
      </c>
      <c r="I379">
        <v>181.7</v>
      </c>
      <c r="J379">
        <v>90</v>
      </c>
      <c r="K379" s="10">
        <v>38.229999999999997</v>
      </c>
      <c r="L379" s="2">
        <f t="shared" si="12"/>
        <v>502.82916999999998</v>
      </c>
      <c r="M379" s="2">
        <f t="shared" si="11"/>
        <v>228.85612499999999</v>
      </c>
      <c r="N379">
        <v>0</v>
      </c>
    </row>
    <row r="380" spans="1:14" x14ac:dyDescent="0.25">
      <c r="A380" s="15"/>
      <c r="B380" s="15"/>
      <c r="C380">
        <v>5</v>
      </c>
      <c r="D380">
        <v>506.16</v>
      </c>
      <c r="E380">
        <v>26.64</v>
      </c>
      <c r="F380">
        <v>651.1</v>
      </c>
      <c r="G380">
        <v>1123.2</v>
      </c>
      <c r="H380">
        <v>0</v>
      </c>
      <c r="I380">
        <v>181.7</v>
      </c>
      <c r="J380">
        <v>14</v>
      </c>
      <c r="K380" s="10">
        <v>28.28</v>
      </c>
      <c r="L380" s="2">
        <f t="shared" si="12"/>
        <v>483.38197000000002</v>
      </c>
      <c r="M380" s="2">
        <f t="shared" si="11"/>
        <v>218.86612500000001</v>
      </c>
      <c r="N380">
        <v>0</v>
      </c>
    </row>
    <row r="381" spans="1:14" x14ac:dyDescent="0.25">
      <c r="A381" s="15"/>
      <c r="B381" s="15"/>
      <c r="C381">
        <v>5</v>
      </c>
      <c r="D381">
        <v>506.16</v>
      </c>
      <c r="E381">
        <v>26.64</v>
      </c>
      <c r="F381">
        <v>651.1</v>
      </c>
      <c r="G381">
        <v>1123.2</v>
      </c>
      <c r="H381">
        <v>0</v>
      </c>
      <c r="I381">
        <v>181.7</v>
      </c>
      <c r="J381">
        <v>28</v>
      </c>
      <c r="K381" s="10">
        <v>28.89</v>
      </c>
      <c r="L381" s="2">
        <f t="shared" si="12"/>
        <v>483.38197000000002</v>
      </c>
      <c r="M381" s="2">
        <f t="shared" si="11"/>
        <v>218.86612500000001</v>
      </c>
      <c r="N381">
        <v>0</v>
      </c>
    </row>
    <row r="382" spans="1:14" x14ac:dyDescent="0.25">
      <c r="A382" s="15"/>
      <c r="B382" s="15"/>
      <c r="C382">
        <v>5</v>
      </c>
      <c r="D382">
        <v>506.16</v>
      </c>
      <c r="E382">
        <v>26.64</v>
      </c>
      <c r="F382">
        <v>651.1</v>
      </c>
      <c r="G382">
        <v>1123.2</v>
      </c>
      <c r="H382">
        <v>0</v>
      </c>
      <c r="I382">
        <v>181.7</v>
      </c>
      <c r="J382">
        <v>56</v>
      </c>
      <c r="K382" s="10">
        <v>37.92</v>
      </c>
      <c r="L382" s="2">
        <f t="shared" si="12"/>
        <v>483.38197000000002</v>
      </c>
      <c r="M382" s="2">
        <f t="shared" si="11"/>
        <v>218.86612500000001</v>
      </c>
      <c r="N382">
        <v>0</v>
      </c>
    </row>
    <row r="383" spans="1:14" x14ac:dyDescent="0.25">
      <c r="A383" s="15"/>
      <c r="B383" s="15"/>
      <c r="C383">
        <v>5</v>
      </c>
      <c r="D383">
        <v>506.16</v>
      </c>
      <c r="E383">
        <v>26.64</v>
      </c>
      <c r="F383">
        <v>651.1</v>
      </c>
      <c r="G383">
        <v>1123.2</v>
      </c>
      <c r="H383">
        <v>0</v>
      </c>
      <c r="I383">
        <v>181.7</v>
      </c>
      <c r="J383">
        <v>90</v>
      </c>
      <c r="K383" s="10">
        <v>31.22</v>
      </c>
      <c r="L383" s="2">
        <f t="shared" si="12"/>
        <v>483.38197000000002</v>
      </c>
      <c r="M383" s="2">
        <f t="shared" si="11"/>
        <v>218.86612500000001</v>
      </c>
      <c r="N383">
        <v>0</v>
      </c>
    </row>
    <row r="384" spans="1:14" x14ac:dyDescent="0.25">
      <c r="A384" s="15"/>
      <c r="B384" s="15"/>
      <c r="C384">
        <v>10</v>
      </c>
      <c r="D384">
        <v>479.52</v>
      </c>
      <c r="E384">
        <v>53.28</v>
      </c>
      <c r="F384">
        <v>651.1</v>
      </c>
      <c r="G384">
        <v>1123.2</v>
      </c>
      <c r="H384">
        <v>0</v>
      </c>
      <c r="I384">
        <v>181.7</v>
      </c>
      <c r="J384">
        <v>14</v>
      </c>
      <c r="K384" s="10">
        <v>28.8</v>
      </c>
      <c r="L384" s="2">
        <f t="shared" si="12"/>
        <v>463.93476999999996</v>
      </c>
      <c r="M384" s="2">
        <f t="shared" si="11"/>
        <v>208.87612499999997</v>
      </c>
      <c r="N384">
        <v>0</v>
      </c>
    </row>
    <row r="385" spans="1:14" x14ac:dyDescent="0.25">
      <c r="A385" s="15"/>
      <c r="B385" s="15"/>
      <c r="C385">
        <v>10</v>
      </c>
      <c r="D385">
        <v>479.52</v>
      </c>
      <c r="E385">
        <v>53.28</v>
      </c>
      <c r="F385">
        <v>651.1</v>
      </c>
      <c r="G385">
        <v>1123.2</v>
      </c>
      <c r="H385">
        <v>0</v>
      </c>
      <c r="I385">
        <v>181.7</v>
      </c>
      <c r="J385">
        <v>28</v>
      </c>
      <c r="K385" s="10">
        <v>32.619999999999997</v>
      </c>
      <c r="L385" s="2">
        <f t="shared" si="12"/>
        <v>463.93476999999996</v>
      </c>
      <c r="M385" s="2">
        <f t="shared" si="11"/>
        <v>208.87612499999997</v>
      </c>
      <c r="N385">
        <v>0</v>
      </c>
    </row>
    <row r="386" spans="1:14" x14ac:dyDescent="0.25">
      <c r="A386" s="15"/>
      <c r="B386" s="15"/>
      <c r="C386">
        <v>10</v>
      </c>
      <c r="D386">
        <v>479.52</v>
      </c>
      <c r="E386">
        <v>53.28</v>
      </c>
      <c r="F386">
        <v>651.1</v>
      </c>
      <c r="G386">
        <v>1123.2</v>
      </c>
      <c r="H386">
        <v>0</v>
      </c>
      <c r="I386">
        <v>181.7</v>
      </c>
      <c r="J386">
        <v>56</v>
      </c>
      <c r="K386" s="10">
        <v>31.17</v>
      </c>
      <c r="L386" s="2">
        <f t="shared" si="12"/>
        <v>463.93476999999996</v>
      </c>
      <c r="M386" s="2">
        <f t="shared" si="11"/>
        <v>208.87612499999997</v>
      </c>
      <c r="N386">
        <v>0</v>
      </c>
    </row>
    <row r="387" spans="1:14" x14ac:dyDescent="0.25">
      <c r="A387" s="15"/>
      <c r="B387" s="15"/>
      <c r="C387">
        <v>10</v>
      </c>
      <c r="D387">
        <v>479.52</v>
      </c>
      <c r="E387">
        <v>53.28</v>
      </c>
      <c r="F387">
        <v>651.1</v>
      </c>
      <c r="G387">
        <v>1123.2</v>
      </c>
      <c r="H387">
        <v>0</v>
      </c>
      <c r="I387">
        <v>181.7</v>
      </c>
      <c r="J387">
        <v>90</v>
      </c>
      <c r="K387" s="10">
        <v>32.51</v>
      </c>
      <c r="L387" s="2">
        <f t="shared" si="12"/>
        <v>463.93476999999996</v>
      </c>
      <c r="M387" s="2">
        <f t="shared" ref="M387:M450" si="13">SUM((D387*5)+((F387*0.25)+(G387*0.2)+(H387*20)))*0.075</f>
        <v>208.87612499999997</v>
      </c>
      <c r="N387">
        <v>0</v>
      </c>
    </row>
    <row r="388" spans="1:14" x14ac:dyDescent="0.25">
      <c r="A388" s="15"/>
      <c r="B388" s="15"/>
      <c r="C388">
        <v>15</v>
      </c>
      <c r="D388">
        <v>452.88</v>
      </c>
      <c r="E388">
        <v>79.92</v>
      </c>
      <c r="F388">
        <v>651.1</v>
      </c>
      <c r="G388">
        <v>1123.2</v>
      </c>
      <c r="H388">
        <v>0</v>
      </c>
      <c r="I388">
        <v>181.7</v>
      </c>
      <c r="J388">
        <v>14</v>
      </c>
      <c r="K388" s="10">
        <v>25.59</v>
      </c>
      <c r="L388" s="2">
        <f t="shared" si="12"/>
        <v>444.48757000000006</v>
      </c>
      <c r="M388" s="2">
        <f t="shared" si="13"/>
        <v>198.88612499999999</v>
      </c>
      <c r="N388">
        <v>0</v>
      </c>
    </row>
    <row r="389" spans="1:14" x14ac:dyDescent="0.25">
      <c r="A389" s="15"/>
      <c r="B389" s="15"/>
      <c r="C389">
        <v>15</v>
      </c>
      <c r="D389">
        <v>452.88</v>
      </c>
      <c r="E389">
        <v>79.92</v>
      </c>
      <c r="F389">
        <v>651.1</v>
      </c>
      <c r="G389">
        <v>1123.2</v>
      </c>
      <c r="H389">
        <v>0</v>
      </c>
      <c r="I389">
        <v>181.7</v>
      </c>
      <c r="J389">
        <v>28</v>
      </c>
      <c r="K389" s="10">
        <v>33.35</v>
      </c>
      <c r="L389" s="2">
        <f t="shared" si="12"/>
        <v>444.48757000000006</v>
      </c>
      <c r="M389" s="2">
        <f t="shared" si="13"/>
        <v>198.88612499999999</v>
      </c>
      <c r="N389">
        <v>0</v>
      </c>
    </row>
    <row r="390" spans="1:14" x14ac:dyDescent="0.25">
      <c r="A390" s="15"/>
      <c r="B390" s="15"/>
      <c r="C390">
        <v>15</v>
      </c>
      <c r="D390">
        <v>452.88</v>
      </c>
      <c r="E390">
        <v>79.92</v>
      </c>
      <c r="F390">
        <v>651.1</v>
      </c>
      <c r="G390">
        <v>1123.2</v>
      </c>
      <c r="H390">
        <v>0</v>
      </c>
      <c r="I390">
        <v>181.7</v>
      </c>
      <c r="J390">
        <v>56</v>
      </c>
      <c r="K390" s="10">
        <v>27.7</v>
      </c>
      <c r="L390" s="2">
        <f t="shared" si="12"/>
        <v>444.48757000000006</v>
      </c>
      <c r="M390" s="2">
        <f t="shared" si="13"/>
        <v>198.88612499999999</v>
      </c>
      <c r="N390">
        <v>0</v>
      </c>
    </row>
    <row r="391" spans="1:14" x14ac:dyDescent="0.25">
      <c r="A391" s="15"/>
      <c r="B391" s="15"/>
      <c r="C391">
        <v>15</v>
      </c>
      <c r="D391">
        <v>452.88</v>
      </c>
      <c r="E391">
        <v>79.92</v>
      </c>
      <c r="F391">
        <v>651.1</v>
      </c>
      <c r="G391">
        <v>1123.2</v>
      </c>
      <c r="H391">
        <v>0</v>
      </c>
      <c r="I391">
        <v>181.7</v>
      </c>
      <c r="J391">
        <v>90</v>
      </c>
      <c r="K391" s="10">
        <v>30.16</v>
      </c>
      <c r="L391" s="2">
        <f t="shared" si="12"/>
        <v>444.48757000000006</v>
      </c>
      <c r="M391" s="2">
        <f t="shared" si="13"/>
        <v>198.88612499999999</v>
      </c>
      <c r="N391">
        <v>0</v>
      </c>
    </row>
    <row r="392" spans="1:14" x14ac:dyDescent="0.25">
      <c r="A392" s="15"/>
      <c r="B392" s="15"/>
      <c r="C392">
        <v>20</v>
      </c>
      <c r="D392">
        <v>426.24</v>
      </c>
      <c r="E392">
        <v>106.56</v>
      </c>
      <c r="F392">
        <v>651.1</v>
      </c>
      <c r="G392">
        <v>1123.2</v>
      </c>
      <c r="H392">
        <v>0</v>
      </c>
      <c r="I392">
        <v>181.7</v>
      </c>
      <c r="J392">
        <v>14</v>
      </c>
      <c r="K392" s="10">
        <v>27.32</v>
      </c>
      <c r="L392" s="2">
        <f t="shared" si="12"/>
        <v>425.04037000000005</v>
      </c>
      <c r="M392" s="2">
        <f t="shared" si="13"/>
        <v>188.89612499999998</v>
      </c>
      <c r="N392">
        <v>0</v>
      </c>
    </row>
    <row r="393" spans="1:14" x14ac:dyDescent="0.25">
      <c r="A393" s="15"/>
      <c r="B393" s="15"/>
      <c r="C393">
        <v>20</v>
      </c>
      <c r="D393">
        <v>426.24</v>
      </c>
      <c r="E393">
        <v>106.56</v>
      </c>
      <c r="F393">
        <v>651.1</v>
      </c>
      <c r="G393">
        <v>1123.2</v>
      </c>
      <c r="H393">
        <v>0</v>
      </c>
      <c r="I393">
        <v>181.7</v>
      </c>
      <c r="J393">
        <v>28</v>
      </c>
      <c r="K393" s="10">
        <v>28.56</v>
      </c>
      <c r="L393" s="2">
        <f t="shared" si="12"/>
        <v>425.04037000000005</v>
      </c>
      <c r="M393" s="2">
        <f t="shared" si="13"/>
        <v>188.89612499999998</v>
      </c>
      <c r="N393">
        <v>0</v>
      </c>
    </row>
    <row r="394" spans="1:14" x14ac:dyDescent="0.25">
      <c r="A394" s="15"/>
      <c r="B394" s="15"/>
      <c r="C394">
        <v>20</v>
      </c>
      <c r="D394">
        <v>426.24</v>
      </c>
      <c r="E394">
        <v>106.56</v>
      </c>
      <c r="F394">
        <v>651.1</v>
      </c>
      <c r="G394">
        <v>1123.2</v>
      </c>
      <c r="H394">
        <v>0</v>
      </c>
      <c r="I394">
        <v>181.7</v>
      </c>
      <c r="J394">
        <v>56</v>
      </c>
      <c r="K394" s="10">
        <v>26.55</v>
      </c>
      <c r="L394" s="2">
        <f t="shared" si="12"/>
        <v>425.04037000000005</v>
      </c>
      <c r="M394" s="2">
        <f t="shared" si="13"/>
        <v>188.89612499999998</v>
      </c>
      <c r="N394">
        <v>0</v>
      </c>
    </row>
    <row r="395" spans="1:14" x14ac:dyDescent="0.25">
      <c r="A395" s="15"/>
      <c r="B395" s="15"/>
      <c r="C395">
        <v>20</v>
      </c>
      <c r="D395">
        <v>426.24</v>
      </c>
      <c r="E395">
        <v>106.56</v>
      </c>
      <c r="F395">
        <v>651.1</v>
      </c>
      <c r="G395">
        <v>1123.2</v>
      </c>
      <c r="H395">
        <v>0</v>
      </c>
      <c r="I395">
        <v>181.7</v>
      </c>
      <c r="J395">
        <v>90</v>
      </c>
      <c r="K395" s="10">
        <v>32.25</v>
      </c>
      <c r="L395" s="2">
        <f t="shared" si="12"/>
        <v>425.04037000000005</v>
      </c>
      <c r="M395" s="2">
        <f t="shared" si="13"/>
        <v>188.89612499999998</v>
      </c>
      <c r="N395">
        <v>0</v>
      </c>
    </row>
    <row r="396" spans="1:14" x14ac:dyDescent="0.25">
      <c r="A396" s="15"/>
      <c r="B396" s="15"/>
      <c r="C396">
        <v>25</v>
      </c>
      <c r="D396">
        <v>399.6</v>
      </c>
      <c r="E396">
        <v>133.19999999999999</v>
      </c>
      <c r="F396">
        <v>651.1</v>
      </c>
      <c r="G396">
        <v>1123.2</v>
      </c>
      <c r="H396">
        <v>0</v>
      </c>
      <c r="I396">
        <v>181.7</v>
      </c>
      <c r="J396">
        <v>14</v>
      </c>
      <c r="K396" s="10">
        <v>23.52</v>
      </c>
      <c r="L396" s="2">
        <f t="shared" si="12"/>
        <v>405.59317000000004</v>
      </c>
      <c r="M396" s="2">
        <f t="shared" si="13"/>
        <v>178.906125</v>
      </c>
      <c r="N396">
        <v>0</v>
      </c>
    </row>
    <row r="397" spans="1:14" x14ac:dyDescent="0.25">
      <c r="A397" s="15"/>
      <c r="B397" s="15"/>
      <c r="C397">
        <v>25</v>
      </c>
      <c r="D397">
        <v>399.6</v>
      </c>
      <c r="E397">
        <v>133.19999999999999</v>
      </c>
      <c r="F397">
        <v>651.1</v>
      </c>
      <c r="G397">
        <v>1123.2</v>
      </c>
      <c r="H397">
        <v>0</v>
      </c>
      <c r="I397">
        <v>181.7</v>
      </c>
      <c r="J397">
        <v>28</v>
      </c>
      <c r="K397" s="10">
        <v>24.24</v>
      </c>
      <c r="L397" s="2">
        <f t="shared" si="12"/>
        <v>405.59317000000004</v>
      </c>
      <c r="M397" s="2">
        <f t="shared" si="13"/>
        <v>178.906125</v>
      </c>
      <c r="N397">
        <v>0</v>
      </c>
    </row>
    <row r="398" spans="1:14" x14ac:dyDescent="0.25">
      <c r="A398" s="15"/>
      <c r="B398" s="15"/>
      <c r="C398">
        <v>25</v>
      </c>
      <c r="D398">
        <v>399.6</v>
      </c>
      <c r="E398">
        <v>133.19999999999999</v>
      </c>
      <c r="F398">
        <v>651.1</v>
      </c>
      <c r="G398">
        <v>1123.2</v>
      </c>
      <c r="H398">
        <v>0</v>
      </c>
      <c r="I398">
        <v>181.7</v>
      </c>
      <c r="J398">
        <v>56</v>
      </c>
      <c r="K398" s="10">
        <v>27.25</v>
      </c>
      <c r="L398" s="2">
        <f t="shared" si="12"/>
        <v>405.59317000000004</v>
      </c>
      <c r="M398" s="2">
        <f t="shared" si="13"/>
        <v>178.906125</v>
      </c>
      <c r="N398">
        <v>0</v>
      </c>
    </row>
    <row r="399" spans="1:14" x14ac:dyDescent="0.25">
      <c r="A399" s="15"/>
      <c r="B399" s="15"/>
      <c r="C399">
        <v>25</v>
      </c>
      <c r="D399">
        <v>399.6</v>
      </c>
      <c r="E399">
        <v>133.19999999999999</v>
      </c>
      <c r="F399">
        <v>651.1</v>
      </c>
      <c r="G399">
        <v>1123.2</v>
      </c>
      <c r="H399">
        <v>0</v>
      </c>
      <c r="I399">
        <v>181.7</v>
      </c>
      <c r="J399">
        <v>90</v>
      </c>
      <c r="K399" s="10">
        <v>31.68</v>
      </c>
      <c r="L399" s="2">
        <f t="shared" si="12"/>
        <v>405.59317000000004</v>
      </c>
      <c r="M399" s="2">
        <f t="shared" si="13"/>
        <v>178.906125</v>
      </c>
      <c r="N399">
        <v>0</v>
      </c>
    </row>
    <row r="400" spans="1:14" x14ac:dyDescent="0.25">
      <c r="A400" s="15"/>
      <c r="B400" s="15"/>
      <c r="C400">
        <v>30</v>
      </c>
      <c r="D400">
        <v>372.96</v>
      </c>
      <c r="E400">
        <v>159.84</v>
      </c>
      <c r="F400">
        <v>651.1</v>
      </c>
      <c r="G400">
        <v>1123.2</v>
      </c>
      <c r="H400">
        <v>0</v>
      </c>
      <c r="I400">
        <v>181.7</v>
      </c>
      <c r="J400">
        <v>14</v>
      </c>
      <c r="K400" s="10">
        <v>22.98</v>
      </c>
      <c r="L400" s="2">
        <f t="shared" si="12"/>
        <v>386.14596999999998</v>
      </c>
      <c r="M400" s="2">
        <f t="shared" si="13"/>
        <v>168.91612499999999</v>
      </c>
      <c r="N400">
        <v>0</v>
      </c>
    </row>
    <row r="401" spans="1:14" x14ac:dyDescent="0.25">
      <c r="A401" s="15"/>
      <c r="B401" s="15"/>
      <c r="C401">
        <v>30</v>
      </c>
      <c r="D401">
        <v>372.96</v>
      </c>
      <c r="E401">
        <v>159.84</v>
      </c>
      <c r="F401">
        <v>651.1</v>
      </c>
      <c r="G401">
        <v>1123.2</v>
      </c>
      <c r="H401">
        <v>0</v>
      </c>
      <c r="I401">
        <v>181.7</v>
      </c>
      <c r="J401">
        <v>28</v>
      </c>
      <c r="K401" s="10">
        <v>19.77</v>
      </c>
      <c r="L401" s="2">
        <f t="shared" si="12"/>
        <v>386.14596999999998</v>
      </c>
      <c r="M401" s="2">
        <f t="shared" si="13"/>
        <v>168.91612499999999</v>
      </c>
      <c r="N401">
        <v>0</v>
      </c>
    </row>
    <row r="402" spans="1:14" x14ac:dyDescent="0.25">
      <c r="A402" s="15"/>
      <c r="B402" s="15"/>
      <c r="C402">
        <v>30</v>
      </c>
      <c r="D402">
        <v>372.96</v>
      </c>
      <c r="E402">
        <v>159.84</v>
      </c>
      <c r="F402">
        <v>651.1</v>
      </c>
      <c r="G402">
        <v>1123.2</v>
      </c>
      <c r="H402">
        <v>0</v>
      </c>
      <c r="I402">
        <v>181.7</v>
      </c>
      <c r="J402">
        <v>56</v>
      </c>
      <c r="K402" s="10">
        <v>26.42</v>
      </c>
      <c r="L402" s="2">
        <f t="shared" si="12"/>
        <v>386.14596999999998</v>
      </c>
      <c r="M402" s="2">
        <f t="shared" si="13"/>
        <v>168.91612499999999</v>
      </c>
      <c r="N402">
        <v>0</v>
      </c>
    </row>
    <row r="403" spans="1:14" x14ac:dyDescent="0.25">
      <c r="A403" s="15"/>
      <c r="B403" s="15"/>
      <c r="C403">
        <v>30</v>
      </c>
      <c r="D403">
        <v>372.96</v>
      </c>
      <c r="E403">
        <v>159.84</v>
      </c>
      <c r="F403">
        <v>651.1</v>
      </c>
      <c r="G403">
        <v>1123.2</v>
      </c>
      <c r="H403">
        <v>0</v>
      </c>
      <c r="I403">
        <v>181.7</v>
      </c>
      <c r="J403">
        <v>90</v>
      </c>
      <c r="K403" s="10">
        <v>27.01</v>
      </c>
      <c r="L403" s="2">
        <f t="shared" si="12"/>
        <v>386.14596999999998</v>
      </c>
      <c r="M403" s="2">
        <f t="shared" si="13"/>
        <v>168.91612499999999</v>
      </c>
      <c r="N403">
        <v>0</v>
      </c>
    </row>
    <row r="404" spans="1:14" x14ac:dyDescent="0.25">
      <c r="A404" s="15"/>
      <c r="B404" s="15"/>
      <c r="C404">
        <v>35</v>
      </c>
      <c r="D404">
        <v>346.32</v>
      </c>
      <c r="E404">
        <v>186.48</v>
      </c>
      <c r="F404">
        <v>651.1</v>
      </c>
      <c r="G404">
        <v>1123.2</v>
      </c>
      <c r="H404">
        <v>0</v>
      </c>
      <c r="I404">
        <v>181.7</v>
      </c>
      <c r="J404">
        <v>14</v>
      </c>
      <c r="K404" s="10">
        <v>23.46</v>
      </c>
      <c r="L404" s="2">
        <f t="shared" si="12"/>
        <v>366.69877000000002</v>
      </c>
      <c r="M404" s="2">
        <f t="shared" si="13"/>
        <v>158.92612499999998</v>
      </c>
      <c r="N404">
        <v>0</v>
      </c>
    </row>
    <row r="405" spans="1:14" x14ac:dyDescent="0.25">
      <c r="A405" s="15"/>
      <c r="B405" s="15"/>
      <c r="C405">
        <v>35</v>
      </c>
      <c r="D405">
        <v>346.32</v>
      </c>
      <c r="E405">
        <v>186.48</v>
      </c>
      <c r="F405">
        <v>651.1</v>
      </c>
      <c r="G405">
        <v>1123.2</v>
      </c>
      <c r="H405">
        <v>0</v>
      </c>
      <c r="I405">
        <v>181.7</v>
      </c>
      <c r="J405">
        <v>28</v>
      </c>
      <c r="K405" s="10">
        <v>24.5</v>
      </c>
      <c r="L405" s="2">
        <f t="shared" si="12"/>
        <v>366.69877000000002</v>
      </c>
      <c r="M405" s="2">
        <f t="shared" si="13"/>
        <v>158.92612499999998</v>
      </c>
      <c r="N405">
        <v>0</v>
      </c>
    </row>
    <row r="406" spans="1:14" x14ac:dyDescent="0.25">
      <c r="A406" s="15"/>
      <c r="B406" s="15"/>
      <c r="C406">
        <v>35</v>
      </c>
      <c r="D406">
        <v>346.32</v>
      </c>
      <c r="E406">
        <v>186.48</v>
      </c>
      <c r="F406">
        <v>651.1</v>
      </c>
      <c r="G406">
        <v>1123.2</v>
      </c>
      <c r="H406">
        <v>0</v>
      </c>
      <c r="I406">
        <v>181.7</v>
      </c>
      <c r="J406">
        <v>56</v>
      </c>
      <c r="K406" s="10">
        <v>27.24</v>
      </c>
      <c r="L406" s="2">
        <f t="shared" ref="L406:L433" si="14">SUM((D406*0.83)+(E406*0.1)+(F406*0.0139)+(G406*0.0459)+(H406*2))</f>
        <v>366.69877000000002</v>
      </c>
      <c r="M406" s="2">
        <f t="shared" si="13"/>
        <v>158.92612499999998</v>
      </c>
      <c r="N406">
        <v>0</v>
      </c>
    </row>
    <row r="407" spans="1:14" x14ac:dyDescent="0.25">
      <c r="A407" s="15"/>
      <c r="B407" s="15"/>
      <c r="C407">
        <v>35</v>
      </c>
      <c r="D407">
        <v>346.32</v>
      </c>
      <c r="E407">
        <v>186.48</v>
      </c>
      <c r="F407">
        <v>651.1</v>
      </c>
      <c r="G407">
        <v>1123.2</v>
      </c>
      <c r="H407">
        <v>0</v>
      </c>
      <c r="I407">
        <v>181.7</v>
      </c>
      <c r="J407">
        <v>90</v>
      </c>
      <c r="K407" s="10">
        <v>26.94</v>
      </c>
      <c r="L407" s="2">
        <f t="shared" si="14"/>
        <v>366.69877000000002</v>
      </c>
      <c r="M407" s="2">
        <f t="shared" si="13"/>
        <v>158.92612499999998</v>
      </c>
      <c r="N407">
        <v>0</v>
      </c>
    </row>
    <row r="408" spans="1:14" x14ac:dyDescent="0.25">
      <c r="A408" s="15"/>
      <c r="B408" s="15"/>
      <c r="C408">
        <v>40</v>
      </c>
      <c r="D408">
        <v>319.68</v>
      </c>
      <c r="E408">
        <v>213.12</v>
      </c>
      <c r="F408">
        <v>651.1</v>
      </c>
      <c r="G408">
        <v>1123.2</v>
      </c>
      <c r="H408">
        <v>0</v>
      </c>
      <c r="I408">
        <v>181.7</v>
      </c>
      <c r="J408">
        <v>14</v>
      </c>
      <c r="K408" s="10">
        <v>21.98</v>
      </c>
      <c r="L408" s="2">
        <f t="shared" si="14"/>
        <v>347.25157000000007</v>
      </c>
      <c r="M408" s="2">
        <f t="shared" si="13"/>
        <v>148.936125</v>
      </c>
      <c r="N408">
        <v>0</v>
      </c>
    </row>
    <row r="409" spans="1:14" x14ac:dyDescent="0.25">
      <c r="A409" s="15"/>
      <c r="B409" s="15"/>
      <c r="C409">
        <v>40</v>
      </c>
      <c r="D409">
        <v>319.68</v>
      </c>
      <c r="E409">
        <v>213.12</v>
      </c>
      <c r="F409">
        <v>651.1</v>
      </c>
      <c r="G409">
        <v>1123.2</v>
      </c>
      <c r="H409">
        <v>0</v>
      </c>
      <c r="I409">
        <v>181.7</v>
      </c>
      <c r="J409">
        <v>28</v>
      </c>
      <c r="K409" s="10">
        <v>26.52</v>
      </c>
      <c r="L409" s="2">
        <f t="shared" si="14"/>
        <v>347.25157000000007</v>
      </c>
      <c r="M409" s="2">
        <f t="shared" si="13"/>
        <v>148.936125</v>
      </c>
      <c r="N409">
        <v>0</v>
      </c>
    </row>
    <row r="410" spans="1:14" x14ac:dyDescent="0.25">
      <c r="A410" s="15"/>
      <c r="B410" s="15"/>
      <c r="C410">
        <v>40</v>
      </c>
      <c r="D410">
        <v>319.68</v>
      </c>
      <c r="E410">
        <v>213.12</v>
      </c>
      <c r="F410">
        <v>651.1</v>
      </c>
      <c r="G410">
        <v>1123.2</v>
      </c>
      <c r="H410">
        <v>0</v>
      </c>
      <c r="I410">
        <v>181.7</v>
      </c>
      <c r="J410">
        <v>56</v>
      </c>
      <c r="K410" s="10">
        <v>24.09</v>
      </c>
      <c r="L410" s="2">
        <f t="shared" si="14"/>
        <v>347.25157000000007</v>
      </c>
      <c r="M410" s="2">
        <f t="shared" si="13"/>
        <v>148.936125</v>
      </c>
      <c r="N410">
        <v>0</v>
      </c>
    </row>
    <row r="411" spans="1:14" x14ac:dyDescent="0.25">
      <c r="A411" s="15"/>
      <c r="B411" s="15"/>
      <c r="C411">
        <v>40</v>
      </c>
      <c r="D411">
        <v>319.68</v>
      </c>
      <c r="E411">
        <v>213.12</v>
      </c>
      <c r="F411">
        <v>651.1</v>
      </c>
      <c r="G411">
        <v>1123.2</v>
      </c>
      <c r="H411">
        <v>0</v>
      </c>
      <c r="I411">
        <v>181.7</v>
      </c>
      <c r="J411">
        <v>90</v>
      </c>
      <c r="K411" s="10">
        <v>27.72</v>
      </c>
      <c r="L411" s="2">
        <f t="shared" si="14"/>
        <v>347.25157000000007</v>
      </c>
      <c r="M411" s="2">
        <f t="shared" si="13"/>
        <v>148.936125</v>
      </c>
      <c r="N411">
        <v>0</v>
      </c>
    </row>
    <row r="412" spans="1:14" x14ac:dyDescent="0.25">
      <c r="A412" s="15"/>
      <c r="B412" s="15"/>
      <c r="C412">
        <v>45</v>
      </c>
      <c r="D412">
        <v>293.04000000000002</v>
      </c>
      <c r="E412">
        <v>239.76</v>
      </c>
      <c r="F412">
        <v>651.1</v>
      </c>
      <c r="G412">
        <v>1123.2</v>
      </c>
      <c r="H412">
        <v>0</v>
      </c>
      <c r="I412">
        <v>181.7</v>
      </c>
      <c r="J412">
        <v>14</v>
      </c>
      <c r="K412" s="10">
        <v>21.17</v>
      </c>
      <c r="L412" s="2">
        <f t="shared" si="14"/>
        <v>327.80437000000006</v>
      </c>
      <c r="M412" s="2">
        <f t="shared" si="13"/>
        <v>138.94612499999999</v>
      </c>
      <c r="N412">
        <v>0</v>
      </c>
    </row>
    <row r="413" spans="1:14" x14ac:dyDescent="0.25">
      <c r="A413" s="15"/>
      <c r="B413" s="15"/>
      <c r="C413">
        <v>45</v>
      </c>
      <c r="D413">
        <v>293.04000000000002</v>
      </c>
      <c r="E413">
        <v>239.76</v>
      </c>
      <c r="F413">
        <v>651.1</v>
      </c>
      <c r="G413">
        <v>1123.2</v>
      </c>
      <c r="H413">
        <v>0</v>
      </c>
      <c r="I413">
        <v>181.7</v>
      </c>
      <c r="J413">
        <v>28</v>
      </c>
      <c r="K413" s="10">
        <v>21.55</v>
      </c>
      <c r="L413" s="2">
        <f t="shared" si="14"/>
        <v>327.80437000000006</v>
      </c>
      <c r="M413" s="2">
        <f t="shared" si="13"/>
        <v>138.94612499999999</v>
      </c>
      <c r="N413">
        <v>0</v>
      </c>
    </row>
    <row r="414" spans="1:14" x14ac:dyDescent="0.25">
      <c r="A414" s="15"/>
      <c r="B414" s="15"/>
      <c r="C414">
        <v>45</v>
      </c>
      <c r="D414">
        <v>293.04000000000002</v>
      </c>
      <c r="E414">
        <v>239.76</v>
      </c>
      <c r="F414">
        <v>651.1</v>
      </c>
      <c r="G414">
        <v>1123.2</v>
      </c>
      <c r="H414">
        <v>0</v>
      </c>
      <c r="I414">
        <v>181.7</v>
      </c>
      <c r="J414">
        <v>56</v>
      </c>
      <c r="K414" s="10">
        <v>26.17</v>
      </c>
      <c r="L414" s="2">
        <f t="shared" si="14"/>
        <v>327.80437000000006</v>
      </c>
      <c r="M414" s="2">
        <f t="shared" si="13"/>
        <v>138.94612499999999</v>
      </c>
      <c r="N414">
        <v>0</v>
      </c>
    </row>
    <row r="415" spans="1:14" x14ac:dyDescent="0.25">
      <c r="A415" s="15"/>
      <c r="B415" s="15"/>
      <c r="C415">
        <v>45</v>
      </c>
      <c r="D415">
        <v>293.04000000000002</v>
      </c>
      <c r="E415">
        <v>239.76</v>
      </c>
      <c r="F415">
        <v>651.1</v>
      </c>
      <c r="G415">
        <v>1123.2</v>
      </c>
      <c r="H415">
        <v>0</v>
      </c>
      <c r="I415">
        <v>181.7</v>
      </c>
      <c r="J415">
        <v>90</v>
      </c>
      <c r="K415" s="10">
        <v>29.83</v>
      </c>
      <c r="L415" s="2">
        <f t="shared" si="14"/>
        <v>327.80437000000006</v>
      </c>
      <c r="M415" s="2">
        <f t="shared" si="13"/>
        <v>138.94612499999999</v>
      </c>
      <c r="N415">
        <v>0</v>
      </c>
    </row>
    <row r="416" spans="1:14" x14ac:dyDescent="0.25">
      <c r="A416" s="15"/>
      <c r="B416" s="15"/>
      <c r="C416">
        <v>50</v>
      </c>
      <c r="D416">
        <v>266.39999999999998</v>
      </c>
      <c r="E416">
        <v>266.39999999999998</v>
      </c>
      <c r="F416">
        <v>651.1</v>
      </c>
      <c r="G416">
        <v>1123.2</v>
      </c>
      <c r="H416">
        <v>0</v>
      </c>
      <c r="I416">
        <v>181.7</v>
      </c>
      <c r="J416">
        <v>14</v>
      </c>
      <c r="K416" s="10">
        <v>22.4</v>
      </c>
      <c r="L416" s="2">
        <f t="shared" si="14"/>
        <v>308.35717</v>
      </c>
      <c r="M416" s="2">
        <f t="shared" si="13"/>
        <v>128.95612499999999</v>
      </c>
      <c r="N416">
        <v>0</v>
      </c>
    </row>
    <row r="417" spans="1:14" x14ac:dyDescent="0.25">
      <c r="A417" s="15"/>
      <c r="B417" s="15"/>
      <c r="C417">
        <v>50</v>
      </c>
      <c r="D417">
        <v>266.39999999999998</v>
      </c>
      <c r="E417">
        <v>266.39999999999998</v>
      </c>
      <c r="F417">
        <v>651.1</v>
      </c>
      <c r="G417">
        <v>1123.2</v>
      </c>
      <c r="H417">
        <v>0</v>
      </c>
      <c r="I417">
        <v>181.7</v>
      </c>
      <c r="J417">
        <v>28</v>
      </c>
      <c r="K417" s="10">
        <v>25.56</v>
      </c>
      <c r="L417" s="2">
        <f t="shared" si="14"/>
        <v>308.35717</v>
      </c>
      <c r="M417" s="2">
        <f t="shared" si="13"/>
        <v>128.95612499999999</v>
      </c>
      <c r="N417">
        <v>0</v>
      </c>
    </row>
    <row r="418" spans="1:14" x14ac:dyDescent="0.25">
      <c r="A418" s="15"/>
      <c r="B418" s="15"/>
      <c r="C418">
        <v>50</v>
      </c>
      <c r="D418">
        <v>266.39999999999998</v>
      </c>
      <c r="E418">
        <v>266.39999999999998</v>
      </c>
      <c r="F418">
        <v>651.1</v>
      </c>
      <c r="G418">
        <v>1123.2</v>
      </c>
      <c r="H418">
        <v>0</v>
      </c>
      <c r="I418">
        <v>181.7</v>
      </c>
      <c r="J418">
        <v>56</v>
      </c>
      <c r="K418" s="10">
        <v>28.28</v>
      </c>
      <c r="L418" s="2">
        <f t="shared" si="14"/>
        <v>308.35717</v>
      </c>
      <c r="M418" s="2">
        <f t="shared" si="13"/>
        <v>128.95612499999999</v>
      </c>
      <c r="N418">
        <v>0</v>
      </c>
    </row>
    <row r="419" spans="1:14" x14ac:dyDescent="0.25">
      <c r="A419" s="15"/>
      <c r="B419" s="15"/>
      <c r="C419">
        <v>50</v>
      </c>
      <c r="D419">
        <v>266.39999999999998</v>
      </c>
      <c r="E419">
        <v>266.39999999999998</v>
      </c>
      <c r="F419">
        <v>651.1</v>
      </c>
      <c r="G419">
        <v>1123.2</v>
      </c>
      <c r="H419">
        <v>0</v>
      </c>
      <c r="I419">
        <v>181.7</v>
      </c>
      <c r="J419">
        <v>90</v>
      </c>
      <c r="K419" s="10">
        <v>28.7</v>
      </c>
      <c r="L419" s="2">
        <f t="shared" si="14"/>
        <v>308.35717</v>
      </c>
      <c r="M419" s="2">
        <f t="shared" si="13"/>
        <v>128.95612499999999</v>
      </c>
      <c r="N419">
        <v>0</v>
      </c>
    </row>
    <row r="420" spans="1:14" x14ac:dyDescent="0.25">
      <c r="A420" s="15" t="s">
        <v>152</v>
      </c>
      <c r="B420" s="15" t="s">
        <v>153</v>
      </c>
      <c r="C420">
        <v>0</v>
      </c>
      <c r="D420" s="3">
        <v>810</v>
      </c>
      <c r="E420" s="3">
        <f t="shared" ref="E420:E438" si="15">SUM((C420/100* D420))</f>
        <v>0</v>
      </c>
      <c r="F420">
        <v>640</v>
      </c>
      <c r="G420">
        <v>1180</v>
      </c>
      <c r="H420">
        <v>0</v>
      </c>
      <c r="I420">
        <v>251</v>
      </c>
      <c r="J420">
        <v>7</v>
      </c>
      <c r="K420" s="10">
        <v>30</v>
      </c>
      <c r="L420" s="2">
        <f t="shared" si="14"/>
        <v>735.35799999999995</v>
      </c>
      <c r="M420" s="2">
        <f t="shared" si="13"/>
        <v>333.45</v>
      </c>
      <c r="N420">
        <v>0</v>
      </c>
    </row>
    <row r="421" spans="1:14" x14ac:dyDescent="0.25">
      <c r="A421" s="15"/>
      <c r="B421" s="15"/>
      <c r="C421">
        <v>0</v>
      </c>
      <c r="D421" s="3">
        <v>810</v>
      </c>
      <c r="E421" s="3">
        <f t="shared" si="15"/>
        <v>0</v>
      </c>
      <c r="F421">
        <v>640</v>
      </c>
      <c r="G421">
        <v>1180</v>
      </c>
      <c r="H421">
        <v>0</v>
      </c>
      <c r="I421">
        <v>251</v>
      </c>
      <c r="J421">
        <v>28</v>
      </c>
      <c r="K421" s="10">
        <v>36</v>
      </c>
      <c r="L421" s="2">
        <f t="shared" si="14"/>
        <v>735.35799999999995</v>
      </c>
      <c r="M421" s="2">
        <f t="shared" si="13"/>
        <v>333.45</v>
      </c>
      <c r="N421">
        <v>0</v>
      </c>
    </row>
    <row r="422" spans="1:14" x14ac:dyDescent="0.25">
      <c r="A422" s="15"/>
      <c r="B422" s="15"/>
      <c r="C422">
        <v>0</v>
      </c>
      <c r="D422" s="3">
        <v>810</v>
      </c>
      <c r="E422" s="3">
        <f t="shared" si="15"/>
        <v>0</v>
      </c>
      <c r="F422">
        <v>640</v>
      </c>
      <c r="G422">
        <v>1180</v>
      </c>
      <c r="H422">
        <v>0</v>
      </c>
      <c r="I422">
        <v>251</v>
      </c>
      <c r="J422">
        <v>56</v>
      </c>
      <c r="K422" s="10">
        <v>43</v>
      </c>
      <c r="L422" s="2">
        <f t="shared" si="14"/>
        <v>735.35799999999995</v>
      </c>
      <c r="M422" s="2">
        <f t="shared" si="13"/>
        <v>333.45</v>
      </c>
      <c r="N422">
        <v>0</v>
      </c>
    </row>
    <row r="423" spans="1:14" x14ac:dyDescent="0.25">
      <c r="A423" s="15"/>
      <c r="B423" s="15"/>
      <c r="C423">
        <v>5</v>
      </c>
      <c r="D423" s="3">
        <v>770</v>
      </c>
      <c r="E423" s="3">
        <f t="shared" si="15"/>
        <v>38.5</v>
      </c>
      <c r="F423">
        <v>640</v>
      </c>
      <c r="G423">
        <v>1180</v>
      </c>
      <c r="H423">
        <v>0</v>
      </c>
      <c r="I423">
        <v>251</v>
      </c>
      <c r="J423">
        <v>7</v>
      </c>
      <c r="K423" s="10">
        <v>31</v>
      </c>
      <c r="L423" s="2">
        <f t="shared" si="14"/>
        <v>706.00800000000004</v>
      </c>
      <c r="M423" s="2">
        <f t="shared" si="13"/>
        <v>318.45</v>
      </c>
      <c r="N423">
        <v>0</v>
      </c>
    </row>
    <row r="424" spans="1:14" x14ac:dyDescent="0.25">
      <c r="A424" s="15"/>
      <c r="B424" s="15"/>
      <c r="C424">
        <v>5</v>
      </c>
      <c r="D424" s="3">
        <v>770</v>
      </c>
      <c r="E424" s="3">
        <f t="shared" si="15"/>
        <v>38.5</v>
      </c>
      <c r="F424">
        <v>640</v>
      </c>
      <c r="G424">
        <v>1180</v>
      </c>
      <c r="H424">
        <v>0</v>
      </c>
      <c r="I424">
        <v>251</v>
      </c>
      <c r="J424">
        <v>28</v>
      </c>
      <c r="K424" s="10">
        <v>32</v>
      </c>
      <c r="L424" s="2">
        <f t="shared" si="14"/>
        <v>706.00800000000004</v>
      </c>
      <c r="M424" s="2">
        <f t="shared" si="13"/>
        <v>318.45</v>
      </c>
      <c r="N424">
        <v>0</v>
      </c>
    </row>
    <row r="425" spans="1:14" x14ac:dyDescent="0.25">
      <c r="A425" s="15"/>
      <c r="B425" s="15"/>
      <c r="C425">
        <v>5</v>
      </c>
      <c r="D425" s="3">
        <v>770</v>
      </c>
      <c r="E425" s="3">
        <f t="shared" si="15"/>
        <v>38.5</v>
      </c>
      <c r="F425">
        <v>640</v>
      </c>
      <c r="G425">
        <v>1180</v>
      </c>
      <c r="H425">
        <v>0</v>
      </c>
      <c r="I425">
        <v>251</v>
      </c>
      <c r="J425">
        <v>56</v>
      </c>
      <c r="K425" s="10">
        <v>57</v>
      </c>
      <c r="L425" s="2">
        <f t="shared" si="14"/>
        <v>706.00800000000004</v>
      </c>
      <c r="M425" s="2">
        <f t="shared" si="13"/>
        <v>318.45</v>
      </c>
      <c r="N425">
        <v>0</v>
      </c>
    </row>
    <row r="426" spans="1:14" x14ac:dyDescent="0.25">
      <c r="A426" s="15"/>
      <c r="B426" s="15"/>
      <c r="C426">
        <v>10</v>
      </c>
      <c r="D426" s="3">
        <v>720</v>
      </c>
      <c r="E426" s="3">
        <f t="shared" si="15"/>
        <v>72</v>
      </c>
      <c r="F426">
        <v>640</v>
      </c>
      <c r="G426">
        <v>1180</v>
      </c>
      <c r="H426">
        <v>0</v>
      </c>
      <c r="I426">
        <v>251</v>
      </c>
      <c r="J426">
        <v>7</v>
      </c>
      <c r="K426" s="10">
        <v>23</v>
      </c>
      <c r="L426" s="2">
        <f t="shared" si="14"/>
        <v>667.85800000000006</v>
      </c>
      <c r="M426" s="2">
        <f t="shared" si="13"/>
        <v>299.7</v>
      </c>
      <c r="N426">
        <v>0</v>
      </c>
    </row>
    <row r="427" spans="1:14" x14ac:dyDescent="0.25">
      <c r="A427" s="15"/>
      <c r="B427" s="15"/>
      <c r="C427">
        <v>10</v>
      </c>
      <c r="D427" s="3">
        <v>720</v>
      </c>
      <c r="E427" s="3">
        <f t="shared" si="15"/>
        <v>72</v>
      </c>
      <c r="F427">
        <v>640</v>
      </c>
      <c r="G427">
        <v>1180</v>
      </c>
      <c r="H427">
        <v>0</v>
      </c>
      <c r="I427">
        <v>251</v>
      </c>
      <c r="J427">
        <v>28</v>
      </c>
      <c r="K427" s="10">
        <v>26</v>
      </c>
      <c r="L427" s="2">
        <f t="shared" si="14"/>
        <v>667.85800000000006</v>
      </c>
      <c r="M427" s="2">
        <f t="shared" si="13"/>
        <v>299.7</v>
      </c>
      <c r="N427">
        <v>0</v>
      </c>
    </row>
    <row r="428" spans="1:14" x14ac:dyDescent="0.25">
      <c r="A428" s="15"/>
      <c r="B428" s="15"/>
      <c r="C428">
        <v>10</v>
      </c>
      <c r="D428" s="3">
        <v>720</v>
      </c>
      <c r="E428" s="3">
        <f t="shared" si="15"/>
        <v>72</v>
      </c>
      <c r="F428">
        <v>640</v>
      </c>
      <c r="G428">
        <v>1180</v>
      </c>
      <c r="H428">
        <v>0</v>
      </c>
      <c r="I428">
        <v>251</v>
      </c>
      <c r="J428">
        <v>56</v>
      </c>
      <c r="K428" s="10">
        <v>32</v>
      </c>
      <c r="L428" s="2">
        <f t="shared" si="14"/>
        <v>667.85800000000006</v>
      </c>
      <c r="M428" s="2">
        <f t="shared" si="13"/>
        <v>299.7</v>
      </c>
      <c r="N428">
        <v>0</v>
      </c>
    </row>
    <row r="429" spans="1:14" x14ac:dyDescent="0.25">
      <c r="A429" s="15"/>
      <c r="B429" s="15"/>
      <c r="C429">
        <v>15</v>
      </c>
      <c r="D429" s="3">
        <v>680</v>
      </c>
      <c r="E429" s="3">
        <f t="shared" si="15"/>
        <v>102</v>
      </c>
      <c r="F429">
        <v>640</v>
      </c>
      <c r="G429">
        <v>1180</v>
      </c>
      <c r="H429">
        <v>0</v>
      </c>
      <c r="I429">
        <v>251</v>
      </c>
      <c r="J429">
        <v>7</v>
      </c>
      <c r="K429" s="10">
        <v>19</v>
      </c>
      <c r="L429" s="2">
        <f t="shared" si="14"/>
        <v>637.65800000000002</v>
      </c>
      <c r="M429" s="2">
        <f t="shared" si="13"/>
        <v>284.7</v>
      </c>
      <c r="N429">
        <v>0</v>
      </c>
    </row>
    <row r="430" spans="1:14" x14ac:dyDescent="0.25">
      <c r="A430" s="15"/>
      <c r="B430" s="15"/>
      <c r="C430">
        <v>15</v>
      </c>
      <c r="D430" s="3">
        <v>680</v>
      </c>
      <c r="E430" s="3">
        <f t="shared" si="15"/>
        <v>102</v>
      </c>
      <c r="F430">
        <v>640</v>
      </c>
      <c r="G430">
        <v>1180</v>
      </c>
      <c r="H430">
        <v>0</v>
      </c>
      <c r="I430">
        <v>251</v>
      </c>
      <c r="J430">
        <v>28</v>
      </c>
      <c r="K430" s="10">
        <v>21</v>
      </c>
      <c r="L430" s="2">
        <f t="shared" si="14"/>
        <v>637.65800000000002</v>
      </c>
      <c r="M430" s="2">
        <f t="shared" si="13"/>
        <v>284.7</v>
      </c>
      <c r="N430">
        <v>0</v>
      </c>
    </row>
    <row r="431" spans="1:14" x14ac:dyDescent="0.25">
      <c r="A431" s="15"/>
      <c r="B431" s="15"/>
      <c r="C431">
        <v>15</v>
      </c>
      <c r="D431" s="3">
        <v>680</v>
      </c>
      <c r="E431" s="3">
        <f t="shared" si="15"/>
        <v>102</v>
      </c>
      <c r="F431">
        <v>640</v>
      </c>
      <c r="G431">
        <v>1180</v>
      </c>
      <c r="H431">
        <v>0</v>
      </c>
      <c r="I431">
        <v>251</v>
      </c>
      <c r="J431">
        <v>56</v>
      </c>
      <c r="K431" s="10">
        <v>27</v>
      </c>
      <c r="L431" s="2">
        <f t="shared" si="14"/>
        <v>637.65800000000002</v>
      </c>
      <c r="M431" s="2">
        <f t="shared" si="13"/>
        <v>284.7</v>
      </c>
      <c r="N431">
        <v>0</v>
      </c>
    </row>
    <row r="432" spans="1:14" x14ac:dyDescent="0.25">
      <c r="A432" s="15"/>
      <c r="B432" s="15"/>
      <c r="C432">
        <v>20</v>
      </c>
      <c r="D432" s="3">
        <v>650</v>
      </c>
      <c r="E432" s="3">
        <f t="shared" si="15"/>
        <v>130</v>
      </c>
      <c r="F432">
        <v>640</v>
      </c>
      <c r="G432">
        <v>1180</v>
      </c>
      <c r="H432">
        <v>0</v>
      </c>
      <c r="I432">
        <v>251</v>
      </c>
      <c r="J432">
        <v>7</v>
      </c>
      <c r="K432" s="10">
        <v>17</v>
      </c>
      <c r="L432" s="2">
        <f t="shared" si="14"/>
        <v>615.55799999999999</v>
      </c>
      <c r="M432" s="2">
        <f t="shared" si="13"/>
        <v>273.45</v>
      </c>
      <c r="N432">
        <v>0</v>
      </c>
    </row>
    <row r="433" spans="1:14" x14ac:dyDescent="0.25">
      <c r="A433" s="15"/>
      <c r="B433" s="15"/>
      <c r="C433">
        <v>20</v>
      </c>
      <c r="D433" s="3">
        <v>650</v>
      </c>
      <c r="E433" s="3">
        <f t="shared" si="15"/>
        <v>130</v>
      </c>
      <c r="F433">
        <v>640</v>
      </c>
      <c r="G433">
        <v>1180</v>
      </c>
      <c r="H433">
        <v>0</v>
      </c>
      <c r="I433">
        <v>251</v>
      </c>
      <c r="J433">
        <v>28</v>
      </c>
      <c r="K433" s="10">
        <v>19</v>
      </c>
      <c r="L433" s="2">
        <f t="shared" si="14"/>
        <v>615.55799999999999</v>
      </c>
      <c r="M433" s="2">
        <f t="shared" si="13"/>
        <v>273.45</v>
      </c>
      <c r="N433">
        <v>0</v>
      </c>
    </row>
    <row r="434" spans="1:14" x14ac:dyDescent="0.25">
      <c r="A434" s="15"/>
      <c r="B434" s="15"/>
      <c r="C434">
        <v>20</v>
      </c>
      <c r="D434" s="3">
        <v>650</v>
      </c>
      <c r="E434" s="3">
        <f t="shared" si="15"/>
        <v>130</v>
      </c>
      <c r="F434">
        <v>640</v>
      </c>
      <c r="G434">
        <v>1180</v>
      </c>
      <c r="H434">
        <v>0</v>
      </c>
      <c r="I434">
        <v>251</v>
      </c>
      <c r="J434">
        <v>56</v>
      </c>
      <c r="K434" s="10">
        <v>25</v>
      </c>
      <c r="L434" s="2">
        <f t="shared" ref="L434:L490" si="16">SUM((D434*0.83)+(E434*0.1)+(F434*0.0139)+(G434*0.0459)+(H434*2))</f>
        <v>615.55799999999999</v>
      </c>
      <c r="M434" s="2">
        <f t="shared" si="13"/>
        <v>273.45</v>
      </c>
      <c r="N434">
        <v>0</v>
      </c>
    </row>
    <row r="435" spans="1:14" x14ac:dyDescent="0.25">
      <c r="A435" s="15" t="s">
        <v>380</v>
      </c>
      <c r="B435" s="17" t="s">
        <v>379</v>
      </c>
      <c r="C435" s="2">
        <f ca="1">SUM(E435/D435)*100</f>
        <v>0</v>
      </c>
      <c r="D435" s="3">
        <v>515</v>
      </c>
      <c r="E435" s="3">
        <f t="shared" ca="1" si="15"/>
        <v>0</v>
      </c>
      <c r="F435">
        <v>676</v>
      </c>
      <c r="G435">
        <v>1013</v>
      </c>
      <c r="H435">
        <v>7.7249999999999996</v>
      </c>
      <c r="I435">
        <v>154.5</v>
      </c>
      <c r="J435">
        <v>7</v>
      </c>
      <c r="K435" s="10">
        <v>34.6</v>
      </c>
      <c r="L435" s="2">
        <f t="shared" ca="1" si="16"/>
        <v>498.79310000000004</v>
      </c>
      <c r="M435" s="2">
        <f t="shared" si="13"/>
        <v>232.58249999999998</v>
      </c>
      <c r="N435" s="10">
        <v>432</v>
      </c>
    </row>
    <row r="436" spans="1:14" x14ac:dyDescent="0.25">
      <c r="A436" s="15"/>
      <c r="B436" s="17"/>
      <c r="C436" s="2">
        <f t="shared" ref="C436:C450" ca="1" si="17">SUM(E436/D436)*100</f>
        <v>0</v>
      </c>
      <c r="D436" s="3">
        <v>515</v>
      </c>
      <c r="E436" s="3">
        <f t="shared" ca="1" si="15"/>
        <v>0</v>
      </c>
      <c r="F436">
        <v>676</v>
      </c>
      <c r="G436">
        <v>1013</v>
      </c>
      <c r="H436">
        <v>7.7249999999999996</v>
      </c>
      <c r="I436">
        <v>154.5</v>
      </c>
      <c r="J436">
        <v>21</v>
      </c>
      <c r="K436" s="10">
        <v>46.4</v>
      </c>
      <c r="L436" s="2">
        <f t="shared" ca="1" si="16"/>
        <v>498.79310000000004</v>
      </c>
      <c r="M436" s="2">
        <f t="shared" si="13"/>
        <v>232.58249999999998</v>
      </c>
      <c r="N436" s="10">
        <v>432</v>
      </c>
    </row>
    <row r="437" spans="1:14" x14ac:dyDescent="0.25">
      <c r="A437" s="15"/>
      <c r="B437" s="17"/>
      <c r="C437" s="2">
        <f t="shared" ca="1" si="17"/>
        <v>0</v>
      </c>
      <c r="D437" s="3">
        <v>515</v>
      </c>
      <c r="E437" s="3">
        <f t="shared" ca="1" si="15"/>
        <v>0</v>
      </c>
      <c r="F437">
        <v>676</v>
      </c>
      <c r="G437">
        <v>1013</v>
      </c>
      <c r="H437">
        <v>7.7249999999999996</v>
      </c>
      <c r="I437">
        <v>154.5</v>
      </c>
      <c r="J437">
        <v>28</v>
      </c>
      <c r="K437" s="10">
        <v>52</v>
      </c>
      <c r="L437" s="2">
        <f t="shared" ca="1" si="16"/>
        <v>498.79310000000004</v>
      </c>
      <c r="M437" s="2">
        <f t="shared" si="13"/>
        <v>232.58249999999998</v>
      </c>
      <c r="N437" s="10">
        <v>432</v>
      </c>
    </row>
    <row r="438" spans="1:14" x14ac:dyDescent="0.25">
      <c r="A438" s="15"/>
      <c r="B438" s="17"/>
      <c r="C438" s="2">
        <f t="shared" ca="1" si="17"/>
        <v>0</v>
      </c>
      <c r="D438" s="3">
        <v>515</v>
      </c>
      <c r="E438" s="3">
        <f t="shared" ca="1" si="15"/>
        <v>0</v>
      </c>
      <c r="F438">
        <v>676</v>
      </c>
      <c r="G438">
        <v>1013</v>
      </c>
      <c r="H438">
        <v>7.7249999999999996</v>
      </c>
      <c r="I438">
        <v>154.5</v>
      </c>
      <c r="J438">
        <v>60</v>
      </c>
      <c r="K438" s="10">
        <v>54</v>
      </c>
      <c r="L438" s="2">
        <f t="shared" ca="1" si="16"/>
        <v>498.79310000000004</v>
      </c>
      <c r="M438" s="2">
        <f t="shared" si="13"/>
        <v>232.58249999999998</v>
      </c>
      <c r="N438" s="10">
        <v>432</v>
      </c>
    </row>
    <row r="439" spans="1:14" x14ac:dyDescent="0.25">
      <c r="A439" s="15"/>
      <c r="B439" s="17"/>
      <c r="C439" s="2">
        <f t="shared" si="17"/>
        <v>0.24349514563106797</v>
      </c>
      <c r="D439" s="3">
        <v>515</v>
      </c>
      <c r="E439">
        <v>1.254</v>
      </c>
      <c r="F439">
        <v>676</v>
      </c>
      <c r="G439">
        <v>1013</v>
      </c>
      <c r="H439">
        <v>7.7249999999999996</v>
      </c>
      <c r="I439">
        <v>154.5</v>
      </c>
      <c r="J439">
        <v>7</v>
      </c>
      <c r="K439" s="10">
        <v>34</v>
      </c>
      <c r="L439" s="2">
        <f t="shared" si="16"/>
        <v>498.91850000000005</v>
      </c>
      <c r="M439" s="2">
        <f t="shared" si="13"/>
        <v>232.58249999999998</v>
      </c>
      <c r="N439" s="10">
        <v>462</v>
      </c>
    </row>
    <row r="440" spans="1:14" x14ac:dyDescent="0.25">
      <c r="A440" s="15"/>
      <c r="B440" s="17"/>
      <c r="C440" s="2">
        <f t="shared" si="17"/>
        <v>0.24349514563106797</v>
      </c>
      <c r="D440" s="3">
        <v>515</v>
      </c>
      <c r="E440">
        <v>1.254</v>
      </c>
      <c r="F440">
        <v>676</v>
      </c>
      <c r="G440">
        <v>1013</v>
      </c>
      <c r="H440">
        <v>7.7249999999999996</v>
      </c>
      <c r="I440">
        <v>154.5</v>
      </c>
      <c r="J440">
        <v>21</v>
      </c>
      <c r="K440" s="10">
        <v>45</v>
      </c>
      <c r="L440" s="2">
        <f t="shared" si="16"/>
        <v>498.91850000000005</v>
      </c>
      <c r="M440" s="2">
        <f t="shared" si="13"/>
        <v>232.58249999999998</v>
      </c>
      <c r="N440" s="10">
        <v>462</v>
      </c>
    </row>
    <row r="441" spans="1:14" x14ac:dyDescent="0.25">
      <c r="A441" s="15"/>
      <c r="B441" s="17"/>
      <c r="C441" s="2">
        <f t="shared" si="17"/>
        <v>0.24349514563106797</v>
      </c>
      <c r="D441" s="3">
        <v>515</v>
      </c>
      <c r="E441">
        <v>1.254</v>
      </c>
      <c r="F441">
        <v>676</v>
      </c>
      <c r="G441">
        <v>1013</v>
      </c>
      <c r="H441">
        <v>7.7249999999999996</v>
      </c>
      <c r="I441">
        <v>154.5</v>
      </c>
      <c r="J441">
        <v>28</v>
      </c>
      <c r="K441" s="10">
        <v>50</v>
      </c>
      <c r="L441" s="2">
        <f t="shared" si="16"/>
        <v>498.91850000000005</v>
      </c>
      <c r="M441" s="2">
        <f t="shared" si="13"/>
        <v>232.58249999999998</v>
      </c>
      <c r="N441" s="10">
        <v>462</v>
      </c>
    </row>
    <row r="442" spans="1:14" x14ac:dyDescent="0.25">
      <c r="A442" s="15"/>
      <c r="B442" s="17"/>
      <c r="C442" s="2">
        <f t="shared" si="17"/>
        <v>0.24349514563106797</v>
      </c>
      <c r="D442" s="3">
        <v>515</v>
      </c>
      <c r="E442">
        <v>1.254</v>
      </c>
      <c r="F442">
        <v>676</v>
      </c>
      <c r="G442">
        <v>1013</v>
      </c>
      <c r="H442">
        <v>7.7249999999999996</v>
      </c>
      <c r="I442">
        <v>154.5</v>
      </c>
      <c r="J442">
        <v>60</v>
      </c>
      <c r="K442" s="10">
        <v>51</v>
      </c>
      <c r="L442" s="2">
        <f t="shared" si="16"/>
        <v>498.91850000000005</v>
      </c>
      <c r="M442" s="2">
        <f t="shared" si="13"/>
        <v>232.58249999999998</v>
      </c>
      <c r="N442" s="10">
        <v>462</v>
      </c>
    </row>
    <row r="443" spans="1:14" x14ac:dyDescent="0.25">
      <c r="A443" s="15"/>
      <c r="B443" s="17"/>
      <c r="C443" s="2">
        <f t="shared" si="17"/>
        <v>0.48699029126213594</v>
      </c>
      <c r="D443" s="3">
        <v>515</v>
      </c>
      <c r="E443">
        <v>2.508</v>
      </c>
      <c r="F443">
        <v>676</v>
      </c>
      <c r="G443">
        <v>1013</v>
      </c>
      <c r="H443">
        <v>7.7249999999999996</v>
      </c>
      <c r="I443">
        <v>154.5</v>
      </c>
      <c r="J443">
        <v>7</v>
      </c>
      <c r="K443" s="10">
        <v>32.5</v>
      </c>
      <c r="L443" s="2">
        <f t="shared" si="16"/>
        <v>499.04390000000006</v>
      </c>
      <c r="M443" s="2">
        <f t="shared" si="13"/>
        <v>232.58249999999998</v>
      </c>
      <c r="N443" s="10">
        <v>478</v>
      </c>
    </row>
    <row r="444" spans="1:14" x14ac:dyDescent="0.25">
      <c r="A444" s="15"/>
      <c r="B444" s="17"/>
      <c r="C444" s="2">
        <f t="shared" si="17"/>
        <v>0.48699029126213594</v>
      </c>
      <c r="D444" s="3">
        <v>515</v>
      </c>
      <c r="E444">
        <v>2.508</v>
      </c>
      <c r="F444">
        <v>676</v>
      </c>
      <c r="G444">
        <v>1013</v>
      </c>
      <c r="H444">
        <v>7.7249999999999996</v>
      </c>
      <c r="I444">
        <v>154.5</v>
      </c>
      <c r="J444">
        <v>21</v>
      </c>
      <c r="K444" s="10">
        <v>47.750999999999998</v>
      </c>
      <c r="L444" s="2">
        <f t="shared" si="16"/>
        <v>499.04390000000006</v>
      </c>
      <c r="M444" s="2">
        <f t="shared" si="13"/>
        <v>232.58249999999998</v>
      </c>
      <c r="N444" s="10">
        <v>478</v>
      </c>
    </row>
    <row r="445" spans="1:14" x14ac:dyDescent="0.25">
      <c r="A445" s="15"/>
      <c r="B445" s="17"/>
      <c r="C445" s="2">
        <f t="shared" si="17"/>
        <v>0.48699029126213594</v>
      </c>
      <c r="D445" s="3">
        <v>515</v>
      </c>
      <c r="E445">
        <v>2.508</v>
      </c>
      <c r="F445">
        <v>676</v>
      </c>
      <c r="G445">
        <v>1013</v>
      </c>
      <c r="H445">
        <v>7.7249999999999996</v>
      </c>
      <c r="I445">
        <v>154.5</v>
      </c>
      <c r="J445">
        <v>28</v>
      </c>
      <c r="K445" s="10">
        <v>51</v>
      </c>
      <c r="L445" s="2">
        <f t="shared" si="16"/>
        <v>499.04390000000006</v>
      </c>
      <c r="M445" s="2">
        <f t="shared" si="13"/>
        <v>232.58249999999998</v>
      </c>
      <c r="N445" s="10">
        <v>478</v>
      </c>
    </row>
    <row r="446" spans="1:14" x14ac:dyDescent="0.25">
      <c r="A446" s="15"/>
      <c r="B446" s="17"/>
      <c r="C446" s="2">
        <f t="shared" si="17"/>
        <v>0.48699029126213594</v>
      </c>
      <c r="D446" s="3">
        <v>515</v>
      </c>
      <c r="E446">
        <v>2.508</v>
      </c>
      <c r="F446">
        <v>676</v>
      </c>
      <c r="G446">
        <v>1013</v>
      </c>
      <c r="H446">
        <v>7.7249999999999996</v>
      </c>
      <c r="I446">
        <v>154.5</v>
      </c>
      <c r="J446">
        <v>60</v>
      </c>
      <c r="K446" s="10">
        <v>55</v>
      </c>
      <c r="L446" s="2">
        <f t="shared" si="16"/>
        <v>499.04390000000006</v>
      </c>
      <c r="M446" s="2">
        <f t="shared" si="13"/>
        <v>232.58249999999998</v>
      </c>
      <c r="N446" s="10">
        <v>478</v>
      </c>
    </row>
    <row r="447" spans="1:14" x14ac:dyDescent="0.25">
      <c r="A447" s="15"/>
      <c r="B447" s="17"/>
      <c r="C447" s="2">
        <f t="shared" si="17"/>
        <v>0.73048543689320389</v>
      </c>
      <c r="D447" s="3">
        <v>515</v>
      </c>
      <c r="E447">
        <v>3.762</v>
      </c>
      <c r="F447">
        <v>676</v>
      </c>
      <c r="G447">
        <v>1013</v>
      </c>
      <c r="H447">
        <v>7.7249999999999996</v>
      </c>
      <c r="I447">
        <v>154.5</v>
      </c>
      <c r="J447">
        <v>7</v>
      </c>
      <c r="K447" s="10">
        <v>30</v>
      </c>
      <c r="L447" s="2">
        <f t="shared" si="16"/>
        <v>499.16929999999996</v>
      </c>
      <c r="M447" s="2">
        <f t="shared" si="13"/>
        <v>232.58249999999998</v>
      </c>
      <c r="N447" s="10">
        <v>512</v>
      </c>
    </row>
    <row r="448" spans="1:14" x14ac:dyDescent="0.25">
      <c r="A448" s="15"/>
      <c r="B448" s="17"/>
      <c r="C448" s="2">
        <f t="shared" si="17"/>
        <v>0.73048543689320389</v>
      </c>
      <c r="D448" s="3">
        <v>515</v>
      </c>
      <c r="E448">
        <v>3.762</v>
      </c>
      <c r="F448">
        <v>676</v>
      </c>
      <c r="G448">
        <v>1013</v>
      </c>
      <c r="H448">
        <v>7.7249999999999996</v>
      </c>
      <c r="I448">
        <v>154.5</v>
      </c>
      <c r="J448">
        <v>21</v>
      </c>
      <c r="K448" s="10">
        <v>36.700000000000003</v>
      </c>
      <c r="L448" s="2">
        <f t="shared" si="16"/>
        <v>499.16929999999996</v>
      </c>
      <c r="M448" s="2">
        <f t="shared" si="13"/>
        <v>232.58249999999998</v>
      </c>
      <c r="N448" s="10">
        <v>512</v>
      </c>
    </row>
    <row r="449" spans="1:14" x14ac:dyDescent="0.25">
      <c r="A449" s="15"/>
      <c r="B449" s="17"/>
      <c r="C449" s="2">
        <f t="shared" si="17"/>
        <v>0.73048543689320389</v>
      </c>
      <c r="D449" s="3">
        <v>515</v>
      </c>
      <c r="E449">
        <v>3.762</v>
      </c>
      <c r="F449">
        <v>676</v>
      </c>
      <c r="G449">
        <v>1013</v>
      </c>
      <c r="H449">
        <v>7.7249999999999996</v>
      </c>
      <c r="I449">
        <v>154.5</v>
      </c>
      <c r="J449">
        <v>28</v>
      </c>
      <c r="K449" s="10">
        <v>44.2</v>
      </c>
      <c r="L449" s="2">
        <f t="shared" si="16"/>
        <v>499.16929999999996</v>
      </c>
      <c r="M449" s="2">
        <f t="shared" si="13"/>
        <v>232.58249999999998</v>
      </c>
      <c r="N449" s="10">
        <v>512</v>
      </c>
    </row>
    <row r="450" spans="1:14" x14ac:dyDescent="0.25">
      <c r="A450" s="15"/>
      <c r="B450" s="17"/>
      <c r="C450" s="2">
        <f t="shared" si="17"/>
        <v>0.73048543689320389</v>
      </c>
      <c r="D450" s="3">
        <v>515</v>
      </c>
      <c r="E450">
        <v>3.762</v>
      </c>
      <c r="F450">
        <v>676</v>
      </c>
      <c r="G450">
        <v>1013</v>
      </c>
      <c r="H450">
        <v>7.7249999999999996</v>
      </c>
      <c r="I450">
        <v>154.5</v>
      </c>
      <c r="J450">
        <v>60</v>
      </c>
      <c r="K450" s="10">
        <v>45</v>
      </c>
      <c r="L450" s="2">
        <f t="shared" si="16"/>
        <v>499.16929999999996</v>
      </c>
      <c r="M450" s="2">
        <f t="shared" si="13"/>
        <v>232.58249999999998</v>
      </c>
      <c r="N450" s="10">
        <v>512</v>
      </c>
    </row>
    <row r="451" spans="1:14" x14ac:dyDescent="0.25">
      <c r="A451" s="15" t="s">
        <v>382</v>
      </c>
      <c r="B451" s="15" t="s">
        <v>381</v>
      </c>
      <c r="C451">
        <v>0</v>
      </c>
      <c r="D451" s="3">
        <v>390</v>
      </c>
      <c r="E451">
        <v>0</v>
      </c>
      <c r="F451">
        <v>662</v>
      </c>
      <c r="G451">
        <v>993</v>
      </c>
      <c r="H451">
        <v>1.5</v>
      </c>
      <c r="I451">
        <v>195</v>
      </c>
      <c r="J451">
        <v>7</v>
      </c>
      <c r="K451" s="10">
        <v>19.7</v>
      </c>
      <c r="L451" s="2">
        <f t="shared" si="16"/>
        <v>381.48050000000001</v>
      </c>
      <c r="M451" s="2">
        <f t="shared" ref="M451:M490" si="18">SUM((D451*5)+((F451*0.25)+(G451*0.2)+(H451*20)))*0.075</f>
        <v>175.80749999999998</v>
      </c>
      <c r="N451" s="10">
        <v>60</v>
      </c>
    </row>
    <row r="452" spans="1:14" x14ac:dyDescent="0.25">
      <c r="A452" s="15"/>
      <c r="B452" s="15"/>
      <c r="C452">
        <v>0</v>
      </c>
      <c r="D452" s="3">
        <v>390</v>
      </c>
      <c r="E452">
        <v>0</v>
      </c>
      <c r="F452">
        <v>662</v>
      </c>
      <c r="G452">
        <v>993</v>
      </c>
      <c r="H452">
        <v>1.5</v>
      </c>
      <c r="I452">
        <v>195</v>
      </c>
      <c r="J452">
        <v>28</v>
      </c>
      <c r="K452" s="10">
        <v>26.9</v>
      </c>
      <c r="L452" s="2">
        <f t="shared" si="16"/>
        <v>381.48050000000001</v>
      </c>
      <c r="M452" s="2">
        <f t="shared" si="18"/>
        <v>175.80749999999998</v>
      </c>
      <c r="N452" s="10">
        <v>60</v>
      </c>
    </row>
    <row r="453" spans="1:14" x14ac:dyDescent="0.25">
      <c r="A453" s="15"/>
      <c r="B453" s="15"/>
      <c r="C453">
        <v>0</v>
      </c>
      <c r="D453" s="3">
        <v>390</v>
      </c>
      <c r="E453">
        <v>0</v>
      </c>
      <c r="F453">
        <v>662</v>
      </c>
      <c r="G453">
        <v>993</v>
      </c>
      <c r="H453">
        <v>1.5</v>
      </c>
      <c r="I453">
        <v>195</v>
      </c>
      <c r="J453">
        <v>56</v>
      </c>
      <c r="K453" s="10">
        <v>29</v>
      </c>
      <c r="L453" s="2">
        <f t="shared" si="16"/>
        <v>381.48050000000001</v>
      </c>
      <c r="M453" s="2">
        <f t="shared" si="18"/>
        <v>175.80749999999998</v>
      </c>
      <c r="N453" s="10">
        <v>60</v>
      </c>
    </row>
    <row r="454" spans="1:14" x14ac:dyDescent="0.25">
      <c r="A454" s="15"/>
      <c r="B454" s="15"/>
      <c r="C454">
        <v>0</v>
      </c>
      <c r="D454" s="3">
        <v>390</v>
      </c>
      <c r="E454">
        <v>0</v>
      </c>
      <c r="F454">
        <v>662</v>
      </c>
      <c r="G454">
        <v>993</v>
      </c>
      <c r="H454">
        <v>1.5</v>
      </c>
      <c r="I454">
        <v>195</v>
      </c>
      <c r="J454">
        <v>90</v>
      </c>
      <c r="K454" s="10">
        <v>33.9</v>
      </c>
      <c r="L454" s="2">
        <f t="shared" si="16"/>
        <v>381.48050000000001</v>
      </c>
      <c r="M454" s="2">
        <f t="shared" si="18"/>
        <v>175.80749999999998</v>
      </c>
      <c r="N454" s="10">
        <v>60</v>
      </c>
    </row>
    <row r="455" spans="1:14" x14ac:dyDescent="0.25">
      <c r="A455" s="15"/>
      <c r="B455" s="15"/>
      <c r="C455">
        <v>5</v>
      </c>
      <c r="D455" s="3">
        <v>370.5</v>
      </c>
      <c r="E455">
        <v>19.5</v>
      </c>
      <c r="F455">
        <v>662</v>
      </c>
      <c r="G455">
        <v>993</v>
      </c>
      <c r="H455">
        <v>1.482</v>
      </c>
      <c r="I455">
        <v>195</v>
      </c>
      <c r="J455">
        <v>7</v>
      </c>
      <c r="K455" s="10">
        <v>21</v>
      </c>
      <c r="L455" s="2">
        <f t="shared" si="16"/>
        <v>367.20949999999999</v>
      </c>
      <c r="M455" s="2">
        <f t="shared" si="18"/>
        <v>168.46799999999999</v>
      </c>
      <c r="N455" s="10">
        <v>63</v>
      </c>
    </row>
    <row r="456" spans="1:14" x14ac:dyDescent="0.25">
      <c r="A456" s="15"/>
      <c r="B456" s="15"/>
      <c r="C456">
        <v>5</v>
      </c>
      <c r="D456" s="3">
        <v>370.5</v>
      </c>
      <c r="E456">
        <v>19.5</v>
      </c>
      <c r="F456">
        <v>662</v>
      </c>
      <c r="G456">
        <v>993</v>
      </c>
      <c r="H456">
        <v>1.482</v>
      </c>
      <c r="I456">
        <v>195</v>
      </c>
      <c r="J456">
        <v>28</v>
      </c>
      <c r="K456" s="10">
        <v>27.6</v>
      </c>
      <c r="L456" s="2">
        <f t="shared" si="16"/>
        <v>367.20949999999999</v>
      </c>
      <c r="M456" s="2">
        <f t="shared" si="18"/>
        <v>168.46799999999999</v>
      </c>
      <c r="N456" s="10">
        <v>63</v>
      </c>
    </row>
    <row r="457" spans="1:14" x14ac:dyDescent="0.25">
      <c r="A457" s="15"/>
      <c r="B457" s="15"/>
      <c r="C457">
        <v>5</v>
      </c>
      <c r="D457" s="3">
        <v>370.5</v>
      </c>
      <c r="E457">
        <v>19.5</v>
      </c>
      <c r="F457">
        <v>662</v>
      </c>
      <c r="G457">
        <v>993</v>
      </c>
      <c r="H457">
        <v>1.482</v>
      </c>
      <c r="I457">
        <v>195</v>
      </c>
      <c r="J457">
        <v>56</v>
      </c>
      <c r="K457" s="10">
        <v>30.4</v>
      </c>
      <c r="L457" s="2">
        <f t="shared" si="16"/>
        <v>367.20949999999999</v>
      </c>
      <c r="M457" s="2">
        <f t="shared" si="18"/>
        <v>168.46799999999999</v>
      </c>
      <c r="N457" s="10">
        <v>63</v>
      </c>
    </row>
    <row r="458" spans="1:14" x14ac:dyDescent="0.25">
      <c r="A458" s="15"/>
      <c r="B458" s="15"/>
      <c r="C458">
        <v>5</v>
      </c>
      <c r="D458" s="3">
        <v>370.5</v>
      </c>
      <c r="E458">
        <v>19.5</v>
      </c>
      <c r="F458">
        <v>662</v>
      </c>
      <c r="G458">
        <v>993</v>
      </c>
      <c r="H458">
        <v>1.482</v>
      </c>
      <c r="I458">
        <v>195</v>
      </c>
      <c r="J458">
        <v>90</v>
      </c>
      <c r="K458" s="10">
        <v>35.799999999999997</v>
      </c>
      <c r="L458" s="2">
        <f t="shared" si="16"/>
        <v>367.20949999999999</v>
      </c>
      <c r="M458" s="2">
        <f t="shared" si="18"/>
        <v>168.46799999999999</v>
      </c>
      <c r="N458" s="10">
        <v>63</v>
      </c>
    </row>
    <row r="459" spans="1:14" x14ac:dyDescent="0.25">
      <c r="A459" s="15"/>
      <c r="B459" s="15"/>
      <c r="C459">
        <v>10</v>
      </c>
      <c r="D459" s="3">
        <v>351</v>
      </c>
      <c r="E459">
        <v>39</v>
      </c>
      <c r="F459">
        <v>662</v>
      </c>
      <c r="G459">
        <v>993</v>
      </c>
      <c r="H459">
        <v>1.4039999999999999</v>
      </c>
      <c r="I459">
        <v>195</v>
      </c>
      <c r="J459">
        <v>7</v>
      </c>
      <c r="K459" s="10">
        <v>21.1</v>
      </c>
      <c r="L459" s="2">
        <f t="shared" si="16"/>
        <v>352.81849999999997</v>
      </c>
      <c r="M459" s="2">
        <f t="shared" si="18"/>
        <v>161.03849999999997</v>
      </c>
      <c r="N459" s="10">
        <v>58</v>
      </c>
    </row>
    <row r="460" spans="1:14" x14ac:dyDescent="0.25">
      <c r="A460" s="15"/>
      <c r="B460" s="15"/>
      <c r="C460">
        <v>10</v>
      </c>
      <c r="D460" s="3">
        <v>351</v>
      </c>
      <c r="E460">
        <v>39</v>
      </c>
      <c r="F460">
        <v>662</v>
      </c>
      <c r="G460">
        <v>993</v>
      </c>
      <c r="H460">
        <v>1.4039999999999999</v>
      </c>
      <c r="I460">
        <v>195</v>
      </c>
      <c r="J460">
        <v>28</v>
      </c>
      <c r="K460" s="10">
        <v>28.5</v>
      </c>
      <c r="L460" s="2">
        <f t="shared" si="16"/>
        <v>352.81849999999997</v>
      </c>
      <c r="M460" s="2">
        <f t="shared" si="18"/>
        <v>161.03849999999997</v>
      </c>
      <c r="N460" s="10">
        <v>58</v>
      </c>
    </row>
    <row r="461" spans="1:14" x14ac:dyDescent="0.25">
      <c r="A461" s="15"/>
      <c r="B461" s="15"/>
      <c r="C461">
        <v>10</v>
      </c>
      <c r="D461" s="3">
        <v>351</v>
      </c>
      <c r="E461">
        <v>39</v>
      </c>
      <c r="F461">
        <v>662</v>
      </c>
      <c r="G461">
        <v>993</v>
      </c>
      <c r="H461">
        <v>1.4039999999999999</v>
      </c>
      <c r="I461">
        <v>195</v>
      </c>
      <c r="J461">
        <v>56</v>
      </c>
      <c r="K461" s="10">
        <v>32.299999999999997</v>
      </c>
      <c r="L461" s="2">
        <f t="shared" si="16"/>
        <v>352.81849999999997</v>
      </c>
      <c r="M461" s="2">
        <f t="shared" si="18"/>
        <v>161.03849999999997</v>
      </c>
      <c r="N461" s="10">
        <v>58</v>
      </c>
    </row>
    <row r="462" spans="1:14" x14ac:dyDescent="0.25">
      <c r="A462" s="15"/>
      <c r="B462" s="15"/>
      <c r="C462">
        <v>10</v>
      </c>
      <c r="D462" s="3">
        <v>351</v>
      </c>
      <c r="E462">
        <v>39</v>
      </c>
      <c r="F462">
        <v>662</v>
      </c>
      <c r="G462">
        <v>993</v>
      </c>
      <c r="H462">
        <v>1.4039999999999999</v>
      </c>
      <c r="I462">
        <v>195</v>
      </c>
      <c r="J462">
        <v>90</v>
      </c>
      <c r="K462" s="10">
        <v>38.5</v>
      </c>
      <c r="L462" s="2">
        <f t="shared" si="16"/>
        <v>352.81849999999997</v>
      </c>
      <c r="M462" s="2">
        <f t="shared" si="18"/>
        <v>161.03849999999997</v>
      </c>
      <c r="N462" s="10">
        <v>58</v>
      </c>
    </row>
    <row r="463" spans="1:14" x14ac:dyDescent="0.25">
      <c r="A463" s="15"/>
      <c r="B463" s="15"/>
      <c r="C463">
        <v>15</v>
      </c>
      <c r="D463" s="3">
        <v>331.5</v>
      </c>
      <c r="E463">
        <v>58.5</v>
      </c>
      <c r="F463">
        <v>662</v>
      </c>
      <c r="G463">
        <v>993</v>
      </c>
      <c r="H463">
        <v>1.3260000000000001</v>
      </c>
      <c r="I463">
        <v>195</v>
      </c>
      <c r="J463">
        <v>7</v>
      </c>
      <c r="K463" s="10">
        <v>17.600000000000001</v>
      </c>
      <c r="L463" s="2">
        <f t="shared" si="16"/>
        <v>338.42750000000001</v>
      </c>
      <c r="M463" s="2">
        <f t="shared" si="18"/>
        <v>153.60899999999998</v>
      </c>
      <c r="N463" s="10">
        <v>56.5</v>
      </c>
    </row>
    <row r="464" spans="1:14" x14ac:dyDescent="0.25">
      <c r="A464" s="15"/>
      <c r="B464" s="15"/>
      <c r="C464">
        <v>15</v>
      </c>
      <c r="D464" s="3">
        <v>331.5</v>
      </c>
      <c r="E464">
        <v>58.5</v>
      </c>
      <c r="F464">
        <v>662</v>
      </c>
      <c r="G464">
        <v>993</v>
      </c>
      <c r="H464">
        <v>1.3260000000000001</v>
      </c>
      <c r="I464">
        <v>195</v>
      </c>
      <c r="J464">
        <v>28</v>
      </c>
      <c r="K464" s="10">
        <v>25.5</v>
      </c>
      <c r="L464" s="2">
        <f t="shared" si="16"/>
        <v>338.42750000000001</v>
      </c>
      <c r="M464" s="2">
        <f t="shared" si="18"/>
        <v>153.60899999999998</v>
      </c>
      <c r="N464" s="10">
        <v>56.5</v>
      </c>
    </row>
    <row r="465" spans="1:14" x14ac:dyDescent="0.25">
      <c r="A465" s="15"/>
      <c r="B465" s="15"/>
      <c r="C465">
        <v>15</v>
      </c>
      <c r="D465" s="3">
        <v>331.5</v>
      </c>
      <c r="E465">
        <v>58.5</v>
      </c>
      <c r="F465">
        <v>662</v>
      </c>
      <c r="G465">
        <v>993</v>
      </c>
      <c r="H465">
        <v>1.3260000000000001</v>
      </c>
      <c r="I465">
        <v>195</v>
      </c>
      <c r="J465">
        <v>56</v>
      </c>
      <c r="K465" s="10">
        <v>28.6</v>
      </c>
      <c r="L465" s="2">
        <f t="shared" si="16"/>
        <v>338.42750000000001</v>
      </c>
      <c r="M465" s="2">
        <f t="shared" si="18"/>
        <v>153.60899999999998</v>
      </c>
      <c r="N465" s="10">
        <v>56.5</v>
      </c>
    </row>
    <row r="466" spans="1:14" x14ac:dyDescent="0.25">
      <c r="A466" s="15"/>
      <c r="B466" s="15"/>
      <c r="C466">
        <v>15</v>
      </c>
      <c r="D466" s="3">
        <v>331.5</v>
      </c>
      <c r="E466">
        <v>58.5</v>
      </c>
      <c r="F466">
        <v>662</v>
      </c>
      <c r="G466">
        <v>993</v>
      </c>
      <c r="H466">
        <v>1.3260000000000001</v>
      </c>
      <c r="I466">
        <v>195</v>
      </c>
      <c r="J466">
        <v>90</v>
      </c>
      <c r="K466" s="10">
        <v>32</v>
      </c>
      <c r="L466" s="2">
        <f t="shared" si="16"/>
        <v>338.42750000000001</v>
      </c>
      <c r="M466" s="2">
        <f t="shared" si="18"/>
        <v>153.60899999999998</v>
      </c>
      <c r="N466" s="10">
        <v>56.5</v>
      </c>
    </row>
    <row r="467" spans="1:14" x14ac:dyDescent="0.25">
      <c r="A467" s="15"/>
      <c r="B467" s="15"/>
      <c r="C467">
        <v>20</v>
      </c>
      <c r="D467" s="3">
        <v>312</v>
      </c>
      <c r="E467">
        <v>78</v>
      </c>
      <c r="F467">
        <v>662</v>
      </c>
      <c r="G467">
        <v>993</v>
      </c>
      <c r="H467">
        <v>1.248</v>
      </c>
      <c r="I467">
        <v>195</v>
      </c>
      <c r="J467">
        <v>7</v>
      </c>
      <c r="K467" s="10">
        <v>115.8</v>
      </c>
      <c r="L467" s="2">
        <f t="shared" si="16"/>
        <v>324.03649999999999</v>
      </c>
      <c r="M467" s="2">
        <f t="shared" si="18"/>
        <v>146.17949999999999</v>
      </c>
      <c r="N467" s="10">
        <v>55.5</v>
      </c>
    </row>
    <row r="468" spans="1:14" x14ac:dyDescent="0.25">
      <c r="A468" s="15"/>
      <c r="B468" s="15"/>
      <c r="C468">
        <v>20</v>
      </c>
      <c r="D468" s="3">
        <v>312</v>
      </c>
      <c r="E468">
        <v>78</v>
      </c>
      <c r="F468">
        <v>662</v>
      </c>
      <c r="G468">
        <v>993</v>
      </c>
      <c r="H468">
        <v>1.248</v>
      </c>
      <c r="I468">
        <v>195</v>
      </c>
      <c r="J468">
        <v>28</v>
      </c>
      <c r="K468" s="10">
        <v>24.1</v>
      </c>
      <c r="L468" s="2">
        <f t="shared" si="16"/>
        <v>324.03649999999999</v>
      </c>
      <c r="M468" s="2">
        <f t="shared" si="18"/>
        <v>146.17949999999999</v>
      </c>
      <c r="N468" s="10">
        <v>55.5</v>
      </c>
    </row>
    <row r="469" spans="1:14" x14ac:dyDescent="0.25">
      <c r="A469" s="15"/>
      <c r="B469" s="15"/>
      <c r="C469">
        <v>20</v>
      </c>
      <c r="D469" s="3">
        <v>312</v>
      </c>
      <c r="E469">
        <v>78</v>
      </c>
      <c r="F469">
        <v>662</v>
      </c>
      <c r="G469">
        <v>993</v>
      </c>
      <c r="H469">
        <v>1.248</v>
      </c>
      <c r="I469">
        <v>195</v>
      </c>
      <c r="J469">
        <v>56</v>
      </c>
      <c r="K469" s="10">
        <v>26.8</v>
      </c>
      <c r="L469" s="2">
        <f t="shared" si="16"/>
        <v>324.03649999999999</v>
      </c>
      <c r="M469" s="2">
        <f t="shared" si="18"/>
        <v>146.17949999999999</v>
      </c>
      <c r="N469" s="10">
        <v>55.5</v>
      </c>
    </row>
    <row r="470" spans="1:14" x14ac:dyDescent="0.25">
      <c r="A470" s="15"/>
      <c r="B470" s="15"/>
      <c r="C470">
        <v>20</v>
      </c>
      <c r="D470" s="3">
        <v>312</v>
      </c>
      <c r="E470">
        <v>78</v>
      </c>
      <c r="F470">
        <v>662</v>
      </c>
      <c r="G470">
        <v>993</v>
      </c>
      <c r="H470">
        <v>1.248</v>
      </c>
      <c r="I470">
        <v>195</v>
      </c>
      <c r="J470">
        <v>90</v>
      </c>
      <c r="K470" s="10">
        <v>30.4</v>
      </c>
      <c r="L470" s="2">
        <f t="shared" si="16"/>
        <v>324.03649999999999</v>
      </c>
      <c r="M470" s="2">
        <f t="shared" si="18"/>
        <v>146.17949999999999</v>
      </c>
      <c r="N470" s="10">
        <v>55.5</v>
      </c>
    </row>
    <row r="471" spans="1:14" x14ac:dyDescent="0.25">
      <c r="A471" s="15" t="s">
        <v>383</v>
      </c>
      <c r="B471" s="15" t="s">
        <v>132</v>
      </c>
      <c r="C471">
        <v>0</v>
      </c>
      <c r="D471" s="3">
        <v>365</v>
      </c>
      <c r="E471">
        <v>0</v>
      </c>
      <c r="F471">
        <v>778</v>
      </c>
      <c r="G471">
        <v>1086</v>
      </c>
      <c r="H471">
        <v>0</v>
      </c>
      <c r="I471">
        <v>196.74</v>
      </c>
      <c r="J471">
        <v>3</v>
      </c>
      <c r="K471" s="10">
        <v>17</v>
      </c>
      <c r="L471" s="2">
        <f t="shared" si="16"/>
        <v>363.61159999999995</v>
      </c>
      <c r="M471" s="2">
        <f t="shared" si="18"/>
        <v>167.75249999999997</v>
      </c>
      <c r="N471" s="10">
        <v>30</v>
      </c>
    </row>
    <row r="472" spans="1:14" x14ac:dyDescent="0.25">
      <c r="A472" s="15"/>
      <c r="B472" s="15"/>
      <c r="C472">
        <v>0</v>
      </c>
      <c r="D472" s="3">
        <v>365</v>
      </c>
      <c r="E472">
        <v>0</v>
      </c>
      <c r="F472">
        <v>778</v>
      </c>
      <c r="G472">
        <v>1086</v>
      </c>
      <c r="H472">
        <v>0</v>
      </c>
      <c r="I472">
        <v>196.74</v>
      </c>
      <c r="J472">
        <v>7</v>
      </c>
      <c r="K472" s="10">
        <v>29</v>
      </c>
      <c r="L472" s="2">
        <f t="shared" si="16"/>
        <v>363.61159999999995</v>
      </c>
      <c r="M472" s="2">
        <f t="shared" si="18"/>
        <v>167.75249999999997</v>
      </c>
      <c r="N472" s="10">
        <v>30</v>
      </c>
    </row>
    <row r="473" spans="1:14" x14ac:dyDescent="0.25">
      <c r="A473" s="15"/>
      <c r="B473" s="15"/>
      <c r="C473">
        <v>0</v>
      </c>
      <c r="D473" s="3">
        <v>365</v>
      </c>
      <c r="E473">
        <v>0</v>
      </c>
      <c r="F473">
        <v>778</v>
      </c>
      <c r="G473">
        <v>1086</v>
      </c>
      <c r="H473">
        <v>0</v>
      </c>
      <c r="I473">
        <v>196.74</v>
      </c>
      <c r="J473">
        <v>28</v>
      </c>
      <c r="K473" s="10">
        <v>37</v>
      </c>
      <c r="L473" s="2">
        <f t="shared" si="16"/>
        <v>363.61159999999995</v>
      </c>
      <c r="M473" s="2">
        <f t="shared" si="18"/>
        <v>167.75249999999997</v>
      </c>
      <c r="N473" s="10">
        <v>30</v>
      </c>
    </row>
    <row r="474" spans="1:14" x14ac:dyDescent="0.25">
      <c r="A474" s="15"/>
      <c r="B474" s="15"/>
      <c r="C474">
        <v>0</v>
      </c>
      <c r="D474" s="3">
        <v>365</v>
      </c>
      <c r="E474">
        <v>0</v>
      </c>
      <c r="F474">
        <v>778</v>
      </c>
      <c r="G474">
        <v>1086</v>
      </c>
      <c r="H474">
        <v>0</v>
      </c>
      <c r="I474">
        <v>196.74</v>
      </c>
      <c r="J474">
        <v>56</v>
      </c>
      <c r="K474" s="10">
        <v>39.799999999999997</v>
      </c>
      <c r="L474" s="2">
        <f t="shared" si="16"/>
        <v>363.61159999999995</v>
      </c>
      <c r="M474" s="2">
        <f t="shared" si="18"/>
        <v>167.75249999999997</v>
      </c>
      <c r="N474" s="10">
        <v>30</v>
      </c>
    </row>
    <row r="475" spans="1:14" x14ac:dyDescent="0.25">
      <c r="A475" s="15"/>
      <c r="B475" s="15"/>
      <c r="C475">
        <v>5</v>
      </c>
      <c r="D475" s="3">
        <v>346.5</v>
      </c>
      <c r="E475">
        <v>18.25</v>
      </c>
      <c r="F475">
        <v>778</v>
      </c>
      <c r="G475">
        <v>1086</v>
      </c>
      <c r="H475">
        <v>0</v>
      </c>
      <c r="I475">
        <v>196.74</v>
      </c>
      <c r="J475">
        <v>3</v>
      </c>
      <c r="K475" s="10">
        <v>16.8</v>
      </c>
      <c r="L475" s="2">
        <f t="shared" si="16"/>
        <v>350.08159999999998</v>
      </c>
      <c r="M475" s="2">
        <f t="shared" si="18"/>
        <v>160.81499999999997</v>
      </c>
      <c r="N475" s="10">
        <v>25</v>
      </c>
    </row>
    <row r="476" spans="1:14" x14ac:dyDescent="0.25">
      <c r="A476" s="15"/>
      <c r="B476" s="15"/>
      <c r="C476">
        <v>5</v>
      </c>
      <c r="D476" s="3">
        <v>346.5</v>
      </c>
      <c r="E476">
        <v>18.25</v>
      </c>
      <c r="F476">
        <v>778</v>
      </c>
      <c r="G476">
        <v>1086</v>
      </c>
      <c r="H476">
        <v>0</v>
      </c>
      <c r="I476">
        <v>196.74</v>
      </c>
      <c r="J476">
        <v>7</v>
      </c>
      <c r="K476" s="10">
        <v>28.4</v>
      </c>
      <c r="L476" s="2">
        <f t="shared" si="16"/>
        <v>350.08159999999998</v>
      </c>
      <c r="M476" s="2">
        <f t="shared" si="18"/>
        <v>160.81499999999997</v>
      </c>
      <c r="N476" s="10">
        <v>25</v>
      </c>
    </row>
    <row r="477" spans="1:14" x14ac:dyDescent="0.25">
      <c r="A477" s="15"/>
      <c r="B477" s="15"/>
      <c r="C477">
        <v>5</v>
      </c>
      <c r="D477" s="3">
        <v>346.5</v>
      </c>
      <c r="E477">
        <v>18.25</v>
      </c>
      <c r="F477">
        <v>778</v>
      </c>
      <c r="G477">
        <v>1086</v>
      </c>
      <c r="H477">
        <v>0</v>
      </c>
      <c r="I477">
        <v>196.74</v>
      </c>
      <c r="J477">
        <v>28</v>
      </c>
      <c r="K477" s="10">
        <v>36.200000000000003</v>
      </c>
      <c r="L477" s="2">
        <f t="shared" si="16"/>
        <v>350.08159999999998</v>
      </c>
      <c r="M477" s="2">
        <f t="shared" si="18"/>
        <v>160.81499999999997</v>
      </c>
      <c r="N477" s="10">
        <v>25</v>
      </c>
    </row>
    <row r="478" spans="1:14" x14ac:dyDescent="0.25">
      <c r="A478" s="15"/>
      <c r="B478" s="15"/>
      <c r="C478">
        <v>5</v>
      </c>
      <c r="D478" s="3">
        <v>346.5</v>
      </c>
      <c r="E478">
        <v>18.25</v>
      </c>
      <c r="F478">
        <v>778</v>
      </c>
      <c r="G478">
        <v>1086</v>
      </c>
      <c r="H478">
        <v>0</v>
      </c>
      <c r="I478">
        <v>196.74</v>
      </c>
      <c r="J478">
        <v>56</v>
      </c>
      <c r="K478" s="10">
        <v>40.5</v>
      </c>
      <c r="L478" s="2">
        <f t="shared" si="16"/>
        <v>350.08159999999998</v>
      </c>
      <c r="M478" s="2">
        <f t="shared" si="18"/>
        <v>160.81499999999997</v>
      </c>
      <c r="N478" s="10">
        <v>25</v>
      </c>
    </row>
    <row r="479" spans="1:14" x14ac:dyDescent="0.25">
      <c r="A479" s="15"/>
      <c r="B479" s="15"/>
      <c r="C479">
        <v>10</v>
      </c>
      <c r="D479" s="3">
        <v>328.5</v>
      </c>
      <c r="E479">
        <v>36.5</v>
      </c>
      <c r="F479">
        <v>778</v>
      </c>
      <c r="G479">
        <v>1086</v>
      </c>
      <c r="H479">
        <v>0</v>
      </c>
      <c r="I479">
        <v>196.74</v>
      </c>
      <c r="J479">
        <v>3</v>
      </c>
      <c r="K479" s="10">
        <v>16</v>
      </c>
      <c r="L479" s="2">
        <f t="shared" si="16"/>
        <v>336.96659999999997</v>
      </c>
      <c r="M479" s="2">
        <f t="shared" si="18"/>
        <v>154.06499999999997</v>
      </c>
      <c r="N479" s="10">
        <v>25</v>
      </c>
    </row>
    <row r="480" spans="1:14" x14ac:dyDescent="0.25">
      <c r="A480" s="15"/>
      <c r="B480" s="15"/>
      <c r="C480">
        <v>10</v>
      </c>
      <c r="D480" s="3">
        <v>328.5</v>
      </c>
      <c r="E480">
        <v>36.5</v>
      </c>
      <c r="F480">
        <v>778</v>
      </c>
      <c r="G480">
        <v>1086</v>
      </c>
      <c r="H480">
        <v>0</v>
      </c>
      <c r="I480">
        <v>196.74</v>
      </c>
      <c r="J480">
        <v>7</v>
      </c>
      <c r="K480" s="10">
        <v>26</v>
      </c>
      <c r="L480" s="2">
        <f t="shared" si="16"/>
        <v>336.96659999999997</v>
      </c>
      <c r="M480" s="2">
        <f t="shared" si="18"/>
        <v>154.06499999999997</v>
      </c>
      <c r="N480" s="10">
        <v>25</v>
      </c>
    </row>
    <row r="481" spans="1:14" x14ac:dyDescent="0.25">
      <c r="A481" s="15"/>
      <c r="B481" s="15"/>
      <c r="C481">
        <v>10</v>
      </c>
      <c r="D481" s="3">
        <v>328.5</v>
      </c>
      <c r="E481">
        <v>36.5</v>
      </c>
      <c r="F481">
        <v>778</v>
      </c>
      <c r="G481">
        <v>1086</v>
      </c>
      <c r="H481">
        <v>0</v>
      </c>
      <c r="I481">
        <v>196.74</v>
      </c>
      <c r="J481">
        <v>28</v>
      </c>
      <c r="K481" s="10">
        <v>36</v>
      </c>
      <c r="L481" s="2">
        <f t="shared" si="16"/>
        <v>336.96659999999997</v>
      </c>
      <c r="M481" s="2">
        <f t="shared" si="18"/>
        <v>154.06499999999997</v>
      </c>
      <c r="N481" s="10">
        <v>25</v>
      </c>
    </row>
    <row r="482" spans="1:14" x14ac:dyDescent="0.25">
      <c r="A482" s="15"/>
      <c r="B482" s="15"/>
      <c r="C482">
        <v>10</v>
      </c>
      <c r="D482" s="3">
        <v>328.5</v>
      </c>
      <c r="E482">
        <v>36.5</v>
      </c>
      <c r="F482">
        <v>778</v>
      </c>
      <c r="G482">
        <v>1086</v>
      </c>
      <c r="H482">
        <v>0</v>
      </c>
      <c r="I482">
        <v>196.74</v>
      </c>
      <c r="J482">
        <v>56</v>
      </c>
      <c r="K482" s="10">
        <v>39.9</v>
      </c>
      <c r="L482" s="2">
        <f t="shared" si="16"/>
        <v>336.96659999999997</v>
      </c>
      <c r="M482" s="2">
        <f t="shared" si="18"/>
        <v>154.06499999999997</v>
      </c>
      <c r="N482" s="10">
        <v>25</v>
      </c>
    </row>
    <row r="483" spans="1:14" x14ac:dyDescent="0.25">
      <c r="A483" s="15"/>
      <c r="B483" s="15"/>
      <c r="C483">
        <v>15</v>
      </c>
      <c r="D483" s="3">
        <v>310.25</v>
      </c>
      <c r="E483">
        <v>54.75</v>
      </c>
      <c r="F483">
        <v>742.15</v>
      </c>
      <c r="G483">
        <v>1086</v>
      </c>
      <c r="H483">
        <v>0</v>
      </c>
      <c r="I483">
        <v>196.74</v>
      </c>
      <c r="J483">
        <v>3</v>
      </c>
      <c r="K483" s="10">
        <v>13.2</v>
      </c>
      <c r="L483" s="2">
        <f t="shared" si="16"/>
        <v>323.14578499999999</v>
      </c>
      <c r="M483" s="2">
        <f t="shared" si="18"/>
        <v>146.54906249999999</v>
      </c>
      <c r="N483" s="10">
        <v>20</v>
      </c>
    </row>
    <row r="484" spans="1:14" x14ac:dyDescent="0.25">
      <c r="A484" s="15"/>
      <c r="B484" s="15"/>
      <c r="C484">
        <v>15</v>
      </c>
      <c r="D484" s="3">
        <v>310.25</v>
      </c>
      <c r="E484">
        <v>54.75</v>
      </c>
      <c r="F484">
        <v>742.15</v>
      </c>
      <c r="G484">
        <v>1086</v>
      </c>
      <c r="H484">
        <v>0</v>
      </c>
      <c r="I484">
        <v>196.74</v>
      </c>
      <c r="J484">
        <v>7</v>
      </c>
      <c r="K484" s="10">
        <v>23.8</v>
      </c>
      <c r="L484" s="2">
        <f t="shared" si="16"/>
        <v>323.14578499999999</v>
      </c>
      <c r="M484" s="2">
        <f t="shared" si="18"/>
        <v>146.54906249999999</v>
      </c>
      <c r="N484" s="10">
        <v>20</v>
      </c>
    </row>
    <row r="485" spans="1:14" x14ac:dyDescent="0.25">
      <c r="A485" s="15"/>
      <c r="B485" s="15"/>
      <c r="C485">
        <v>15</v>
      </c>
      <c r="D485" s="3">
        <v>310.25</v>
      </c>
      <c r="E485">
        <v>54.75</v>
      </c>
      <c r="F485">
        <v>742.15</v>
      </c>
      <c r="G485">
        <v>1086</v>
      </c>
      <c r="H485">
        <v>0</v>
      </c>
      <c r="I485">
        <v>196.74</v>
      </c>
      <c r="J485">
        <v>28</v>
      </c>
      <c r="K485" s="10">
        <v>32</v>
      </c>
      <c r="L485" s="2">
        <f t="shared" si="16"/>
        <v>323.14578499999999</v>
      </c>
      <c r="M485" s="2">
        <f t="shared" si="18"/>
        <v>146.54906249999999</v>
      </c>
      <c r="N485" s="10">
        <v>20</v>
      </c>
    </row>
    <row r="486" spans="1:14" x14ac:dyDescent="0.25">
      <c r="A486" s="15"/>
      <c r="B486" s="15"/>
      <c r="C486">
        <v>15</v>
      </c>
      <c r="D486" s="3">
        <v>310.25</v>
      </c>
      <c r="E486">
        <v>54.75</v>
      </c>
      <c r="F486">
        <v>742.15</v>
      </c>
      <c r="G486">
        <v>1086</v>
      </c>
      <c r="H486">
        <v>0</v>
      </c>
      <c r="I486">
        <v>196.74</v>
      </c>
      <c r="J486">
        <v>56</v>
      </c>
      <c r="K486" s="10">
        <v>38</v>
      </c>
      <c r="L486" s="2">
        <f t="shared" si="16"/>
        <v>323.14578499999999</v>
      </c>
      <c r="M486" s="2">
        <f t="shared" si="18"/>
        <v>146.54906249999999</v>
      </c>
      <c r="N486" s="10">
        <v>20</v>
      </c>
    </row>
    <row r="487" spans="1:14" x14ac:dyDescent="0.25">
      <c r="A487" s="15"/>
      <c r="B487" s="15"/>
      <c r="C487">
        <v>20</v>
      </c>
      <c r="D487" s="3">
        <v>292</v>
      </c>
      <c r="E487">
        <v>73</v>
      </c>
      <c r="F487">
        <v>739.75</v>
      </c>
      <c r="G487">
        <v>1086</v>
      </c>
      <c r="H487">
        <v>0</v>
      </c>
      <c r="I487">
        <v>196.74</v>
      </c>
      <c r="J487">
        <v>3</v>
      </c>
      <c r="K487" s="10">
        <v>12.3</v>
      </c>
      <c r="L487" s="2">
        <f t="shared" si="16"/>
        <v>309.78992499999998</v>
      </c>
      <c r="M487" s="2">
        <f t="shared" si="18"/>
        <v>139.6603125</v>
      </c>
      <c r="N487" s="10">
        <v>20</v>
      </c>
    </row>
    <row r="488" spans="1:14" x14ac:dyDescent="0.25">
      <c r="A488" s="15"/>
      <c r="B488" s="15"/>
      <c r="C488">
        <v>20</v>
      </c>
      <c r="D488" s="3">
        <v>292</v>
      </c>
      <c r="E488">
        <v>73</v>
      </c>
      <c r="F488">
        <v>739.75</v>
      </c>
      <c r="G488">
        <v>1086</v>
      </c>
      <c r="H488">
        <v>0</v>
      </c>
      <c r="I488">
        <v>196.74</v>
      </c>
      <c r="J488">
        <v>7</v>
      </c>
      <c r="K488" s="10">
        <v>20.8</v>
      </c>
      <c r="L488" s="2">
        <f t="shared" si="16"/>
        <v>309.78992499999998</v>
      </c>
      <c r="M488" s="2">
        <f t="shared" si="18"/>
        <v>139.6603125</v>
      </c>
      <c r="N488" s="10">
        <v>20</v>
      </c>
    </row>
    <row r="489" spans="1:14" x14ac:dyDescent="0.25">
      <c r="A489" s="15"/>
      <c r="B489" s="15"/>
      <c r="C489">
        <v>20</v>
      </c>
      <c r="D489" s="3">
        <v>292</v>
      </c>
      <c r="E489">
        <v>73</v>
      </c>
      <c r="F489">
        <v>739.75</v>
      </c>
      <c r="G489">
        <v>1086</v>
      </c>
      <c r="H489">
        <v>0</v>
      </c>
      <c r="I489">
        <v>196.74</v>
      </c>
      <c r="J489">
        <v>28</v>
      </c>
      <c r="K489" s="10">
        <v>29.5</v>
      </c>
      <c r="L489" s="2">
        <f t="shared" si="16"/>
        <v>309.78992499999998</v>
      </c>
      <c r="M489" s="2">
        <f t="shared" si="18"/>
        <v>139.6603125</v>
      </c>
      <c r="N489" s="10">
        <v>20</v>
      </c>
    </row>
    <row r="490" spans="1:14" x14ac:dyDescent="0.25">
      <c r="A490" s="15"/>
      <c r="B490" s="15"/>
      <c r="C490">
        <v>20</v>
      </c>
      <c r="D490" s="3">
        <v>292</v>
      </c>
      <c r="E490">
        <v>73</v>
      </c>
      <c r="F490">
        <v>739.75</v>
      </c>
      <c r="G490">
        <v>1086</v>
      </c>
      <c r="H490">
        <v>0</v>
      </c>
      <c r="I490">
        <v>196.74</v>
      </c>
      <c r="J490">
        <v>56</v>
      </c>
      <c r="K490" s="10">
        <v>38.299999999999997</v>
      </c>
      <c r="L490" s="2">
        <f t="shared" si="16"/>
        <v>309.78992499999998</v>
      </c>
      <c r="M490" s="2">
        <f t="shared" si="18"/>
        <v>139.6603125</v>
      </c>
      <c r="N490" s="10">
        <v>20</v>
      </c>
    </row>
  </sheetData>
  <mergeCells count="30">
    <mergeCell ref="A2:A34"/>
    <mergeCell ref="A35:A67"/>
    <mergeCell ref="A68:A111"/>
    <mergeCell ref="A112:A155"/>
    <mergeCell ref="A156:A188"/>
    <mergeCell ref="A189:A232"/>
    <mergeCell ref="A233:A265"/>
    <mergeCell ref="A266:A309"/>
    <mergeCell ref="A310:A342"/>
    <mergeCell ref="A343:A375"/>
    <mergeCell ref="B233:B265"/>
    <mergeCell ref="B2:B34"/>
    <mergeCell ref="B35:B67"/>
    <mergeCell ref="B68:B111"/>
    <mergeCell ref="B112:B155"/>
    <mergeCell ref="B156:B188"/>
    <mergeCell ref="B189:B232"/>
    <mergeCell ref="A471:A490"/>
    <mergeCell ref="A435:A450"/>
    <mergeCell ref="A451:A470"/>
    <mergeCell ref="B310:B342"/>
    <mergeCell ref="B266:B309"/>
    <mergeCell ref="A376:A419"/>
    <mergeCell ref="A420:A434"/>
    <mergeCell ref="B471:B490"/>
    <mergeCell ref="B451:B470"/>
    <mergeCell ref="B435:B450"/>
    <mergeCell ref="B376:B419"/>
    <mergeCell ref="B343:B375"/>
    <mergeCell ref="B420:B434"/>
  </mergeCells>
  <phoneticPr fontId="9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6E079-DDF4-41AA-AAD1-695A730E8A10}">
  <dimension ref="A1:O200"/>
  <sheetViews>
    <sheetView tabSelected="1" zoomScale="85" zoomScaleNormal="85" workbookViewId="0">
      <selection activeCell="E12" sqref="E12"/>
    </sheetView>
  </sheetViews>
  <sheetFormatPr defaultRowHeight="15" x14ac:dyDescent="0.25"/>
  <cols>
    <col min="5" max="5" width="19.85546875" customWidth="1"/>
    <col min="6" max="6" width="29.28515625" customWidth="1"/>
    <col min="7" max="7" width="27.42578125" customWidth="1"/>
    <col min="8" max="8" width="20.7109375" customWidth="1"/>
    <col min="9" max="9" width="22.85546875" customWidth="1"/>
    <col min="10" max="10" width="16" customWidth="1"/>
    <col min="11" max="11" width="12.85546875" customWidth="1"/>
    <col min="12" max="12" width="26.5703125" customWidth="1"/>
    <col min="13" max="13" width="14" customWidth="1"/>
    <col min="14" max="14" width="19.42578125" customWidth="1"/>
    <col min="15" max="15" width="12.28515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4" t="s">
        <v>319</v>
      </c>
      <c r="I1" s="1" t="s">
        <v>7</v>
      </c>
      <c r="J1" s="1" t="s">
        <v>8</v>
      </c>
      <c r="K1" s="1" t="s">
        <v>9</v>
      </c>
      <c r="L1" s="11" t="s">
        <v>10</v>
      </c>
      <c r="M1" s="14" t="s">
        <v>407</v>
      </c>
      <c r="N1" s="14" t="s">
        <v>406</v>
      </c>
      <c r="O1" s="1" t="s">
        <v>11</v>
      </c>
    </row>
    <row r="2" spans="1:15" x14ac:dyDescent="0.25">
      <c r="A2" t="s">
        <v>321</v>
      </c>
      <c r="B2" t="s">
        <v>320</v>
      </c>
      <c r="C2">
        <v>0</v>
      </c>
      <c r="D2">
        <v>380</v>
      </c>
      <c r="E2">
        <v>0</v>
      </c>
      <c r="F2">
        <v>734</v>
      </c>
      <c r="G2">
        <v>1045</v>
      </c>
      <c r="H2">
        <v>0</v>
      </c>
      <c r="I2">
        <v>0</v>
      </c>
      <c r="J2">
        <v>205</v>
      </c>
      <c r="K2">
        <v>28</v>
      </c>
      <c r="L2">
        <v>34.1</v>
      </c>
      <c r="M2" s="2">
        <f>SUM((D2*0.83)+(E2*0.008)+(F2*0.0139)+(G2*0.0459)+(H2*2))</f>
        <v>373.56810000000002</v>
      </c>
      <c r="N2" s="2">
        <f>SUM((D2*5)+((F2*0.25)+(G2*0.2)+(H2*20)))*0.075</f>
        <v>171.9375</v>
      </c>
      <c r="O2">
        <v>0</v>
      </c>
    </row>
    <row r="3" spans="1:15" x14ac:dyDescent="0.25">
      <c r="C3">
        <v>100</v>
      </c>
      <c r="D3">
        <v>0</v>
      </c>
      <c r="E3">
        <v>0</v>
      </c>
      <c r="F3">
        <v>899</v>
      </c>
      <c r="G3">
        <v>1045</v>
      </c>
      <c r="H3">
        <v>380</v>
      </c>
      <c r="I3">
        <v>58.6</v>
      </c>
      <c r="J3">
        <v>205</v>
      </c>
      <c r="K3">
        <v>28</v>
      </c>
      <c r="L3">
        <v>46.3</v>
      </c>
      <c r="M3" s="2">
        <f t="shared" ref="M3:M66" si="0">SUM((D3*0.83)+(E3*0.008)+(F3*0.0139)+(G3*0.0459)+(H3*2))</f>
        <v>820.46159999999998</v>
      </c>
      <c r="N3" s="2">
        <f t="shared" ref="N3:N66" si="1">SUM((D3*5)+((F3*0.25)+(G3*0.2)+(H3*20)))*0.075</f>
        <v>602.53125</v>
      </c>
      <c r="O3">
        <v>0</v>
      </c>
    </row>
    <row r="4" spans="1:15" x14ac:dyDescent="0.25">
      <c r="C4">
        <v>100</v>
      </c>
      <c r="D4">
        <v>0</v>
      </c>
      <c r="E4">
        <v>76</v>
      </c>
      <c r="F4">
        <v>887</v>
      </c>
      <c r="G4">
        <v>1045</v>
      </c>
      <c r="H4">
        <v>304</v>
      </c>
      <c r="I4">
        <v>58.6</v>
      </c>
      <c r="J4">
        <v>205</v>
      </c>
      <c r="K4">
        <v>28</v>
      </c>
      <c r="L4">
        <v>42.8</v>
      </c>
      <c r="M4" s="2">
        <f t="shared" si="0"/>
        <v>668.90279999999996</v>
      </c>
      <c r="N4" s="2">
        <f t="shared" si="1"/>
        <v>488.30624999999998</v>
      </c>
      <c r="O4">
        <v>0</v>
      </c>
    </row>
    <row r="5" spans="1:15" x14ac:dyDescent="0.25">
      <c r="C5">
        <v>100</v>
      </c>
      <c r="D5">
        <v>0</v>
      </c>
      <c r="E5">
        <v>152</v>
      </c>
      <c r="F5">
        <v>874</v>
      </c>
      <c r="G5">
        <v>1045</v>
      </c>
      <c r="H5">
        <v>228</v>
      </c>
      <c r="I5">
        <v>58.6</v>
      </c>
      <c r="J5">
        <v>205</v>
      </c>
      <c r="K5">
        <v>28</v>
      </c>
      <c r="L5">
        <v>39</v>
      </c>
      <c r="M5" s="2">
        <f t="shared" si="0"/>
        <v>517.33010000000002</v>
      </c>
      <c r="N5" s="2">
        <f t="shared" si="1"/>
        <v>374.0625</v>
      </c>
      <c r="O5">
        <v>0</v>
      </c>
    </row>
    <row r="6" spans="1:15" x14ac:dyDescent="0.25">
      <c r="C6">
        <v>100</v>
      </c>
      <c r="D6">
        <v>0</v>
      </c>
      <c r="E6">
        <v>228</v>
      </c>
      <c r="F6">
        <v>865</v>
      </c>
      <c r="G6">
        <v>1045</v>
      </c>
      <c r="H6">
        <v>152</v>
      </c>
      <c r="I6">
        <v>58.6</v>
      </c>
      <c r="J6">
        <v>205</v>
      </c>
      <c r="K6">
        <v>28</v>
      </c>
      <c r="L6">
        <v>34.299999999999997</v>
      </c>
      <c r="M6" s="2">
        <f t="shared" si="0"/>
        <v>365.81299999999999</v>
      </c>
      <c r="N6" s="2">
        <f t="shared" si="1"/>
        <v>259.89375000000001</v>
      </c>
      <c r="O6">
        <v>0</v>
      </c>
    </row>
    <row r="7" spans="1:15" x14ac:dyDescent="0.25">
      <c r="C7">
        <v>100</v>
      </c>
      <c r="D7">
        <v>0</v>
      </c>
      <c r="E7">
        <v>304</v>
      </c>
      <c r="F7">
        <v>852</v>
      </c>
      <c r="G7">
        <v>1045</v>
      </c>
      <c r="H7">
        <v>76</v>
      </c>
      <c r="I7">
        <v>58.6</v>
      </c>
      <c r="J7">
        <v>205</v>
      </c>
      <c r="K7">
        <v>28</v>
      </c>
      <c r="L7">
        <v>27.2</v>
      </c>
      <c r="M7" s="2">
        <f t="shared" si="0"/>
        <v>214.24029999999999</v>
      </c>
      <c r="N7" s="2">
        <f t="shared" si="1"/>
        <v>145.65</v>
      </c>
      <c r="O7">
        <v>0</v>
      </c>
    </row>
    <row r="8" spans="1:15" x14ac:dyDescent="0.25">
      <c r="C8">
        <v>100</v>
      </c>
      <c r="D8">
        <v>0</v>
      </c>
      <c r="E8">
        <v>380</v>
      </c>
      <c r="F8">
        <v>841</v>
      </c>
      <c r="G8">
        <v>1045</v>
      </c>
      <c r="H8">
        <v>0</v>
      </c>
      <c r="I8">
        <v>58.6</v>
      </c>
      <c r="J8">
        <v>205</v>
      </c>
      <c r="K8">
        <v>28</v>
      </c>
      <c r="L8">
        <v>23.7</v>
      </c>
      <c r="M8" s="2">
        <f t="shared" si="0"/>
        <v>62.695400000000006</v>
      </c>
      <c r="N8" s="2">
        <f t="shared" si="1"/>
        <v>31.443749999999998</v>
      </c>
      <c r="O8">
        <v>0</v>
      </c>
    </row>
    <row r="9" spans="1:15" x14ac:dyDescent="0.25">
      <c r="C9">
        <v>0</v>
      </c>
      <c r="D9">
        <v>488</v>
      </c>
      <c r="E9">
        <v>0</v>
      </c>
      <c r="F9">
        <v>639</v>
      </c>
      <c r="G9">
        <v>1045</v>
      </c>
      <c r="H9">
        <v>0</v>
      </c>
      <c r="I9">
        <v>0</v>
      </c>
      <c r="J9">
        <v>205</v>
      </c>
      <c r="K9">
        <v>28</v>
      </c>
      <c r="L9">
        <v>45.9</v>
      </c>
      <c r="M9" s="2">
        <f t="shared" si="0"/>
        <v>461.88759999999996</v>
      </c>
      <c r="N9" s="2">
        <f t="shared" si="1"/>
        <v>210.65625</v>
      </c>
      <c r="O9">
        <v>0</v>
      </c>
    </row>
    <row r="10" spans="1:15" x14ac:dyDescent="0.25">
      <c r="C10">
        <v>100</v>
      </c>
      <c r="D10">
        <v>0</v>
      </c>
      <c r="E10">
        <v>0</v>
      </c>
      <c r="F10">
        <v>805</v>
      </c>
      <c r="G10">
        <v>1045</v>
      </c>
      <c r="H10">
        <v>488</v>
      </c>
      <c r="I10">
        <v>58.6</v>
      </c>
      <c r="J10">
        <v>205</v>
      </c>
      <c r="K10">
        <v>28</v>
      </c>
      <c r="L10">
        <v>57.1</v>
      </c>
      <c r="M10" s="2">
        <f t="shared" si="0"/>
        <v>1035.155</v>
      </c>
      <c r="N10" s="2">
        <f t="shared" si="1"/>
        <v>762.76874999999995</v>
      </c>
      <c r="O10">
        <v>0</v>
      </c>
    </row>
    <row r="11" spans="1:15" x14ac:dyDescent="0.25">
      <c r="C11">
        <v>100</v>
      </c>
      <c r="D11">
        <v>0</v>
      </c>
      <c r="E11">
        <v>98</v>
      </c>
      <c r="F11">
        <v>788</v>
      </c>
      <c r="G11">
        <v>1045</v>
      </c>
      <c r="H11">
        <v>390</v>
      </c>
      <c r="I11">
        <v>58.6</v>
      </c>
      <c r="J11">
        <v>205</v>
      </c>
      <c r="K11">
        <v>28</v>
      </c>
      <c r="L11">
        <v>53.3</v>
      </c>
      <c r="M11" s="2">
        <f t="shared" si="0"/>
        <v>839.70270000000005</v>
      </c>
      <c r="N11" s="2">
        <f t="shared" si="1"/>
        <v>615.44999999999993</v>
      </c>
      <c r="O11">
        <v>0</v>
      </c>
    </row>
    <row r="12" spans="1:15" x14ac:dyDescent="0.25">
      <c r="C12">
        <v>100</v>
      </c>
      <c r="D12">
        <v>0</v>
      </c>
      <c r="E12">
        <v>195</v>
      </c>
      <c r="F12">
        <v>772</v>
      </c>
      <c r="G12">
        <v>1045</v>
      </c>
      <c r="H12">
        <v>293</v>
      </c>
      <c r="I12">
        <v>58.6</v>
      </c>
      <c r="J12">
        <v>205</v>
      </c>
      <c r="K12">
        <v>28</v>
      </c>
      <c r="L12">
        <v>49.6</v>
      </c>
      <c r="M12" s="2">
        <f t="shared" si="0"/>
        <v>646.25630000000001</v>
      </c>
      <c r="N12" s="2">
        <f t="shared" si="1"/>
        <v>469.65</v>
      </c>
      <c r="O12">
        <v>0</v>
      </c>
    </row>
    <row r="13" spans="1:15" x14ac:dyDescent="0.25">
      <c r="C13">
        <v>100</v>
      </c>
      <c r="D13">
        <v>0</v>
      </c>
      <c r="E13">
        <v>293</v>
      </c>
      <c r="F13">
        <v>758</v>
      </c>
      <c r="G13">
        <v>1045</v>
      </c>
      <c r="H13">
        <v>195</v>
      </c>
      <c r="I13">
        <v>58.6</v>
      </c>
      <c r="J13">
        <v>205</v>
      </c>
      <c r="K13">
        <v>28</v>
      </c>
      <c r="L13">
        <v>44</v>
      </c>
      <c r="M13" s="2">
        <f t="shared" si="0"/>
        <v>450.84570000000002</v>
      </c>
      <c r="N13" s="2">
        <f t="shared" si="1"/>
        <v>322.38749999999999</v>
      </c>
      <c r="O13">
        <v>0</v>
      </c>
    </row>
    <row r="14" spans="1:15" x14ac:dyDescent="0.25">
      <c r="C14">
        <v>100</v>
      </c>
      <c r="D14">
        <v>0</v>
      </c>
      <c r="E14">
        <v>390</v>
      </c>
      <c r="F14">
        <v>741</v>
      </c>
      <c r="G14">
        <v>1045</v>
      </c>
      <c r="H14">
        <v>98</v>
      </c>
      <c r="I14">
        <v>58.6</v>
      </c>
      <c r="J14">
        <v>205</v>
      </c>
      <c r="K14">
        <v>28</v>
      </c>
      <c r="L14">
        <v>38</v>
      </c>
      <c r="M14" s="2">
        <f t="shared" si="0"/>
        <v>257.3854</v>
      </c>
      <c r="N14" s="2">
        <f t="shared" si="1"/>
        <v>176.56874999999999</v>
      </c>
      <c r="O14">
        <v>0</v>
      </c>
    </row>
    <row r="15" spans="1:15" x14ac:dyDescent="0.25">
      <c r="C15">
        <v>100</v>
      </c>
      <c r="D15">
        <v>0</v>
      </c>
      <c r="E15">
        <v>488</v>
      </c>
      <c r="F15">
        <v>728</v>
      </c>
      <c r="G15">
        <v>1045</v>
      </c>
      <c r="H15">
        <v>0</v>
      </c>
      <c r="I15">
        <v>58.6</v>
      </c>
      <c r="J15">
        <v>205</v>
      </c>
      <c r="K15">
        <v>28</v>
      </c>
      <c r="L15">
        <v>31.8</v>
      </c>
      <c r="M15" s="2">
        <f t="shared" si="0"/>
        <v>61.988700000000009</v>
      </c>
      <c r="N15" s="2">
        <f t="shared" si="1"/>
        <v>29.324999999999999</v>
      </c>
      <c r="O15">
        <v>0</v>
      </c>
    </row>
    <row r="16" spans="1:15" x14ac:dyDescent="0.25">
      <c r="A16" t="s">
        <v>375</v>
      </c>
      <c r="B16" t="s">
        <v>374</v>
      </c>
      <c r="C16">
        <f>SUM(E16/D16)*100</f>
        <v>0</v>
      </c>
      <c r="D16">
        <v>431</v>
      </c>
      <c r="E16">
        <v>0</v>
      </c>
      <c r="F16">
        <v>837</v>
      </c>
      <c r="G16">
        <v>837</v>
      </c>
      <c r="H16">
        <v>0</v>
      </c>
      <c r="I16">
        <v>0</v>
      </c>
      <c r="J16">
        <v>194</v>
      </c>
      <c r="K16">
        <v>28</v>
      </c>
      <c r="L16">
        <v>34.299999999999997</v>
      </c>
      <c r="M16" s="2">
        <f t="shared" si="0"/>
        <v>407.78259999999995</v>
      </c>
      <c r="N16" s="2">
        <f t="shared" si="1"/>
        <v>189.87375</v>
      </c>
      <c r="O16">
        <v>0</v>
      </c>
    </row>
    <row r="17" spans="1:15" x14ac:dyDescent="0.25">
      <c r="C17">
        <f t="shared" ref="C17:C19" si="2">SUM(E17/D17)*100</f>
        <v>5.2631578947368425</v>
      </c>
      <c r="D17">
        <v>409.45</v>
      </c>
      <c r="E17">
        <v>21.55</v>
      </c>
      <c r="F17">
        <v>837</v>
      </c>
      <c r="G17">
        <v>837</v>
      </c>
      <c r="H17">
        <v>0</v>
      </c>
      <c r="I17">
        <v>0</v>
      </c>
      <c r="J17">
        <v>194</v>
      </c>
      <c r="K17">
        <v>28</v>
      </c>
      <c r="L17">
        <v>31.5</v>
      </c>
      <c r="M17" s="2">
        <f t="shared" si="0"/>
        <v>390.06849999999991</v>
      </c>
      <c r="N17" s="2">
        <f t="shared" si="1"/>
        <v>181.79249999999999</v>
      </c>
      <c r="O17">
        <v>0</v>
      </c>
    </row>
    <row r="18" spans="1:15" x14ac:dyDescent="0.25">
      <c r="C18">
        <f t="shared" si="2"/>
        <v>11.111111111111112</v>
      </c>
      <c r="D18">
        <v>387.9</v>
      </c>
      <c r="E18">
        <v>43.1</v>
      </c>
      <c r="F18">
        <v>837</v>
      </c>
      <c r="G18">
        <v>837</v>
      </c>
      <c r="H18">
        <v>0</v>
      </c>
      <c r="I18">
        <v>0</v>
      </c>
      <c r="J18">
        <v>194</v>
      </c>
      <c r="K18">
        <v>28</v>
      </c>
      <c r="L18">
        <v>26.4</v>
      </c>
      <c r="M18" s="2">
        <f t="shared" si="0"/>
        <v>372.3544</v>
      </c>
      <c r="N18" s="2">
        <f t="shared" si="1"/>
        <v>173.71125000000001</v>
      </c>
      <c r="O18">
        <v>0</v>
      </c>
    </row>
    <row r="19" spans="1:15" x14ac:dyDescent="0.25">
      <c r="C19">
        <f t="shared" si="2"/>
        <v>17.647058823529413</v>
      </c>
      <c r="D19">
        <v>366.35</v>
      </c>
      <c r="E19">
        <v>64.650000000000006</v>
      </c>
      <c r="F19">
        <v>837</v>
      </c>
      <c r="G19">
        <v>837</v>
      </c>
      <c r="H19">
        <v>0</v>
      </c>
      <c r="I19">
        <v>0</v>
      </c>
      <c r="J19">
        <v>194</v>
      </c>
      <c r="K19">
        <v>28</v>
      </c>
      <c r="L19">
        <v>25.1</v>
      </c>
      <c r="M19" s="2">
        <f t="shared" si="0"/>
        <v>354.64029999999997</v>
      </c>
      <c r="N19" s="2">
        <f t="shared" si="1"/>
        <v>165.63</v>
      </c>
      <c r="O19">
        <v>0</v>
      </c>
    </row>
    <row r="20" spans="1:15" x14ac:dyDescent="0.25">
      <c r="A20" t="s">
        <v>386</v>
      </c>
      <c r="B20" t="s">
        <v>385</v>
      </c>
      <c r="C20">
        <v>0</v>
      </c>
      <c r="D20">
        <v>400</v>
      </c>
      <c r="E20">
        <v>0</v>
      </c>
      <c r="F20">
        <v>800</v>
      </c>
      <c r="G20">
        <v>1200</v>
      </c>
      <c r="H20">
        <v>0</v>
      </c>
      <c r="I20">
        <v>0</v>
      </c>
      <c r="J20">
        <v>200</v>
      </c>
      <c r="K20">
        <v>7</v>
      </c>
      <c r="L20">
        <v>56.2</v>
      </c>
      <c r="M20" s="2">
        <f t="shared" si="0"/>
        <v>398.2</v>
      </c>
      <c r="N20" s="2">
        <f t="shared" si="1"/>
        <v>183</v>
      </c>
      <c r="O20">
        <v>30</v>
      </c>
    </row>
    <row r="21" spans="1:15" x14ac:dyDescent="0.25">
      <c r="C21">
        <v>0</v>
      </c>
      <c r="D21">
        <v>400</v>
      </c>
      <c r="E21">
        <v>0</v>
      </c>
      <c r="F21">
        <v>800</v>
      </c>
      <c r="G21">
        <v>1200</v>
      </c>
      <c r="H21">
        <v>0</v>
      </c>
      <c r="I21">
        <v>0</v>
      </c>
      <c r="J21">
        <v>200</v>
      </c>
      <c r="K21">
        <v>28</v>
      </c>
      <c r="L21">
        <v>61.6</v>
      </c>
      <c r="M21" s="2">
        <f t="shared" si="0"/>
        <v>398.2</v>
      </c>
      <c r="N21" s="2">
        <f t="shared" si="1"/>
        <v>183</v>
      </c>
      <c r="O21">
        <v>30</v>
      </c>
    </row>
    <row r="22" spans="1:15" x14ac:dyDescent="0.25">
      <c r="C22">
        <v>0</v>
      </c>
      <c r="D22">
        <v>400</v>
      </c>
      <c r="E22">
        <v>0</v>
      </c>
      <c r="F22">
        <v>800</v>
      </c>
      <c r="G22">
        <v>1200</v>
      </c>
      <c r="H22">
        <v>0</v>
      </c>
      <c r="I22">
        <v>0</v>
      </c>
      <c r="J22">
        <v>200</v>
      </c>
      <c r="K22">
        <v>56</v>
      </c>
      <c r="L22">
        <v>67.599999999999994</v>
      </c>
      <c r="M22" s="2">
        <f t="shared" si="0"/>
        <v>398.2</v>
      </c>
      <c r="N22" s="2">
        <f t="shared" si="1"/>
        <v>183</v>
      </c>
      <c r="O22">
        <v>30</v>
      </c>
    </row>
    <row r="23" spans="1:15" x14ac:dyDescent="0.25">
      <c r="C23">
        <v>0</v>
      </c>
      <c r="D23">
        <v>400</v>
      </c>
      <c r="E23">
        <v>0</v>
      </c>
      <c r="F23">
        <v>800</v>
      </c>
      <c r="G23">
        <v>1200</v>
      </c>
      <c r="H23">
        <v>0</v>
      </c>
      <c r="I23">
        <v>0</v>
      </c>
      <c r="J23">
        <v>200</v>
      </c>
      <c r="K23">
        <v>91</v>
      </c>
      <c r="L23">
        <v>71.3</v>
      </c>
      <c r="M23" s="2">
        <f t="shared" si="0"/>
        <v>398.2</v>
      </c>
      <c r="N23" s="2">
        <f t="shared" si="1"/>
        <v>183</v>
      </c>
      <c r="O23">
        <v>30</v>
      </c>
    </row>
    <row r="24" spans="1:15" x14ac:dyDescent="0.25">
      <c r="C24">
        <v>5</v>
      </c>
      <c r="D24">
        <v>380</v>
      </c>
      <c r="E24">
        <v>20</v>
      </c>
      <c r="F24">
        <v>800</v>
      </c>
      <c r="G24">
        <v>1200</v>
      </c>
      <c r="H24">
        <v>0</v>
      </c>
      <c r="I24">
        <v>0</v>
      </c>
      <c r="J24">
        <v>200</v>
      </c>
      <c r="K24">
        <v>7</v>
      </c>
      <c r="L24">
        <v>42</v>
      </c>
      <c r="M24" s="2">
        <f t="shared" si="0"/>
        <v>381.76</v>
      </c>
      <c r="N24" s="2">
        <f t="shared" si="1"/>
        <v>175.5</v>
      </c>
      <c r="O24">
        <v>10</v>
      </c>
    </row>
    <row r="25" spans="1:15" x14ac:dyDescent="0.25">
      <c r="C25">
        <v>5</v>
      </c>
      <c r="D25">
        <v>380</v>
      </c>
      <c r="E25">
        <v>20</v>
      </c>
      <c r="F25">
        <v>800</v>
      </c>
      <c r="G25">
        <v>1200</v>
      </c>
      <c r="H25">
        <v>0</v>
      </c>
      <c r="I25">
        <v>0</v>
      </c>
      <c r="J25">
        <v>200</v>
      </c>
      <c r="K25">
        <v>28</v>
      </c>
      <c r="L25">
        <v>49</v>
      </c>
      <c r="M25" s="2">
        <f t="shared" si="0"/>
        <v>381.76</v>
      </c>
      <c r="N25" s="2">
        <f t="shared" si="1"/>
        <v>175.5</v>
      </c>
      <c r="O25">
        <v>10</v>
      </c>
    </row>
    <row r="26" spans="1:15" x14ac:dyDescent="0.25">
      <c r="C26">
        <v>5</v>
      </c>
      <c r="D26">
        <v>380</v>
      </c>
      <c r="E26">
        <v>20</v>
      </c>
      <c r="F26">
        <v>800</v>
      </c>
      <c r="G26">
        <v>1200</v>
      </c>
      <c r="H26">
        <v>0</v>
      </c>
      <c r="I26">
        <v>0</v>
      </c>
      <c r="J26">
        <v>200</v>
      </c>
      <c r="K26">
        <v>56</v>
      </c>
      <c r="L26">
        <v>51.8</v>
      </c>
      <c r="M26" s="2">
        <f t="shared" si="0"/>
        <v>381.76</v>
      </c>
      <c r="N26" s="2">
        <f t="shared" si="1"/>
        <v>175.5</v>
      </c>
      <c r="O26">
        <v>10</v>
      </c>
    </row>
    <row r="27" spans="1:15" x14ac:dyDescent="0.25">
      <c r="C27">
        <v>5</v>
      </c>
      <c r="D27">
        <v>380</v>
      </c>
      <c r="E27">
        <v>20</v>
      </c>
      <c r="F27">
        <v>800</v>
      </c>
      <c r="G27">
        <v>1200</v>
      </c>
      <c r="H27">
        <v>0</v>
      </c>
      <c r="I27">
        <v>0</v>
      </c>
      <c r="J27">
        <v>200</v>
      </c>
      <c r="K27">
        <v>91</v>
      </c>
      <c r="L27">
        <v>55.9</v>
      </c>
      <c r="M27" s="2">
        <f t="shared" si="0"/>
        <v>381.76</v>
      </c>
      <c r="N27" s="2">
        <f t="shared" si="1"/>
        <v>175.5</v>
      </c>
      <c r="O27">
        <v>10</v>
      </c>
    </row>
    <row r="28" spans="1:15" x14ac:dyDescent="0.25">
      <c r="C28">
        <v>7.5</v>
      </c>
      <c r="D28">
        <v>370</v>
      </c>
      <c r="E28">
        <v>30</v>
      </c>
      <c r="F28">
        <v>800</v>
      </c>
      <c r="G28">
        <v>1200</v>
      </c>
      <c r="H28">
        <v>0</v>
      </c>
      <c r="I28">
        <v>0</v>
      </c>
      <c r="J28">
        <v>200</v>
      </c>
      <c r="K28">
        <v>7</v>
      </c>
      <c r="L28">
        <v>42.3</v>
      </c>
      <c r="M28" s="2">
        <f t="shared" si="0"/>
        <v>373.53999999999996</v>
      </c>
      <c r="N28" s="2">
        <f t="shared" si="1"/>
        <v>171.75</v>
      </c>
      <c r="O28">
        <v>20</v>
      </c>
    </row>
    <row r="29" spans="1:15" x14ac:dyDescent="0.25">
      <c r="C29">
        <v>7.5</v>
      </c>
      <c r="D29">
        <v>370</v>
      </c>
      <c r="E29">
        <v>30</v>
      </c>
      <c r="F29">
        <v>800</v>
      </c>
      <c r="G29">
        <v>1200</v>
      </c>
      <c r="H29">
        <v>0</v>
      </c>
      <c r="I29">
        <v>0</v>
      </c>
      <c r="J29">
        <v>200</v>
      </c>
      <c r="K29">
        <v>28</v>
      </c>
      <c r="L29">
        <v>51.3</v>
      </c>
      <c r="M29" s="2">
        <f t="shared" si="0"/>
        <v>373.53999999999996</v>
      </c>
      <c r="N29" s="2">
        <f t="shared" si="1"/>
        <v>171.75</v>
      </c>
      <c r="O29">
        <v>20</v>
      </c>
    </row>
    <row r="30" spans="1:15" x14ac:dyDescent="0.25">
      <c r="C30">
        <v>7.5</v>
      </c>
      <c r="D30">
        <v>370</v>
      </c>
      <c r="E30">
        <v>30</v>
      </c>
      <c r="F30">
        <v>800</v>
      </c>
      <c r="G30">
        <v>1200</v>
      </c>
      <c r="H30">
        <v>0</v>
      </c>
      <c r="I30">
        <v>0</v>
      </c>
      <c r="J30">
        <v>200</v>
      </c>
      <c r="K30">
        <v>56</v>
      </c>
      <c r="L30">
        <v>54.4</v>
      </c>
      <c r="M30" s="2">
        <f t="shared" si="0"/>
        <v>373.53999999999996</v>
      </c>
      <c r="N30" s="2">
        <f t="shared" si="1"/>
        <v>171.75</v>
      </c>
      <c r="O30">
        <v>20</v>
      </c>
    </row>
    <row r="31" spans="1:15" x14ac:dyDescent="0.25">
      <c r="C31">
        <v>7.5</v>
      </c>
      <c r="D31">
        <v>370</v>
      </c>
      <c r="E31">
        <v>30</v>
      </c>
      <c r="F31">
        <v>800</v>
      </c>
      <c r="G31">
        <v>1200</v>
      </c>
      <c r="H31">
        <v>0</v>
      </c>
      <c r="I31">
        <v>0</v>
      </c>
      <c r="J31">
        <v>200</v>
      </c>
      <c r="K31">
        <v>91</v>
      </c>
      <c r="L31">
        <v>63.5</v>
      </c>
      <c r="M31" s="2">
        <f t="shared" si="0"/>
        <v>373.53999999999996</v>
      </c>
      <c r="N31" s="2">
        <f t="shared" si="1"/>
        <v>171.75</v>
      </c>
      <c r="O31">
        <v>20</v>
      </c>
    </row>
    <row r="32" spans="1:15" x14ac:dyDescent="0.25">
      <c r="C32">
        <v>10</v>
      </c>
      <c r="D32">
        <v>360</v>
      </c>
      <c r="E32">
        <v>40</v>
      </c>
      <c r="F32">
        <v>800</v>
      </c>
      <c r="G32">
        <v>1200</v>
      </c>
      <c r="H32">
        <v>0</v>
      </c>
      <c r="I32">
        <v>0</v>
      </c>
      <c r="J32">
        <v>200</v>
      </c>
      <c r="K32">
        <v>7</v>
      </c>
      <c r="L32">
        <v>32.1</v>
      </c>
      <c r="M32" s="2">
        <f t="shared" si="0"/>
        <v>365.32</v>
      </c>
      <c r="N32" s="2">
        <f t="shared" si="1"/>
        <v>168</v>
      </c>
      <c r="O32">
        <v>40</v>
      </c>
    </row>
    <row r="33" spans="3:15" x14ac:dyDescent="0.25">
      <c r="C33">
        <v>10</v>
      </c>
      <c r="D33">
        <v>360</v>
      </c>
      <c r="E33">
        <v>40</v>
      </c>
      <c r="F33">
        <v>800</v>
      </c>
      <c r="G33">
        <v>1200</v>
      </c>
      <c r="H33">
        <v>0</v>
      </c>
      <c r="I33">
        <v>0</v>
      </c>
      <c r="J33">
        <v>200</v>
      </c>
      <c r="K33">
        <v>28</v>
      </c>
      <c r="L33">
        <v>37.9</v>
      </c>
      <c r="M33" s="2">
        <f t="shared" si="0"/>
        <v>365.32</v>
      </c>
      <c r="N33" s="2">
        <f t="shared" si="1"/>
        <v>168</v>
      </c>
      <c r="O33">
        <v>40</v>
      </c>
    </row>
    <row r="34" spans="3:15" x14ac:dyDescent="0.25">
      <c r="C34">
        <v>10</v>
      </c>
      <c r="D34">
        <v>360</v>
      </c>
      <c r="E34">
        <v>40</v>
      </c>
      <c r="F34">
        <v>800</v>
      </c>
      <c r="G34">
        <v>1200</v>
      </c>
      <c r="H34">
        <v>0</v>
      </c>
      <c r="I34">
        <v>0</v>
      </c>
      <c r="J34">
        <v>200</v>
      </c>
      <c r="K34">
        <v>56</v>
      </c>
      <c r="L34">
        <v>43.1</v>
      </c>
      <c r="M34" s="2">
        <f t="shared" si="0"/>
        <v>365.32</v>
      </c>
      <c r="N34" s="2">
        <f t="shared" si="1"/>
        <v>168</v>
      </c>
      <c r="O34">
        <v>40</v>
      </c>
    </row>
    <row r="35" spans="3:15" x14ac:dyDescent="0.25">
      <c r="C35">
        <v>10</v>
      </c>
      <c r="D35">
        <v>360</v>
      </c>
      <c r="E35">
        <v>40</v>
      </c>
      <c r="F35">
        <v>800</v>
      </c>
      <c r="G35">
        <v>1200</v>
      </c>
      <c r="H35">
        <v>0</v>
      </c>
      <c r="I35">
        <v>0</v>
      </c>
      <c r="J35">
        <v>200</v>
      </c>
      <c r="K35">
        <v>91</v>
      </c>
      <c r="L35">
        <v>47.8</v>
      </c>
      <c r="M35" s="2">
        <f t="shared" si="0"/>
        <v>365.32</v>
      </c>
      <c r="N35" s="2">
        <f t="shared" si="1"/>
        <v>168</v>
      </c>
      <c r="O35">
        <v>40</v>
      </c>
    </row>
    <row r="36" spans="3:15" x14ac:dyDescent="0.25">
      <c r="C36">
        <v>15</v>
      </c>
      <c r="D36">
        <v>340</v>
      </c>
      <c r="E36">
        <v>60</v>
      </c>
      <c r="F36">
        <v>800</v>
      </c>
      <c r="G36">
        <v>1200</v>
      </c>
      <c r="H36">
        <v>0</v>
      </c>
      <c r="I36">
        <v>0</v>
      </c>
      <c r="J36">
        <v>200</v>
      </c>
      <c r="K36">
        <v>7</v>
      </c>
      <c r="L36">
        <v>28.1</v>
      </c>
      <c r="M36" s="2">
        <f t="shared" si="0"/>
        <v>348.88</v>
      </c>
      <c r="N36" s="2">
        <f t="shared" si="1"/>
        <v>160.5</v>
      </c>
      <c r="O36">
        <v>100</v>
      </c>
    </row>
    <row r="37" spans="3:15" x14ac:dyDescent="0.25">
      <c r="C37">
        <v>15</v>
      </c>
      <c r="D37">
        <v>340</v>
      </c>
      <c r="E37">
        <v>60</v>
      </c>
      <c r="F37">
        <v>800</v>
      </c>
      <c r="G37">
        <v>1200</v>
      </c>
      <c r="H37">
        <v>0</v>
      </c>
      <c r="I37">
        <v>0</v>
      </c>
      <c r="J37">
        <v>200</v>
      </c>
      <c r="K37">
        <v>28</v>
      </c>
      <c r="L37">
        <v>34.299999999999997</v>
      </c>
      <c r="M37" s="2">
        <f t="shared" si="0"/>
        <v>348.88</v>
      </c>
      <c r="N37" s="2">
        <f t="shared" si="1"/>
        <v>160.5</v>
      </c>
      <c r="O37">
        <v>100</v>
      </c>
    </row>
    <row r="38" spans="3:15" x14ac:dyDescent="0.25">
      <c r="C38">
        <v>15</v>
      </c>
      <c r="D38">
        <v>340</v>
      </c>
      <c r="E38">
        <v>60</v>
      </c>
      <c r="F38">
        <v>800</v>
      </c>
      <c r="G38">
        <v>1200</v>
      </c>
      <c r="H38">
        <v>0</v>
      </c>
      <c r="I38">
        <v>0</v>
      </c>
      <c r="J38">
        <v>200</v>
      </c>
      <c r="K38">
        <v>56</v>
      </c>
      <c r="L38">
        <v>38.299999999999997</v>
      </c>
      <c r="M38" s="2">
        <f t="shared" si="0"/>
        <v>348.88</v>
      </c>
      <c r="N38" s="2">
        <f t="shared" si="1"/>
        <v>160.5</v>
      </c>
      <c r="O38">
        <v>100</v>
      </c>
    </row>
    <row r="39" spans="3:15" x14ac:dyDescent="0.25">
      <c r="C39">
        <v>15</v>
      </c>
      <c r="D39">
        <v>340</v>
      </c>
      <c r="E39">
        <v>60</v>
      </c>
      <c r="F39">
        <v>800</v>
      </c>
      <c r="G39">
        <v>1200</v>
      </c>
      <c r="H39">
        <v>0</v>
      </c>
      <c r="I39">
        <v>0</v>
      </c>
      <c r="J39">
        <v>200</v>
      </c>
      <c r="K39">
        <v>91</v>
      </c>
      <c r="L39">
        <v>41.5</v>
      </c>
      <c r="M39" s="2">
        <f t="shared" si="0"/>
        <v>348.88</v>
      </c>
      <c r="N39" s="2">
        <f t="shared" si="1"/>
        <v>160.5</v>
      </c>
      <c r="O39">
        <v>100</v>
      </c>
    </row>
    <row r="40" spans="3:15" x14ac:dyDescent="0.25">
      <c r="C40">
        <v>20</v>
      </c>
      <c r="D40">
        <v>320</v>
      </c>
      <c r="E40">
        <v>80</v>
      </c>
      <c r="F40">
        <v>800</v>
      </c>
      <c r="G40">
        <v>1200</v>
      </c>
      <c r="H40">
        <v>0</v>
      </c>
      <c r="I40">
        <v>0</v>
      </c>
      <c r="J40">
        <v>200</v>
      </c>
      <c r="K40">
        <v>7</v>
      </c>
      <c r="L40">
        <v>19.2</v>
      </c>
      <c r="M40" s="2">
        <f t="shared" si="0"/>
        <v>332.43999999999994</v>
      </c>
      <c r="N40" s="2">
        <f t="shared" si="1"/>
        <v>153</v>
      </c>
      <c r="O40">
        <v>250</v>
      </c>
    </row>
    <row r="41" spans="3:15" x14ac:dyDescent="0.25">
      <c r="C41">
        <v>20</v>
      </c>
      <c r="D41">
        <v>320</v>
      </c>
      <c r="E41">
        <v>80</v>
      </c>
      <c r="F41">
        <v>800</v>
      </c>
      <c r="G41">
        <v>1200</v>
      </c>
      <c r="H41">
        <v>0</v>
      </c>
      <c r="I41">
        <v>0</v>
      </c>
      <c r="J41">
        <v>200</v>
      </c>
      <c r="K41">
        <v>28</v>
      </c>
      <c r="L41">
        <v>23.5</v>
      </c>
      <c r="M41" s="2">
        <f t="shared" si="0"/>
        <v>332.43999999999994</v>
      </c>
      <c r="N41" s="2">
        <f t="shared" si="1"/>
        <v>153</v>
      </c>
      <c r="O41">
        <v>250</v>
      </c>
    </row>
    <row r="42" spans="3:15" x14ac:dyDescent="0.25">
      <c r="C42">
        <v>20</v>
      </c>
      <c r="D42">
        <v>320</v>
      </c>
      <c r="E42">
        <v>80</v>
      </c>
      <c r="F42">
        <v>800</v>
      </c>
      <c r="G42">
        <v>1200</v>
      </c>
      <c r="H42">
        <v>0</v>
      </c>
      <c r="I42">
        <v>0</v>
      </c>
      <c r="J42">
        <v>200</v>
      </c>
      <c r="K42">
        <v>56</v>
      </c>
      <c r="L42">
        <v>25.9</v>
      </c>
      <c r="M42" s="2">
        <f t="shared" si="0"/>
        <v>332.43999999999994</v>
      </c>
      <c r="N42" s="2">
        <f t="shared" si="1"/>
        <v>153</v>
      </c>
      <c r="O42">
        <v>250</v>
      </c>
    </row>
    <row r="43" spans="3:15" x14ac:dyDescent="0.25">
      <c r="C43">
        <v>20</v>
      </c>
      <c r="D43">
        <v>320</v>
      </c>
      <c r="E43">
        <v>80</v>
      </c>
      <c r="F43">
        <v>800</v>
      </c>
      <c r="G43">
        <v>1200</v>
      </c>
      <c r="H43">
        <v>0</v>
      </c>
      <c r="I43">
        <v>0</v>
      </c>
      <c r="J43">
        <v>200</v>
      </c>
      <c r="K43">
        <v>91</v>
      </c>
      <c r="L43">
        <v>29.8</v>
      </c>
      <c r="M43" s="2">
        <f t="shared" si="0"/>
        <v>332.43999999999994</v>
      </c>
      <c r="N43" s="2">
        <f t="shared" si="1"/>
        <v>153</v>
      </c>
      <c r="O43">
        <v>250</v>
      </c>
    </row>
    <row r="44" spans="3:15" x14ac:dyDescent="0.25">
      <c r="C44">
        <v>25</v>
      </c>
      <c r="D44">
        <v>300</v>
      </c>
      <c r="E44">
        <v>100</v>
      </c>
      <c r="F44">
        <v>800</v>
      </c>
      <c r="G44">
        <v>1200</v>
      </c>
      <c r="H44">
        <v>0</v>
      </c>
      <c r="I44">
        <v>0</v>
      </c>
      <c r="J44">
        <v>200</v>
      </c>
      <c r="K44">
        <v>7</v>
      </c>
      <c r="L44">
        <v>16.2</v>
      </c>
      <c r="M44" s="2">
        <f t="shared" si="0"/>
        <v>316</v>
      </c>
      <c r="N44" s="2">
        <f t="shared" si="1"/>
        <v>145.5</v>
      </c>
      <c r="O44">
        <v>260</v>
      </c>
    </row>
    <row r="45" spans="3:15" x14ac:dyDescent="0.25">
      <c r="C45">
        <v>25</v>
      </c>
      <c r="D45">
        <v>300</v>
      </c>
      <c r="E45">
        <v>100</v>
      </c>
      <c r="F45">
        <v>800</v>
      </c>
      <c r="G45">
        <v>1200</v>
      </c>
      <c r="H45">
        <v>0</v>
      </c>
      <c r="I45">
        <v>0</v>
      </c>
      <c r="J45">
        <v>200</v>
      </c>
      <c r="K45">
        <v>28</v>
      </c>
      <c r="L45">
        <v>18.899999999999999</v>
      </c>
      <c r="M45" s="2">
        <f t="shared" si="0"/>
        <v>316</v>
      </c>
      <c r="N45" s="2">
        <f t="shared" si="1"/>
        <v>145.5</v>
      </c>
      <c r="O45">
        <v>260</v>
      </c>
    </row>
    <row r="46" spans="3:15" x14ac:dyDescent="0.25">
      <c r="C46">
        <v>25</v>
      </c>
      <c r="D46">
        <v>300</v>
      </c>
      <c r="E46">
        <v>100</v>
      </c>
      <c r="F46">
        <v>800</v>
      </c>
      <c r="G46">
        <v>1200</v>
      </c>
      <c r="H46">
        <v>0</v>
      </c>
      <c r="I46">
        <v>0</v>
      </c>
      <c r="J46">
        <v>200</v>
      </c>
      <c r="K46">
        <v>56</v>
      </c>
      <c r="L46">
        <v>23</v>
      </c>
      <c r="M46" s="2">
        <f t="shared" si="0"/>
        <v>316</v>
      </c>
      <c r="N46" s="2">
        <f t="shared" si="1"/>
        <v>145.5</v>
      </c>
      <c r="O46">
        <v>260</v>
      </c>
    </row>
    <row r="47" spans="3:15" x14ac:dyDescent="0.25">
      <c r="C47">
        <v>25</v>
      </c>
      <c r="D47">
        <v>300</v>
      </c>
      <c r="E47">
        <v>100</v>
      </c>
      <c r="F47">
        <v>800</v>
      </c>
      <c r="G47">
        <v>1200</v>
      </c>
      <c r="H47">
        <v>0</v>
      </c>
      <c r="I47">
        <v>0</v>
      </c>
      <c r="J47">
        <v>200</v>
      </c>
      <c r="K47">
        <v>91</v>
      </c>
      <c r="L47">
        <v>24</v>
      </c>
      <c r="M47" s="2">
        <f t="shared" si="0"/>
        <v>316</v>
      </c>
      <c r="N47" s="2">
        <f t="shared" si="1"/>
        <v>145.5</v>
      </c>
      <c r="O47">
        <v>260</v>
      </c>
    </row>
    <row r="48" spans="3:15" x14ac:dyDescent="0.25">
      <c r="C48">
        <v>30</v>
      </c>
      <c r="D48">
        <v>280</v>
      </c>
      <c r="E48">
        <v>120</v>
      </c>
      <c r="F48">
        <v>800</v>
      </c>
      <c r="G48">
        <v>1200</v>
      </c>
      <c r="H48">
        <v>0</v>
      </c>
      <c r="I48">
        <v>0</v>
      </c>
      <c r="J48">
        <v>200</v>
      </c>
      <c r="K48">
        <v>7</v>
      </c>
      <c r="L48">
        <v>15.3</v>
      </c>
      <c r="M48" s="2">
        <f t="shared" si="0"/>
        <v>299.56</v>
      </c>
      <c r="N48" s="2">
        <f t="shared" si="1"/>
        <v>138</v>
      </c>
      <c r="O48">
        <v>280</v>
      </c>
    </row>
    <row r="49" spans="1:15" x14ac:dyDescent="0.25">
      <c r="C49">
        <v>30</v>
      </c>
      <c r="D49">
        <v>280</v>
      </c>
      <c r="E49">
        <v>120</v>
      </c>
      <c r="F49">
        <v>800</v>
      </c>
      <c r="G49">
        <v>1200</v>
      </c>
      <c r="H49">
        <v>0</v>
      </c>
      <c r="I49">
        <v>0</v>
      </c>
      <c r="J49">
        <v>200</v>
      </c>
      <c r="K49">
        <v>28</v>
      </c>
      <c r="L49">
        <v>19.3</v>
      </c>
      <c r="M49" s="2">
        <f t="shared" si="0"/>
        <v>299.56</v>
      </c>
      <c r="N49" s="2">
        <f t="shared" si="1"/>
        <v>138</v>
      </c>
      <c r="O49">
        <v>280</v>
      </c>
    </row>
    <row r="50" spans="1:15" x14ac:dyDescent="0.25">
      <c r="C50">
        <v>30</v>
      </c>
      <c r="D50">
        <v>280</v>
      </c>
      <c r="E50">
        <v>120</v>
      </c>
      <c r="F50">
        <v>800</v>
      </c>
      <c r="G50">
        <v>1200</v>
      </c>
      <c r="H50">
        <v>0</v>
      </c>
      <c r="I50">
        <v>0</v>
      </c>
      <c r="J50">
        <v>200</v>
      </c>
      <c r="K50">
        <v>56</v>
      </c>
      <c r="L50">
        <v>22</v>
      </c>
      <c r="M50" s="2">
        <f t="shared" si="0"/>
        <v>299.56</v>
      </c>
      <c r="N50" s="2">
        <f t="shared" si="1"/>
        <v>138</v>
      </c>
      <c r="O50">
        <v>280</v>
      </c>
    </row>
    <row r="51" spans="1:15" x14ac:dyDescent="0.25">
      <c r="C51">
        <v>30</v>
      </c>
      <c r="D51">
        <v>280</v>
      </c>
      <c r="E51">
        <v>120</v>
      </c>
      <c r="F51">
        <v>800</v>
      </c>
      <c r="G51">
        <v>1200</v>
      </c>
      <c r="H51">
        <v>0</v>
      </c>
      <c r="I51">
        <v>0</v>
      </c>
      <c r="J51">
        <v>200</v>
      </c>
      <c r="K51">
        <v>91</v>
      </c>
      <c r="L51">
        <v>23.5</v>
      </c>
      <c r="M51" s="2">
        <f t="shared" si="0"/>
        <v>299.56</v>
      </c>
      <c r="N51" s="2">
        <f t="shared" si="1"/>
        <v>138</v>
      </c>
      <c r="O51">
        <v>280</v>
      </c>
    </row>
    <row r="52" spans="1:15" x14ac:dyDescent="0.25">
      <c r="A52" t="s">
        <v>387</v>
      </c>
      <c r="B52" s="6" t="s">
        <v>388</v>
      </c>
      <c r="C52">
        <v>0</v>
      </c>
      <c r="D52">
        <v>342.9</v>
      </c>
      <c r="E52">
        <v>0</v>
      </c>
      <c r="F52">
        <v>685.7</v>
      </c>
      <c r="G52">
        <v>1371.4</v>
      </c>
      <c r="H52">
        <v>0</v>
      </c>
      <c r="I52">
        <v>0</v>
      </c>
      <c r="J52">
        <v>205.7</v>
      </c>
      <c r="K52">
        <v>7</v>
      </c>
      <c r="L52">
        <v>18.7</v>
      </c>
      <c r="M52" s="2">
        <f t="shared" si="0"/>
        <v>357.08548999999999</v>
      </c>
      <c r="N52" s="2">
        <f t="shared" si="1"/>
        <v>162.01537499999998</v>
      </c>
      <c r="O52">
        <v>45</v>
      </c>
    </row>
    <row r="53" spans="1:15" x14ac:dyDescent="0.25">
      <c r="C53">
        <v>0</v>
      </c>
      <c r="D53">
        <v>342.9</v>
      </c>
      <c r="E53">
        <v>0</v>
      </c>
      <c r="F53">
        <v>685.7</v>
      </c>
      <c r="G53">
        <v>1371.4</v>
      </c>
      <c r="H53">
        <v>0</v>
      </c>
      <c r="I53">
        <v>0</v>
      </c>
      <c r="J53">
        <v>205.7</v>
      </c>
      <c r="K53">
        <v>14</v>
      </c>
      <c r="L53">
        <v>21.1</v>
      </c>
      <c r="M53" s="2">
        <f t="shared" si="0"/>
        <v>357.08548999999999</v>
      </c>
      <c r="N53" s="2">
        <f t="shared" si="1"/>
        <v>162.01537499999998</v>
      </c>
      <c r="O53">
        <v>45</v>
      </c>
    </row>
    <row r="54" spans="1:15" x14ac:dyDescent="0.25">
      <c r="B54" s="6"/>
      <c r="C54">
        <v>0</v>
      </c>
      <c r="D54">
        <v>342.9</v>
      </c>
      <c r="E54">
        <v>0</v>
      </c>
      <c r="F54">
        <v>685.7</v>
      </c>
      <c r="G54">
        <v>1371.4</v>
      </c>
      <c r="H54">
        <v>0</v>
      </c>
      <c r="I54">
        <v>0</v>
      </c>
      <c r="J54">
        <v>205.7</v>
      </c>
      <c r="K54">
        <v>28</v>
      </c>
      <c r="L54">
        <v>23.4</v>
      </c>
      <c r="M54" s="2">
        <f t="shared" si="0"/>
        <v>357.08548999999999</v>
      </c>
      <c r="N54" s="2">
        <f t="shared" si="1"/>
        <v>162.01537499999998</v>
      </c>
      <c r="O54">
        <v>45</v>
      </c>
    </row>
    <row r="55" spans="1:15" x14ac:dyDescent="0.25">
      <c r="C55">
        <v>2</v>
      </c>
      <c r="D55">
        <v>336</v>
      </c>
      <c r="E55">
        <v>6.9</v>
      </c>
      <c r="F55">
        <v>685.7</v>
      </c>
      <c r="G55">
        <v>1371.4</v>
      </c>
      <c r="H55">
        <v>0</v>
      </c>
      <c r="I55">
        <v>0</v>
      </c>
      <c r="J55">
        <v>205.7</v>
      </c>
      <c r="K55">
        <v>7</v>
      </c>
      <c r="L55">
        <v>17.600000000000001</v>
      </c>
      <c r="M55" s="2">
        <f t="shared" si="0"/>
        <v>351.41369000000003</v>
      </c>
      <c r="N55" s="2">
        <f t="shared" si="1"/>
        <v>159.427875</v>
      </c>
      <c r="O55">
        <v>30</v>
      </c>
    </row>
    <row r="56" spans="1:15" x14ac:dyDescent="0.25">
      <c r="C56">
        <v>2</v>
      </c>
      <c r="D56">
        <v>336</v>
      </c>
      <c r="E56">
        <v>6.9</v>
      </c>
      <c r="F56">
        <v>685.7</v>
      </c>
      <c r="G56">
        <v>1371.4</v>
      </c>
      <c r="H56">
        <v>0</v>
      </c>
      <c r="I56">
        <v>0</v>
      </c>
      <c r="J56">
        <v>205.7</v>
      </c>
      <c r="K56">
        <v>14</v>
      </c>
      <c r="L56">
        <v>19.899999999999999</v>
      </c>
      <c r="M56" s="2">
        <f t="shared" si="0"/>
        <v>351.41369000000003</v>
      </c>
      <c r="N56" s="2">
        <f t="shared" si="1"/>
        <v>159.427875</v>
      </c>
      <c r="O56">
        <v>30</v>
      </c>
    </row>
    <row r="57" spans="1:15" x14ac:dyDescent="0.25">
      <c r="C57">
        <v>2</v>
      </c>
      <c r="D57">
        <v>336</v>
      </c>
      <c r="E57">
        <v>6.9</v>
      </c>
      <c r="F57">
        <v>685.7</v>
      </c>
      <c r="G57">
        <v>1371.4</v>
      </c>
      <c r="H57">
        <v>0</v>
      </c>
      <c r="I57">
        <v>0</v>
      </c>
      <c r="J57">
        <v>205.7</v>
      </c>
      <c r="K57">
        <v>28</v>
      </c>
      <c r="L57">
        <v>22.1</v>
      </c>
      <c r="M57" s="2">
        <f t="shared" si="0"/>
        <v>351.41369000000003</v>
      </c>
      <c r="N57" s="2">
        <f t="shared" si="1"/>
        <v>159.427875</v>
      </c>
      <c r="O57">
        <v>30</v>
      </c>
    </row>
    <row r="58" spans="1:15" x14ac:dyDescent="0.25">
      <c r="C58">
        <v>4</v>
      </c>
      <c r="D58">
        <v>329.1</v>
      </c>
      <c r="E58">
        <v>13.7</v>
      </c>
      <c r="F58">
        <v>685.7</v>
      </c>
      <c r="G58">
        <v>1371.4</v>
      </c>
      <c r="H58">
        <v>0</v>
      </c>
      <c r="I58">
        <v>0</v>
      </c>
      <c r="J58">
        <v>205.7</v>
      </c>
      <c r="K58">
        <v>7</v>
      </c>
      <c r="L58">
        <v>16.399999999999999</v>
      </c>
      <c r="M58" s="2">
        <f t="shared" si="0"/>
        <v>345.74109000000004</v>
      </c>
      <c r="N58" s="2">
        <f t="shared" si="1"/>
        <v>156.84037499999999</v>
      </c>
      <c r="O58">
        <v>27</v>
      </c>
    </row>
    <row r="59" spans="1:15" x14ac:dyDescent="0.25">
      <c r="C59">
        <v>4</v>
      </c>
      <c r="D59">
        <v>329.1</v>
      </c>
      <c r="E59">
        <v>13.7</v>
      </c>
      <c r="F59">
        <v>685.7</v>
      </c>
      <c r="G59">
        <v>1371.4</v>
      </c>
      <c r="H59">
        <v>0</v>
      </c>
      <c r="I59">
        <v>0</v>
      </c>
      <c r="J59">
        <v>205.7</v>
      </c>
      <c r="K59">
        <v>14</v>
      </c>
      <c r="L59">
        <v>18.7</v>
      </c>
      <c r="M59" s="2">
        <f t="shared" si="0"/>
        <v>345.74109000000004</v>
      </c>
      <c r="N59" s="2">
        <f t="shared" si="1"/>
        <v>156.84037499999999</v>
      </c>
      <c r="O59">
        <v>27</v>
      </c>
    </row>
    <row r="60" spans="1:15" x14ac:dyDescent="0.25">
      <c r="C60">
        <v>4</v>
      </c>
      <c r="D60">
        <v>329.1</v>
      </c>
      <c r="E60">
        <v>13.7</v>
      </c>
      <c r="F60">
        <v>685.7</v>
      </c>
      <c r="G60">
        <v>1371.4</v>
      </c>
      <c r="H60">
        <v>0</v>
      </c>
      <c r="I60">
        <v>0</v>
      </c>
      <c r="J60">
        <v>205.7</v>
      </c>
      <c r="K60">
        <v>28</v>
      </c>
      <c r="L60">
        <v>20.9</v>
      </c>
      <c r="M60" s="2">
        <f t="shared" si="0"/>
        <v>345.74109000000004</v>
      </c>
      <c r="N60" s="2">
        <f t="shared" si="1"/>
        <v>156.84037499999999</v>
      </c>
      <c r="O60">
        <v>27</v>
      </c>
    </row>
    <row r="61" spans="1:15" x14ac:dyDescent="0.25">
      <c r="C61">
        <v>6</v>
      </c>
      <c r="D61">
        <v>322.3</v>
      </c>
      <c r="E61">
        <v>20.6</v>
      </c>
      <c r="F61">
        <v>685.7</v>
      </c>
      <c r="G61">
        <v>1371.4</v>
      </c>
      <c r="H61">
        <v>0</v>
      </c>
      <c r="I61">
        <v>0</v>
      </c>
      <c r="J61">
        <v>205.7</v>
      </c>
      <c r="K61">
        <v>7</v>
      </c>
      <c r="L61">
        <v>15.2</v>
      </c>
      <c r="M61" s="2">
        <f t="shared" si="0"/>
        <v>340.15229000000005</v>
      </c>
      <c r="N61" s="2">
        <f t="shared" si="1"/>
        <v>154.29037499999998</v>
      </c>
      <c r="O61">
        <v>25</v>
      </c>
    </row>
    <row r="62" spans="1:15" x14ac:dyDescent="0.25">
      <c r="C62">
        <v>6</v>
      </c>
      <c r="D62">
        <v>322.3</v>
      </c>
      <c r="E62">
        <v>20.6</v>
      </c>
      <c r="F62">
        <v>685.7</v>
      </c>
      <c r="G62">
        <v>1371.4</v>
      </c>
      <c r="H62">
        <v>0</v>
      </c>
      <c r="I62">
        <v>0</v>
      </c>
      <c r="J62">
        <v>205.7</v>
      </c>
      <c r="K62">
        <v>14</v>
      </c>
      <c r="L62">
        <v>17.399999999999999</v>
      </c>
      <c r="M62" s="2">
        <f t="shared" si="0"/>
        <v>340.15229000000005</v>
      </c>
      <c r="N62" s="2">
        <f t="shared" si="1"/>
        <v>154.29037499999998</v>
      </c>
      <c r="O62">
        <v>25</v>
      </c>
    </row>
    <row r="63" spans="1:15" x14ac:dyDescent="0.25">
      <c r="C63">
        <v>6</v>
      </c>
      <c r="D63">
        <v>322.3</v>
      </c>
      <c r="E63">
        <v>20.6</v>
      </c>
      <c r="F63">
        <v>685.7</v>
      </c>
      <c r="G63">
        <v>1371.4</v>
      </c>
      <c r="H63">
        <v>0</v>
      </c>
      <c r="I63">
        <v>0</v>
      </c>
      <c r="J63">
        <v>205.7</v>
      </c>
      <c r="K63">
        <v>28</v>
      </c>
      <c r="L63">
        <v>19.600000000000001</v>
      </c>
      <c r="M63" s="2">
        <f t="shared" si="0"/>
        <v>340.15229000000005</v>
      </c>
      <c r="N63" s="2">
        <f t="shared" si="1"/>
        <v>154.29037499999998</v>
      </c>
      <c r="O63">
        <v>25</v>
      </c>
    </row>
    <row r="64" spans="1:15" x14ac:dyDescent="0.25">
      <c r="C64">
        <v>8</v>
      </c>
      <c r="D64">
        <v>315.3</v>
      </c>
      <c r="E64">
        <v>27.4</v>
      </c>
      <c r="F64">
        <v>685.7</v>
      </c>
      <c r="G64">
        <v>1371.4</v>
      </c>
      <c r="H64">
        <v>0</v>
      </c>
      <c r="I64">
        <v>0</v>
      </c>
      <c r="J64">
        <v>205.7</v>
      </c>
      <c r="K64">
        <v>7</v>
      </c>
      <c r="L64">
        <v>14</v>
      </c>
      <c r="M64" s="2">
        <f t="shared" si="0"/>
        <v>334.39669000000004</v>
      </c>
      <c r="N64" s="2">
        <f t="shared" si="1"/>
        <v>151.66537499999998</v>
      </c>
      <c r="O64">
        <v>24</v>
      </c>
    </row>
    <row r="65" spans="3:15" x14ac:dyDescent="0.25">
      <c r="C65">
        <v>8</v>
      </c>
      <c r="D65">
        <v>315.3</v>
      </c>
      <c r="E65">
        <v>27.4</v>
      </c>
      <c r="F65">
        <v>685.7</v>
      </c>
      <c r="G65">
        <v>1371.4</v>
      </c>
      <c r="H65">
        <v>0</v>
      </c>
      <c r="I65">
        <v>0</v>
      </c>
      <c r="J65">
        <v>205.7</v>
      </c>
      <c r="K65">
        <v>14</v>
      </c>
      <c r="L65">
        <v>16.2</v>
      </c>
      <c r="M65" s="2">
        <f t="shared" si="0"/>
        <v>334.39669000000004</v>
      </c>
      <c r="N65" s="2">
        <f t="shared" si="1"/>
        <v>151.66537499999998</v>
      </c>
      <c r="O65">
        <v>24</v>
      </c>
    </row>
    <row r="66" spans="3:15" x14ac:dyDescent="0.25">
      <c r="C66">
        <v>8</v>
      </c>
      <c r="D66">
        <v>315.3</v>
      </c>
      <c r="E66">
        <v>27.4</v>
      </c>
      <c r="F66">
        <v>685.7</v>
      </c>
      <c r="G66">
        <v>1371.4</v>
      </c>
      <c r="H66">
        <v>0</v>
      </c>
      <c r="I66">
        <v>0</v>
      </c>
      <c r="J66">
        <v>205.7</v>
      </c>
      <c r="K66">
        <v>28</v>
      </c>
      <c r="L66">
        <v>18.2</v>
      </c>
      <c r="M66" s="2">
        <f t="shared" si="0"/>
        <v>334.39669000000004</v>
      </c>
      <c r="N66" s="2">
        <f t="shared" si="1"/>
        <v>151.66537499999998</v>
      </c>
      <c r="O66">
        <v>24</v>
      </c>
    </row>
    <row r="67" spans="3:15" x14ac:dyDescent="0.25">
      <c r="C67">
        <v>10</v>
      </c>
      <c r="D67">
        <v>308.60000000000002</v>
      </c>
      <c r="E67">
        <v>34.299999999999997</v>
      </c>
      <c r="F67">
        <v>685.7</v>
      </c>
      <c r="G67">
        <v>1371.4</v>
      </c>
      <c r="H67">
        <v>0</v>
      </c>
      <c r="I67">
        <v>0</v>
      </c>
      <c r="J67">
        <v>205.7</v>
      </c>
      <c r="K67">
        <v>7</v>
      </c>
      <c r="L67">
        <v>13</v>
      </c>
      <c r="M67" s="2">
        <f t="shared" ref="M67:M130" si="3">SUM((D67*0.83)+(E67*0.008)+(F67*0.0139)+(G67*0.0459)+(H67*2))</f>
        <v>328.89089000000007</v>
      </c>
      <c r="N67" s="2">
        <f t="shared" ref="N67:N130" si="4">SUM((D67*5)+((F67*0.25)+(G67*0.2)+(H67*20)))*0.075</f>
        <v>149.15287499999999</v>
      </c>
      <c r="O67">
        <v>26</v>
      </c>
    </row>
    <row r="68" spans="3:15" x14ac:dyDescent="0.25">
      <c r="C68">
        <v>10</v>
      </c>
      <c r="D68">
        <v>308.60000000000002</v>
      </c>
      <c r="E68">
        <v>34.299999999999997</v>
      </c>
      <c r="F68">
        <v>685.7</v>
      </c>
      <c r="G68">
        <v>1371.4</v>
      </c>
      <c r="H68">
        <v>0</v>
      </c>
      <c r="I68">
        <v>0</v>
      </c>
      <c r="J68">
        <v>205.7</v>
      </c>
      <c r="K68">
        <v>14</v>
      </c>
      <c r="L68">
        <v>14.9</v>
      </c>
      <c r="M68" s="2">
        <f t="shared" si="3"/>
        <v>328.89089000000007</v>
      </c>
      <c r="N68" s="2">
        <f t="shared" si="4"/>
        <v>149.15287499999999</v>
      </c>
      <c r="O68">
        <v>26</v>
      </c>
    </row>
    <row r="69" spans="3:15" x14ac:dyDescent="0.25">
      <c r="C69">
        <v>10</v>
      </c>
      <c r="D69">
        <v>308.60000000000002</v>
      </c>
      <c r="E69">
        <v>34.299999999999997</v>
      </c>
      <c r="F69">
        <v>685.7</v>
      </c>
      <c r="G69">
        <v>1371.4</v>
      </c>
      <c r="H69">
        <v>0</v>
      </c>
      <c r="I69">
        <v>0</v>
      </c>
      <c r="J69">
        <v>205.7</v>
      </c>
      <c r="K69">
        <v>28</v>
      </c>
      <c r="L69">
        <v>16</v>
      </c>
      <c r="M69" s="2">
        <f t="shared" si="3"/>
        <v>328.89089000000007</v>
      </c>
      <c r="N69" s="2">
        <f t="shared" si="4"/>
        <v>149.15287499999999</v>
      </c>
      <c r="O69">
        <v>26</v>
      </c>
    </row>
    <row r="70" spans="3:15" x14ac:dyDescent="0.25">
      <c r="C70">
        <v>15</v>
      </c>
      <c r="D70">
        <v>291.39999999999998</v>
      </c>
      <c r="E70">
        <v>51.4</v>
      </c>
      <c r="F70">
        <v>685.7</v>
      </c>
      <c r="G70">
        <v>1371.4</v>
      </c>
      <c r="H70">
        <v>0</v>
      </c>
      <c r="I70">
        <v>0</v>
      </c>
      <c r="J70">
        <v>205.7</v>
      </c>
      <c r="K70">
        <v>7</v>
      </c>
      <c r="L70">
        <v>11.4</v>
      </c>
      <c r="M70" s="2">
        <f t="shared" si="3"/>
        <v>314.75169</v>
      </c>
      <c r="N70" s="2">
        <f t="shared" si="4"/>
        <v>142.70287499999998</v>
      </c>
      <c r="O70">
        <v>20</v>
      </c>
    </row>
    <row r="71" spans="3:15" x14ac:dyDescent="0.25">
      <c r="C71">
        <v>15</v>
      </c>
      <c r="D71">
        <v>291.39999999999998</v>
      </c>
      <c r="E71">
        <v>51.4</v>
      </c>
      <c r="F71">
        <v>685.7</v>
      </c>
      <c r="G71">
        <v>1371.4</v>
      </c>
      <c r="H71">
        <v>0</v>
      </c>
      <c r="I71">
        <v>0</v>
      </c>
      <c r="J71">
        <v>205.7</v>
      </c>
      <c r="K71">
        <v>14</v>
      </c>
      <c r="L71">
        <v>13.1</v>
      </c>
      <c r="M71" s="2">
        <f t="shared" si="3"/>
        <v>314.75169</v>
      </c>
      <c r="N71" s="2">
        <f t="shared" si="4"/>
        <v>142.70287499999998</v>
      </c>
      <c r="O71">
        <v>20</v>
      </c>
    </row>
    <row r="72" spans="3:15" x14ac:dyDescent="0.25">
      <c r="C72">
        <v>15</v>
      </c>
      <c r="D72">
        <v>291.39999999999998</v>
      </c>
      <c r="E72">
        <v>51.4</v>
      </c>
      <c r="F72">
        <v>685.7</v>
      </c>
      <c r="G72">
        <v>1371.4</v>
      </c>
      <c r="H72">
        <v>0</v>
      </c>
      <c r="I72">
        <v>0</v>
      </c>
      <c r="J72">
        <v>205.7</v>
      </c>
      <c r="K72">
        <v>28</v>
      </c>
      <c r="L72">
        <v>14.9</v>
      </c>
      <c r="M72" s="2">
        <f t="shared" si="3"/>
        <v>314.75169</v>
      </c>
      <c r="N72" s="2">
        <f t="shared" si="4"/>
        <v>142.70287499999998</v>
      </c>
      <c r="O72">
        <v>20</v>
      </c>
    </row>
    <row r="73" spans="3:15" x14ac:dyDescent="0.25">
      <c r="C73">
        <v>20</v>
      </c>
      <c r="D73">
        <v>274.3</v>
      </c>
      <c r="E73">
        <v>68.599999999999994</v>
      </c>
      <c r="F73">
        <v>685.7</v>
      </c>
      <c r="G73">
        <v>1371.4</v>
      </c>
      <c r="H73">
        <v>0</v>
      </c>
      <c r="I73">
        <v>0</v>
      </c>
      <c r="J73">
        <v>205.7</v>
      </c>
      <c r="K73">
        <v>7</v>
      </c>
      <c r="L73">
        <v>10.11</v>
      </c>
      <c r="M73" s="2">
        <f t="shared" si="3"/>
        <v>300.69629000000003</v>
      </c>
      <c r="N73" s="2">
        <f t="shared" si="4"/>
        <v>136.29037499999998</v>
      </c>
      <c r="O73">
        <v>15</v>
      </c>
    </row>
    <row r="74" spans="3:15" x14ac:dyDescent="0.25">
      <c r="C74">
        <v>20</v>
      </c>
      <c r="D74">
        <v>274.3</v>
      </c>
      <c r="E74">
        <v>68.599999999999994</v>
      </c>
      <c r="F74">
        <v>685.7</v>
      </c>
      <c r="G74">
        <v>1371.4</v>
      </c>
      <c r="H74">
        <v>0</v>
      </c>
      <c r="I74">
        <v>0</v>
      </c>
      <c r="J74">
        <v>205.7</v>
      </c>
      <c r="K74">
        <v>14</v>
      </c>
      <c r="L74">
        <v>11.7</v>
      </c>
      <c r="M74" s="2">
        <f t="shared" si="3"/>
        <v>300.69629000000003</v>
      </c>
      <c r="N74" s="2">
        <f t="shared" si="4"/>
        <v>136.29037499999998</v>
      </c>
      <c r="O74">
        <v>15</v>
      </c>
    </row>
    <row r="75" spans="3:15" x14ac:dyDescent="0.25">
      <c r="C75">
        <v>20</v>
      </c>
      <c r="D75">
        <v>274.3</v>
      </c>
      <c r="E75">
        <v>68.599999999999994</v>
      </c>
      <c r="F75">
        <v>685.7</v>
      </c>
      <c r="G75">
        <v>1371.4</v>
      </c>
      <c r="H75">
        <v>0</v>
      </c>
      <c r="I75">
        <v>0</v>
      </c>
      <c r="J75">
        <v>205.7</v>
      </c>
      <c r="K75">
        <v>28</v>
      </c>
      <c r="L75">
        <v>13.4</v>
      </c>
      <c r="M75" s="2">
        <f t="shared" si="3"/>
        <v>300.69629000000003</v>
      </c>
      <c r="N75" s="2">
        <f t="shared" si="4"/>
        <v>136.29037499999998</v>
      </c>
      <c r="O75">
        <v>15</v>
      </c>
    </row>
    <row r="76" spans="3:15" x14ac:dyDescent="0.25">
      <c r="C76">
        <v>25</v>
      </c>
      <c r="D76">
        <v>257.10000000000002</v>
      </c>
      <c r="E76">
        <v>85.7</v>
      </c>
      <c r="F76">
        <v>685.7</v>
      </c>
      <c r="G76">
        <v>1371.4</v>
      </c>
      <c r="H76">
        <v>0</v>
      </c>
      <c r="I76">
        <v>0</v>
      </c>
      <c r="J76">
        <v>205.7</v>
      </c>
      <c r="K76">
        <v>7</v>
      </c>
      <c r="L76">
        <v>9.1</v>
      </c>
      <c r="M76" s="2">
        <f t="shared" si="3"/>
        <v>286.55709000000002</v>
      </c>
      <c r="N76" s="2">
        <f t="shared" si="4"/>
        <v>129.84037499999999</v>
      </c>
      <c r="O76">
        <v>10</v>
      </c>
    </row>
    <row r="77" spans="3:15" x14ac:dyDescent="0.25">
      <c r="C77">
        <v>25</v>
      </c>
      <c r="D77">
        <v>257.10000000000002</v>
      </c>
      <c r="E77">
        <v>85.7</v>
      </c>
      <c r="F77">
        <v>685.7</v>
      </c>
      <c r="G77">
        <v>1371.4</v>
      </c>
      <c r="H77">
        <v>0</v>
      </c>
      <c r="I77">
        <v>0</v>
      </c>
      <c r="J77">
        <v>205.7</v>
      </c>
      <c r="K77">
        <v>14</v>
      </c>
      <c r="L77">
        <v>10.5</v>
      </c>
      <c r="M77" s="2">
        <f t="shared" si="3"/>
        <v>286.55709000000002</v>
      </c>
      <c r="N77" s="2">
        <f t="shared" si="4"/>
        <v>129.84037499999999</v>
      </c>
      <c r="O77">
        <v>10</v>
      </c>
    </row>
    <row r="78" spans="3:15" x14ac:dyDescent="0.25">
      <c r="C78">
        <v>25</v>
      </c>
      <c r="D78">
        <v>257.10000000000002</v>
      </c>
      <c r="E78">
        <v>85.7</v>
      </c>
      <c r="F78">
        <v>685.7</v>
      </c>
      <c r="G78">
        <v>1371.4</v>
      </c>
      <c r="H78">
        <v>0</v>
      </c>
      <c r="I78">
        <v>0</v>
      </c>
      <c r="J78">
        <v>205.7</v>
      </c>
      <c r="K78">
        <v>28</v>
      </c>
      <c r="L78">
        <v>12</v>
      </c>
      <c r="M78" s="2">
        <f t="shared" si="3"/>
        <v>286.55709000000002</v>
      </c>
      <c r="N78" s="2">
        <f t="shared" si="4"/>
        <v>129.84037499999999</v>
      </c>
      <c r="O78">
        <v>10</v>
      </c>
    </row>
    <row r="79" spans="3:15" x14ac:dyDescent="0.25">
      <c r="C79">
        <v>0</v>
      </c>
      <c r="D79">
        <v>436.4</v>
      </c>
      <c r="E79">
        <v>0</v>
      </c>
      <c r="F79">
        <v>654.5</v>
      </c>
      <c r="G79">
        <v>1309.0999999999999</v>
      </c>
      <c r="H79">
        <v>0</v>
      </c>
      <c r="I79">
        <v>0</v>
      </c>
      <c r="J79">
        <v>218.2</v>
      </c>
      <c r="K79">
        <v>7</v>
      </c>
      <c r="L79">
        <v>23.4</v>
      </c>
      <c r="M79" s="2">
        <f t="shared" si="3"/>
        <v>431.39724000000001</v>
      </c>
      <c r="N79" s="2">
        <f t="shared" si="4"/>
        <v>195.55837500000001</v>
      </c>
      <c r="O79">
        <v>35</v>
      </c>
    </row>
    <row r="80" spans="3:15" x14ac:dyDescent="0.25">
      <c r="C80">
        <v>0</v>
      </c>
      <c r="D80">
        <v>436.4</v>
      </c>
      <c r="E80">
        <v>0</v>
      </c>
      <c r="F80">
        <v>654.5</v>
      </c>
      <c r="G80">
        <v>1309.0999999999999</v>
      </c>
      <c r="H80">
        <v>0</v>
      </c>
      <c r="I80">
        <v>0</v>
      </c>
      <c r="J80">
        <v>218.2</v>
      </c>
      <c r="K80">
        <v>14</v>
      </c>
      <c r="L80">
        <v>26.1</v>
      </c>
      <c r="M80" s="2">
        <f t="shared" si="3"/>
        <v>431.39724000000001</v>
      </c>
      <c r="N80" s="2">
        <f t="shared" si="4"/>
        <v>195.55837500000001</v>
      </c>
      <c r="O80">
        <v>35</v>
      </c>
    </row>
    <row r="81" spans="3:15" x14ac:dyDescent="0.25">
      <c r="C81">
        <v>0</v>
      </c>
      <c r="D81">
        <v>436.4</v>
      </c>
      <c r="E81">
        <v>0</v>
      </c>
      <c r="F81">
        <v>654.5</v>
      </c>
      <c r="G81">
        <v>1309.0999999999999</v>
      </c>
      <c r="H81">
        <v>0</v>
      </c>
      <c r="I81">
        <v>0</v>
      </c>
      <c r="J81">
        <v>218.2</v>
      </c>
      <c r="K81">
        <v>28</v>
      </c>
      <c r="L81">
        <v>28.8</v>
      </c>
      <c r="M81" s="2">
        <f t="shared" si="3"/>
        <v>431.39724000000001</v>
      </c>
      <c r="N81" s="2">
        <f t="shared" si="4"/>
        <v>195.55837500000001</v>
      </c>
      <c r="O81">
        <v>35</v>
      </c>
    </row>
    <row r="82" spans="3:15" x14ac:dyDescent="0.25">
      <c r="C82">
        <v>2</v>
      </c>
      <c r="D82">
        <v>427.6</v>
      </c>
      <c r="E82">
        <v>8.6999999999999993</v>
      </c>
      <c r="F82">
        <v>654.5</v>
      </c>
      <c r="G82">
        <v>1309.0999999999999</v>
      </c>
      <c r="H82">
        <v>0</v>
      </c>
      <c r="I82">
        <v>0</v>
      </c>
      <c r="J82">
        <v>218.2</v>
      </c>
      <c r="K82">
        <v>7</v>
      </c>
      <c r="L82">
        <v>22.1</v>
      </c>
      <c r="M82" s="2">
        <f t="shared" si="3"/>
        <v>424.16284000000002</v>
      </c>
      <c r="N82" s="2">
        <f t="shared" si="4"/>
        <v>192.258375</v>
      </c>
      <c r="O82">
        <v>25</v>
      </c>
    </row>
    <row r="83" spans="3:15" x14ac:dyDescent="0.25">
      <c r="C83">
        <v>2</v>
      </c>
      <c r="D83">
        <v>427.6</v>
      </c>
      <c r="E83">
        <v>8.6999999999999993</v>
      </c>
      <c r="F83">
        <v>654.5</v>
      </c>
      <c r="G83">
        <v>1309.0999999999999</v>
      </c>
      <c r="H83">
        <v>0</v>
      </c>
      <c r="I83">
        <v>0</v>
      </c>
      <c r="J83">
        <v>218.2</v>
      </c>
      <c r="K83">
        <v>14</v>
      </c>
      <c r="L83">
        <v>25.2</v>
      </c>
      <c r="M83" s="2">
        <f t="shared" si="3"/>
        <v>424.16284000000002</v>
      </c>
      <c r="N83" s="2">
        <f t="shared" si="4"/>
        <v>192.258375</v>
      </c>
      <c r="O83">
        <v>25</v>
      </c>
    </row>
    <row r="84" spans="3:15" x14ac:dyDescent="0.25">
      <c r="C84">
        <v>2</v>
      </c>
      <c r="D84">
        <v>427.6</v>
      </c>
      <c r="E84">
        <v>8.6999999999999993</v>
      </c>
      <c r="F84">
        <v>654.5</v>
      </c>
      <c r="G84">
        <v>1309.0999999999999</v>
      </c>
      <c r="H84">
        <v>0</v>
      </c>
      <c r="I84">
        <v>0</v>
      </c>
      <c r="J84">
        <v>218.2</v>
      </c>
      <c r="K84">
        <v>28</v>
      </c>
      <c r="L84">
        <v>27.4</v>
      </c>
      <c r="M84" s="2">
        <f t="shared" si="3"/>
        <v>424.16284000000002</v>
      </c>
      <c r="N84" s="2">
        <f t="shared" si="4"/>
        <v>192.258375</v>
      </c>
      <c r="O84">
        <v>25</v>
      </c>
    </row>
    <row r="85" spans="3:15" x14ac:dyDescent="0.25">
      <c r="C85">
        <v>4</v>
      </c>
      <c r="D85">
        <v>418.9</v>
      </c>
      <c r="E85">
        <v>17.5</v>
      </c>
      <c r="F85">
        <v>654.5</v>
      </c>
      <c r="G85">
        <v>1309.0999999999999</v>
      </c>
      <c r="H85">
        <v>0</v>
      </c>
      <c r="I85">
        <v>0</v>
      </c>
      <c r="J85">
        <v>218.2</v>
      </c>
      <c r="K85">
        <v>7</v>
      </c>
      <c r="L85">
        <v>21</v>
      </c>
      <c r="M85" s="2">
        <f t="shared" si="3"/>
        <v>417.01223999999996</v>
      </c>
      <c r="N85" s="2">
        <f t="shared" si="4"/>
        <v>188.99587500000001</v>
      </c>
      <c r="O85">
        <v>28</v>
      </c>
    </row>
    <row r="86" spans="3:15" x14ac:dyDescent="0.25">
      <c r="C86">
        <v>4</v>
      </c>
      <c r="D86">
        <v>418.9</v>
      </c>
      <c r="E86">
        <v>17.5</v>
      </c>
      <c r="F86">
        <v>654.5</v>
      </c>
      <c r="G86">
        <v>1309.0999999999999</v>
      </c>
      <c r="H86">
        <v>0</v>
      </c>
      <c r="I86">
        <v>0</v>
      </c>
      <c r="J86">
        <v>218.2</v>
      </c>
      <c r="K86">
        <v>14</v>
      </c>
      <c r="L86">
        <v>23.7</v>
      </c>
      <c r="M86" s="2">
        <f t="shared" si="3"/>
        <v>417.01223999999996</v>
      </c>
      <c r="N86" s="2">
        <f t="shared" si="4"/>
        <v>188.99587500000001</v>
      </c>
      <c r="O86">
        <v>28</v>
      </c>
    </row>
    <row r="87" spans="3:15" x14ac:dyDescent="0.25">
      <c r="C87">
        <v>4</v>
      </c>
      <c r="D87">
        <v>418.9</v>
      </c>
      <c r="E87">
        <v>17.5</v>
      </c>
      <c r="F87">
        <v>654.5</v>
      </c>
      <c r="G87">
        <v>1309.0999999999999</v>
      </c>
      <c r="H87">
        <v>0</v>
      </c>
      <c r="I87">
        <v>0</v>
      </c>
      <c r="J87">
        <v>218.2</v>
      </c>
      <c r="K87">
        <v>28</v>
      </c>
      <c r="L87">
        <v>26.1</v>
      </c>
      <c r="M87" s="2">
        <f t="shared" si="3"/>
        <v>417.01223999999996</v>
      </c>
      <c r="N87" s="2">
        <f t="shared" si="4"/>
        <v>188.99587500000001</v>
      </c>
      <c r="O87">
        <v>28</v>
      </c>
    </row>
    <row r="88" spans="3:15" x14ac:dyDescent="0.25">
      <c r="C88">
        <v>6</v>
      </c>
      <c r="D88">
        <v>410.2</v>
      </c>
      <c r="E88">
        <v>26.2</v>
      </c>
      <c r="F88">
        <v>654.5</v>
      </c>
      <c r="G88">
        <v>1309.0999999999999</v>
      </c>
      <c r="H88">
        <v>0</v>
      </c>
      <c r="I88">
        <v>0</v>
      </c>
      <c r="J88">
        <v>218.2</v>
      </c>
      <c r="K88">
        <v>7</v>
      </c>
      <c r="L88">
        <v>19.899999999999999</v>
      </c>
      <c r="M88" s="2">
        <f t="shared" si="3"/>
        <v>409.86084</v>
      </c>
      <c r="N88" s="2">
        <f t="shared" si="4"/>
        <v>185.733375</v>
      </c>
      <c r="O88">
        <v>26</v>
      </c>
    </row>
    <row r="89" spans="3:15" x14ac:dyDescent="0.25">
      <c r="C89">
        <v>6</v>
      </c>
      <c r="D89">
        <v>410.2</v>
      </c>
      <c r="E89">
        <v>26.2</v>
      </c>
      <c r="F89">
        <v>654.5</v>
      </c>
      <c r="G89">
        <v>1309.0999999999999</v>
      </c>
      <c r="H89">
        <v>0</v>
      </c>
      <c r="I89">
        <v>0</v>
      </c>
      <c r="J89">
        <v>218.2</v>
      </c>
      <c r="K89">
        <v>14</v>
      </c>
      <c r="L89">
        <v>22.4</v>
      </c>
      <c r="M89" s="2">
        <f t="shared" si="3"/>
        <v>409.86084</v>
      </c>
      <c r="N89" s="2">
        <f t="shared" si="4"/>
        <v>185.733375</v>
      </c>
      <c r="O89">
        <v>26</v>
      </c>
    </row>
    <row r="90" spans="3:15" x14ac:dyDescent="0.25">
      <c r="C90">
        <v>6</v>
      </c>
      <c r="D90">
        <v>410.2</v>
      </c>
      <c r="E90">
        <v>26.2</v>
      </c>
      <c r="F90">
        <v>654.5</v>
      </c>
      <c r="G90">
        <v>1309.0999999999999</v>
      </c>
      <c r="H90">
        <v>0</v>
      </c>
      <c r="I90">
        <v>0</v>
      </c>
      <c r="J90">
        <v>218.2</v>
      </c>
      <c r="K90">
        <v>28</v>
      </c>
      <c r="L90">
        <v>24.8</v>
      </c>
      <c r="M90" s="2">
        <f t="shared" si="3"/>
        <v>409.86084</v>
      </c>
      <c r="N90" s="2">
        <f t="shared" si="4"/>
        <v>185.733375</v>
      </c>
      <c r="O90">
        <v>26</v>
      </c>
    </row>
    <row r="91" spans="3:15" x14ac:dyDescent="0.25">
      <c r="C91">
        <v>8</v>
      </c>
      <c r="D91">
        <v>401.5</v>
      </c>
      <c r="E91">
        <v>34.9</v>
      </c>
      <c r="F91">
        <v>654.5</v>
      </c>
      <c r="G91">
        <v>1309.0999999999999</v>
      </c>
      <c r="H91">
        <v>0</v>
      </c>
      <c r="I91">
        <v>0</v>
      </c>
      <c r="J91">
        <v>218.2</v>
      </c>
      <c r="K91">
        <v>7</v>
      </c>
      <c r="L91">
        <v>18.600000000000001</v>
      </c>
      <c r="M91" s="2">
        <f t="shared" si="3"/>
        <v>402.70944000000003</v>
      </c>
      <c r="N91" s="2">
        <f t="shared" si="4"/>
        <v>182.47087500000001</v>
      </c>
      <c r="O91">
        <v>22</v>
      </c>
    </row>
    <row r="92" spans="3:15" x14ac:dyDescent="0.25">
      <c r="C92">
        <v>8</v>
      </c>
      <c r="D92">
        <v>401.5</v>
      </c>
      <c r="E92">
        <v>34.9</v>
      </c>
      <c r="F92">
        <v>654.5</v>
      </c>
      <c r="G92">
        <v>1309.0999999999999</v>
      </c>
      <c r="H92">
        <v>0</v>
      </c>
      <c r="I92">
        <v>0</v>
      </c>
      <c r="J92">
        <v>218.2</v>
      </c>
      <c r="K92">
        <v>14</v>
      </c>
      <c r="L92">
        <v>21.2</v>
      </c>
      <c r="M92" s="2">
        <f t="shared" si="3"/>
        <v>402.70944000000003</v>
      </c>
      <c r="N92" s="2">
        <f t="shared" si="4"/>
        <v>182.47087500000001</v>
      </c>
      <c r="O92">
        <v>22</v>
      </c>
    </row>
    <row r="93" spans="3:15" x14ac:dyDescent="0.25">
      <c r="C93">
        <v>8</v>
      </c>
      <c r="D93">
        <v>401.5</v>
      </c>
      <c r="E93">
        <v>34.9</v>
      </c>
      <c r="F93">
        <v>654.5</v>
      </c>
      <c r="G93">
        <v>1309.0999999999999</v>
      </c>
      <c r="H93">
        <v>0</v>
      </c>
      <c r="I93">
        <v>0</v>
      </c>
      <c r="J93">
        <v>218.2</v>
      </c>
      <c r="K93">
        <v>28</v>
      </c>
      <c r="L93">
        <v>23.6</v>
      </c>
      <c r="M93" s="2">
        <f t="shared" si="3"/>
        <v>402.70944000000003</v>
      </c>
      <c r="N93" s="2">
        <f t="shared" si="4"/>
        <v>182.47087500000001</v>
      </c>
      <c r="O93">
        <v>22</v>
      </c>
    </row>
    <row r="94" spans="3:15" x14ac:dyDescent="0.25">
      <c r="C94">
        <v>10</v>
      </c>
      <c r="D94">
        <v>392.7</v>
      </c>
      <c r="E94">
        <v>43.6</v>
      </c>
      <c r="F94">
        <v>654.5</v>
      </c>
      <c r="G94">
        <v>1309.0999999999999</v>
      </c>
      <c r="H94">
        <v>0</v>
      </c>
      <c r="I94">
        <v>0</v>
      </c>
      <c r="J94">
        <v>218.2</v>
      </c>
      <c r="K94">
        <v>7</v>
      </c>
      <c r="L94">
        <v>17.399999999999999</v>
      </c>
      <c r="M94" s="2">
        <f t="shared" si="3"/>
        <v>395.47503999999998</v>
      </c>
      <c r="N94" s="2">
        <f t="shared" si="4"/>
        <v>179.170875</v>
      </c>
      <c r="O94">
        <v>22</v>
      </c>
    </row>
    <row r="95" spans="3:15" x14ac:dyDescent="0.25">
      <c r="C95">
        <v>10</v>
      </c>
      <c r="D95">
        <v>392.7</v>
      </c>
      <c r="E95">
        <v>43.6</v>
      </c>
      <c r="F95">
        <v>654.5</v>
      </c>
      <c r="G95">
        <v>1309.0999999999999</v>
      </c>
      <c r="H95">
        <v>0</v>
      </c>
      <c r="I95">
        <v>0</v>
      </c>
      <c r="J95">
        <v>218.2</v>
      </c>
      <c r="K95">
        <v>14</v>
      </c>
      <c r="L95">
        <v>19.8</v>
      </c>
      <c r="M95" s="2">
        <f t="shared" si="3"/>
        <v>395.47503999999998</v>
      </c>
      <c r="N95" s="2">
        <f t="shared" si="4"/>
        <v>179.170875</v>
      </c>
      <c r="O95">
        <v>22</v>
      </c>
    </row>
    <row r="96" spans="3:15" x14ac:dyDescent="0.25">
      <c r="C96">
        <v>10</v>
      </c>
      <c r="D96">
        <v>392.7</v>
      </c>
      <c r="E96">
        <v>43.6</v>
      </c>
      <c r="F96">
        <v>654.5</v>
      </c>
      <c r="G96">
        <v>1309.0999999999999</v>
      </c>
      <c r="H96">
        <v>0</v>
      </c>
      <c r="I96">
        <v>0</v>
      </c>
      <c r="J96">
        <v>218.2</v>
      </c>
      <c r="K96">
        <v>28</v>
      </c>
      <c r="L96">
        <v>22.3</v>
      </c>
      <c r="M96" s="2">
        <f t="shared" si="3"/>
        <v>395.47503999999998</v>
      </c>
      <c r="N96" s="2">
        <f t="shared" si="4"/>
        <v>179.170875</v>
      </c>
      <c r="O96">
        <v>22</v>
      </c>
    </row>
    <row r="97" spans="3:15" x14ac:dyDescent="0.25">
      <c r="C97">
        <v>15</v>
      </c>
      <c r="D97">
        <v>370.9</v>
      </c>
      <c r="E97">
        <v>65.5</v>
      </c>
      <c r="F97">
        <v>654.5</v>
      </c>
      <c r="G97">
        <v>1309.0999999999999</v>
      </c>
      <c r="H97">
        <v>0</v>
      </c>
      <c r="I97">
        <v>0</v>
      </c>
      <c r="J97">
        <v>218.2</v>
      </c>
      <c r="K97">
        <v>7</v>
      </c>
      <c r="L97">
        <v>15.3</v>
      </c>
      <c r="M97" s="2">
        <f t="shared" si="3"/>
        <v>377.55624</v>
      </c>
      <c r="N97" s="2">
        <f t="shared" si="4"/>
        <v>170.99587500000001</v>
      </c>
      <c r="O97">
        <v>20</v>
      </c>
    </row>
    <row r="98" spans="3:15" x14ac:dyDescent="0.25">
      <c r="C98">
        <v>15</v>
      </c>
      <c r="D98">
        <v>370.9</v>
      </c>
      <c r="E98">
        <v>65.5</v>
      </c>
      <c r="F98">
        <v>654.5</v>
      </c>
      <c r="G98">
        <v>1309.0999999999999</v>
      </c>
      <c r="H98">
        <v>0</v>
      </c>
      <c r="I98">
        <v>0</v>
      </c>
      <c r="J98">
        <v>218.2</v>
      </c>
      <c r="K98">
        <v>14</v>
      </c>
      <c r="L98">
        <v>17.2</v>
      </c>
      <c r="M98" s="2">
        <f t="shared" si="3"/>
        <v>377.55624</v>
      </c>
      <c r="N98" s="2">
        <f t="shared" si="4"/>
        <v>170.99587500000001</v>
      </c>
      <c r="O98">
        <v>20</v>
      </c>
    </row>
    <row r="99" spans="3:15" x14ac:dyDescent="0.25">
      <c r="C99">
        <v>15</v>
      </c>
      <c r="D99">
        <v>370.9</v>
      </c>
      <c r="E99">
        <v>65.5</v>
      </c>
      <c r="F99">
        <v>654.5</v>
      </c>
      <c r="G99">
        <v>1309.0999999999999</v>
      </c>
      <c r="H99">
        <v>0</v>
      </c>
      <c r="I99">
        <v>0</v>
      </c>
      <c r="J99">
        <v>218.2</v>
      </c>
      <c r="K99">
        <v>28</v>
      </c>
      <c r="L99">
        <v>19.600000000000001</v>
      </c>
      <c r="M99" s="2">
        <f t="shared" si="3"/>
        <v>377.55624</v>
      </c>
      <c r="N99" s="2">
        <f t="shared" si="4"/>
        <v>170.99587500000001</v>
      </c>
      <c r="O99">
        <v>20</v>
      </c>
    </row>
    <row r="100" spans="3:15" x14ac:dyDescent="0.25">
      <c r="C100">
        <v>20</v>
      </c>
      <c r="D100">
        <v>349.1</v>
      </c>
      <c r="E100">
        <v>87.3</v>
      </c>
      <c r="F100">
        <v>654.5</v>
      </c>
      <c r="G100">
        <v>1309.0999999999999</v>
      </c>
      <c r="H100">
        <v>0</v>
      </c>
      <c r="I100">
        <v>0</v>
      </c>
      <c r="J100">
        <v>218.2</v>
      </c>
      <c r="K100">
        <v>7</v>
      </c>
      <c r="L100">
        <v>13.6</v>
      </c>
      <c r="M100" s="2">
        <f t="shared" si="3"/>
        <v>359.63664</v>
      </c>
      <c r="N100" s="2">
        <f t="shared" si="4"/>
        <v>162.820875</v>
      </c>
      <c r="O100">
        <v>15</v>
      </c>
    </row>
    <row r="101" spans="3:15" x14ac:dyDescent="0.25">
      <c r="C101">
        <v>20</v>
      </c>
      <c r="D101">
        <v>349.1</v>
      </c>
      <c r="E101">
        <v>87.3</v>
      </c>
      <c r="F101">
        <v>654.5</v>
      </c>
      <c r="G101">
        <v>1309.0999999999999</v>
      </c>
      <c r="H101">
        <v>0</v>
      </c>
      <c r="I101">
        <v>0</v>
      </c>
      <c r="J101">
        <v>218.2</v>
      </c>
      <c r="K101">
        <v>14</v>
      </c>
      <c r="L101">
        <v>15.4</v>
      </c>
      <c r="M101" s="2">
        <f t="shared" si="3"/>
        <v>359.63664</v>
      </c>
      <c r="N101" s="2">
        <f t="shared" si="4"/>
        <v>162.820875</v>
      </c>
      <c r="O101">
        <v>15</v>
      </c>
    </row>
    <row r="102" spans="3:15" x14ac:dyDescent="0.25">
      <c r="C102">
        <v>20</v>
      </c>
      <c r="D102">
        <v>349.1</v>
      </c>
      <c r="E102">
        <v>87.3</v>
      </c>
      <c r="F102">
        <v>654.5</v>
      </c>
      <c r="G102">
        <v>1309.0999999999999</v>
      </c>
      <c r="H102">
        <v>0</v>
      </c>
      <c r="I102">
        <v>0</v>
      </c>
      <c r="J102">
        <v>218.2</v>
      </c>
      <c r="K102">
        <v>28</v>
      </c>
      <c r="L102">
        <v>17.8</v>
      </c>
      <c r="M102" s="2">
        <f t="shared" si="3"/>
        <v>359.63664</v>
      </c>
      <c r="N102" s="2">
        <f t="shared" si="4"/>
        <v>162.820875</v>
      </c>
      <c r="O102">
        <v>15</v>
      </c>
    </row>
    <row r="103" spans="3:15" x14ac:dyDescent="0.25">
      <c r="C103">
        <v>25</v>
      </c>
      <c r="D103">
        <v>327.3</v>
      </c>
      <c r="E103">
        <v>109.1</v>
      </c>
      <c r="F103">
        <v>654.5</v>
      </c>
      <c r="G103">
        <v>1309.0999999999999</v>
      </c>
      <c r="H103">
        <v>0</v>
      </c>
      <c r="I103">
        <v>0</v>
      </c>
      <c r="J103">
        <v>218.2</v>
      </c>
      <c r="K103">
        <v>7</v>
      </c>
      <c r="L103">
        <v>12.4</v>
      </c>
      <c r="M103" s="2">
        <f t="shared" si="3"/>
        <v>341.71704</v>
      </c>
      <c r="N103" s="2">
        <f t="shared" si="4"/>
        <v>154.64587500000002</v>
      </c>
      <c r="O103">
        <v>12</v>
      </c>
    </row>
    <row r="104" spans="3:15" x14ac:dyDescent="0.25">
      <c r="C104">
        <v>25</v>
      </c>
      <c r="D104">
        <v>327.3</v>
      </c>
      <c r="E104">
        <v>109.1</v>
      </c>
      <c r="F104">
        <v>654.5</v>
      </c>
      <c r="G104">
        <v>1309.0999999999999</v>
      </c>
      <c r="H104">
        <v>0</v>
      </c>
      <c r="I104">
        <v>0</v>
      </c>
      <c r="J104">
        <v>218.2</v>
      </c>
      <c r="K104">
        <v>14</v>
      </c>
      <c r="L104">
        <v>13.9</v>
      </c>
      <c r="M104" s="2">
        <f t="shared" si="3"/>
        <v>341.71704</v>
      </c>
      <c r="N104" s="2">
        <f t="shared" si="4"/>
        <v>154.64587500000002</v>
      </c>
      <c r="O104">
        <v>12</v>
      </c>
    </row>
    <row r="105" spans="3:15" x14ac:dyDescent="0.25">
      <c r="C105">
        <v>25</v>
      </c>
      <c r="D105">
        <v>327.3</v>
      </c>
      <c r="E105">
        <v>109.1</v>
      </c>
      <c r="F105">
        <v>654.5</v>
      </c>
      <c r="G105">
        <v>1309.0999999999999</v>
      </c>
      <c r="H105">
        <v>0</v>
      </c>
      <c r="I105">
        <v>0</v>
      </c>
      <c r="J105">
        <v>218.2</v>
      </c>
      <c r="K105">
        <v>28</v>
      </c>
      <c r="L105">
        <v>16.100000000000001</v>
      </c>
      <c r="M105" s="2">
        <f t="shared" si="3"/>
        <v>341.71704</v>
      </c>
      <c r="N105" s="2">
        <f t="shared" si="4"/>
        <v>154.64587500000002</v>
      </c>
      <c r="O105">
        <v>12</v>
      </c>
    </row>
    <row r="106" spans="3:15" x14ac:dyDescent="0.25">
      <c r="C106">
        <v>0</v>
      </c>
      <c r="D106">
        <v>240</v>
      </c>
      <c r="E106">
        <v>0</v>
      </c>
      <c r="F106">
        <v>720</v>
      </c>
      <c r="G106">
        <v>1440</v>
      </c>
      <c r="H106">
        <v>0</v>
      </c>
      <c r="I106">
        <v>0</v>
      </c>
      <c r="J106">
        <v>168</v>
      </c>
      <c r="K106">
        <v>7</v>
      </c>
      <c r="L106">
        <v>13.2</v>
      </c>
      <c r="M106" s="2">
        <f t="shared" si="3"/>
        <v>275.30399999999997</v>
      </c>
      <c r="N106" s="2">
        <f t="shared" si="4"/>
        <v>125.1</v>
      </c>
      <c r="O106">
        <v>60</v>
      </c>
    </row>
    <row r="107" spans="3:15" x14ac:dyDescent="0.25">
      <c r="C107">
        <v>0</v>
      </c>
      <c r="D107">
        <v>240</v>
      </c>
      <c r="E107">
        <v>0</v>
      </c>
      <c r="F107">
        <v>720</v>
      </c>
      <c r="G107">
        <v>1440</v>
      </c>
      <c r="H107">
        <v>0</v>
      </c>
      <c r="I107">
        <v>0</v>
      </c>
      <c r="J107">
        <v>168</v>
      </c>
      <c r="K107">
        <v>14</v>
      </c>
      <c r="L107">
        <v>14.9</v>
      </c>
      <c r="M107" s="2">
        <f t="shared" si="3"/>
        <v>275.30399999999997</v>
      </c>
      <c r="N107" s="2">
        <f t="shared" si="4"/>
        <v>125.1</v>
      </c>
      <c r="O107">
        <v>60</v>
      </c>
    </row>
    <row r="108" spans="3:15" x14ac:dyDescent="0.25">
      <c r="C108">
        <v>0</v>
      </c>
      <c r="D108">
        <v>240</v>
      </c>
      <c r="E108">
        <v>0</v>
      </c>
      <c r="F108">
        <v>720</v>
      </c>
      <c r="G108">
        <v>1440</v>
      </c>
      <c r="H108">
        <v>0</v>
      </c>
      <c r="I108">
        <v>0</v>
      </c>
      <c r="J108">
        <v>168</v>
      </c>
      <c r="K108">
        <v>28</v>
      </c>
      <c r="L108">
        <v>16.5</v>
      </c>
      <c r="M108" s="2">
        <f t="shared" si="3"/>
        <v>275.30399999999997</v>
      </c>
      <c r="N108" s="2">
        <f t="shared" si="4"/>
        <v>125.1</v>
      </c>
      <c r="O108">
        <v>60</v>
      </c>
    </row>
    <row r="109" spans="3:15" x14ac:dyDescent="0.25">
      <c r="C109">
        <v>2</v>
      </c>
      <c r="D109">
        <v>235.2</v>
      </c>
      <c r="E109">
        <v>4.8</v>
      </c>
      <c r="F109">
        <v>720</v>
      </c>
      <c r="G109">
        <v>1440</v>
      </c>
      <c r="H109">
        <v>0</v>
      </c>
      <c r="I109">
        <v>0</v>
      </c>
      <c r="J109">
        <v>168</v>
      </c>
      <c r="K109">
        <v>7</v>
      </c>
      <c r="L109">
        <v>12.3</v>
      </c>
      <c r="M109" s="2">
        <f t="shared" si="3"/>
        <v>271.35839999999996</v>
      </c>
      <c r="N109" s="2">
        <f t="shared" si="4"/>
        <v>123.3</v>
      </c>
      <c r="O109">
        <v>50</v>
      </c>
    </row>
    <row r="110" spans="3:15" x14ac:dyDescent="0.25">
      <c r="C110">
        <v>2</v>
      </c>
      <c r="D110">
        <v>235.2</v>
      </c>
      <c r="E110">
        <v>4.8</v>
      </c>
      <c r="F110">
        <v>720</v>
      </c>
      <c r="G110">
        <v>1440</v>
      </c>
      <c r="H110">
        <v>0</v>
      </c>
      <c r="I110">
        <v>0</v>
      </c>
      <c r="J110">
        <v>168</v>
      </c>
      <c r="K110">
        <v>14</v>
      </c>
      <c r="L110">
        <v>13.9</v>
      </c>
      <c r="M110" s="2">
        <f t="shared" si="3"/>
        <v>271.35839999999996</v>
      </c>
      <c r="N110" s="2">
        <f t="shared" si="4"/>
        <v>123.3</v>
      </c>
      <c r="O110">
        <v>50</v>
      </c>
    </row>
    <row r="111" spans="3:15" x14ac:dyDescent="0.25">
      <c r="C111">
        <v>2</v>
      </c>
      <c r="D111">
        <v>235.2</v>
      </c>
      <c r="E111">
        <v>4.8</v>
      </c>
      <c r="F111">
        <v>720</v>
      </c>
      <c r="G111">
        <v>1440</v>
      </c>
      <c r="H111">
        <v>0</v>
      </c>
      <c r="I111">
        <v>0</v>
      </c>
      <c r="J111">
        <v>168</v>
      </c>
      <c r="K111">
        <v>28</v>
      </c>
      <c r="L111">
        <v>15.4</v>
      </c>
      <c r="M111" s="2">
        <f t="shared" si="3"/>
        <v>271.35839999999996</v>
      </c>
      <c r="N111" s="2">
        <f t="shared" si="4"/>
        <v>123.3</v>
      </c>
      <c r="O111">
        <v>50</v>
      </c>
    </row>
    <row r="112" spans="3:15" x14ac:dyDescent="0.25">
      <c r="C112">
        <v>4</v>
      </c>
      <c r="D112">
        <v>230.4</v>
      </c>
      <c r="E112">
        <v>9.6</v>
      </c>
      <c r="F112">
        <v>720</v>
      </c>
      <c r="G112">
        <v>1440</v>
      </c>
      <c r="H112">
        <v>0</v>
      </c>
      <c r="I112">
        <v>0</v>
      </c>
      <c r="J112">
        <v>168</v>
      </c>
      <c r="K112">
        <v>7</v>
      </c>
      <c r="L112">
        <v>11.4</v>
      </c>
      <c r="M112" s="2">
        <f t="shared" si="3"/>
        <v>267.4128</v>
      </c>
      <c r="N112" s="2">
        <f t="shared" si="4"/>
        <v>121.5</v>
      </c>
      <c r="O112">
        <v>42</v>
      </c>
    </row>
    <row r="113" spans="3:15" x14ac:dyDescent="0.25">
      <c r="C113">
        <v>4</v>
      </c>
      <c r="D113">
        <v>230.4</v>
      </c>
      <c r="E113">
        <v>9.6</v>
      </c>
      <c r="F113">
        <v>720</v>
      </c>
      <c r="G113">
        <v>1440</v>
      </c>
      <c r="H113">
        <v>0</v>
      </c>
      <c r="I113">
        <v>0</v>
      </c>
      <c r="J113">
        <v>168</v>
      </c>
      <c r="K113">
        <v>14</v>
      </c>
      <c r="L113">
        <v>12.8</v>
      </c>
      <c r="M113" s="2">
        <f t="shared" si="3"/>
        <v>267.4128</v>
      </c>
      <c r="N113" s="2">
        <f t="shared" si="4"/>
        <v>121.5</v>
      </c>
      <c r="O113">
        <v>42</v>
      </c>
    </row>
    <row r="114" spans="3:15" x14ac:dyDescent="0.25">
      <c r="C114">
        <v>4</v>
      </c>
      <c r="D114">
        <v>230.4</v>
      </c>
      <c r="E114">
        <v>9.6</v>
      </c>
      <c r="F114">
        <v>720</v>
      </c>
      <c r="G114">
        <v>1440</v>
      </c>
      <c r="H114">
        <v>0</v>
      </c>
      <c r="I114">
        <v>0</v>
      </c>
      <c r="J114">
        <v>168</v>
      </c>
      <c r="K114">
        <v>28</v>
      </c>
      <c r="L114">
        <v>14.2</v>
      </c>
      <c r="M114" s="2">
        <f t="shared" si="3"/>
        <v>267.4128</v>
      </c>
      <c r="N114" s="2">
        <f t="shared" si="4"/>
        <v>121.5</v>
      </c>
      <c r="O114">
        <v>42</v>
      </c>
    </row>
    <row r="115" spans="3:15" x14ac:dyDescent="0.25">
      <c r="C115">
        <v>6</v>
      </c>
      <c r="D115">
        <v>225.6</v>
      </c>
      <c r="E115">
        <v>14.4</v>
      </c>
      <c r="F115">
        <v>720</v>
      </c>
      <c r="G115">
        <v>1440</v>
      </c>
      <c r="H115">
        <v>0</v>
      </c>
      <c r="I115">
        <v>0</v>
      </c>
      <c r="J115">
        <v>168</v>
      </c>
      <c r="K115">
        <v>7</v>
      </c>
      <c r="L115">
        <v>10.6</v>
      </c>
      <c r="M115" s="2">
        <f t="shared" si="3"/>
        <v>263.46719999999999</v>
      </c>
      <c r="N115" s="2">
        <f t="shared" si="4"/>
        <v>119.69999999999999</v>
      </c>
      <c r="O115">
        <v>35</v>
      </c>
    </row>
    <row r="116" spans="3:15" x14ac:dyDescent="0.25">
      <c r="C116">
        <v>6</v>
      </c>
      <c r="D116">
        <v>225.6</v>
      </c>
      <c r="E116">
        <v>14.4</v>
      </c>
      <c r="F116">
        <v>720</v>
      </c>
      <c r="G116">
        <v>1440</v>
      </c>
      <c r="H116">
        <v>0</v>
      </c>
      <c r="I116">
        <v>0</v>
      </c>
      <c r="J116">
        <v>168</v>
      </c>
      <c r="K116">
        <v>14</v>
      </c>
      <c r="L116">
        <v>11.8</v>
      </c>
      <c r="M116" s="2">
        <f t="shared" si="3"/>
        <v>263.46719999999999</v>
      </c>
      <c r="N116" s="2">
        <f t="shared" si="4"/>
        <v>119.69999999999999</v>
      </c>
      <c r="O116">
        <v>35</v>
      </c>
    </row>
    <row r="117" spans="3:15" x14ac:dyDescent="0.25">
      <c r="C117">
        <v>6</v>
      </c>
      <c r="D117">
        <v>225.6</v>
      </c>
      <c r="E117">
        <v>14.4</v>
      </c>
      <c r="F117">
        <v>720</v>
      </c>
      <c r="G117">
        <v>1440</v>
      </c>
      <c r="H117">
        <v>0</v>
      </c>
      <c r="I117">
        <v>0</v>
      </c>
      <c r="J117">
        <v>168</v>
      </c>
      <c r="K117">
        <v>28</v>
      </c>
      <c r="L117">
        <v>13.2</v>
      </c>
      <c r="M117" s="2">
        <f t="shared" si="3"/>
        <v>263.46719999999999</v>
      </c>
      <c r="N117" s="2">
        <f t="shared" si="4"/>
        <v>119.69999999999999</v>
      </c>
      <c r="O117">
        <v>35</v>
      </c>
    </row>
    <row r="118" spans="3:15" x14ac:dyDescent="0.25">
      <c r="C118">
        <v>8</v>
      </c>
      <c r="D118">
        <v>220.8</v>
      </c>
      <c r="E118">
        <v>19.2</v>
      </c>
      <c r="F118">
        <v>720</v>
      </c>
      <c r="G118">
        <v>1440</v>
      </c>
      <c r="H118">
        <v>0</v>
      </c>
      <c r="I118">
        <v>0</v>
      </c>
      <c r="J118">
        <v>168</v>
      </c>
      <c r="K118">
        <v>7</v>
      </c>
      <c r="L118">
        <v>9.6999999999999993</v>
      </c>
      <c r="M118" s="2">
        <f t="shared" si="3"/>
        <v>259.52160000000003</v>
      </c>
      <c r="N118" s="2">
        <f t="shared" si="4"/>
        <v>117.89999999999999</v>
      </c>
      <c r="O118">
        <v>30</v>
      </c>
    </row>
    <row r="119" spans="3:15" x14ac:dyDescent="0.25">
      <c r="C119">
        <v>8</v>
      </c>
      <c r="D119">
        <v>220.8</v>
      </c>
      <c r="E119">
        <v>19.2</v>
      </c>
      <c r="F119">
        <v>720</v>
      </c>
      <c r="G119">
        <v>1440</v>
      </c>
      <c r="H119">
        <v>0</v>
      </c>
      <c r="I119">
        <v>0</v>
      </c>
      <c r="J119">
        <v>168</v>
      </c>
      <c r="K119">
        <v>14</v>
      </c>
      <c r="L119">
        <v>10.9</v>
      </c>
      <c r="M119" s="2">
        <f t="shared" si="3"/>
        <v>259.52160000000003</v>
      </c>
      <c r="N119" s="2">
        <f t="shared" si="4"/>
        <v>117.89999999999999</v>
      </c>
      <c r="O119">
        <v>30</v>
      </c>
    </row>
    <row r="120" spans="3:15" x14ac:dyDescent="0.25">
      <c r="C120">
        <v>8</v>
      </c>
      <c r="D120">
        <v>220.8</v>
      </c>
      <c r="E120">
        <v>19.2</v>
      </c>
      <c r="F120">
        <v>720</v>
      </c>
      <c r="G120">
        <v>1440</v>
      </c>
      <c r="H120">
        <v>0</v>
      </c>
      <c r="I120">
        <v>0</v>
      </c>
      <c r="J120">
        <v>168</v>
      </c>
      <c r="K120">
        <v>28</v>
      </c>
      <c r="L120">
        <v>12.2</v>
      </c>
      <c r="M120" s="2">
        <f t="shared" si="3"/>
        <v>259.52160000000003</v>
      </c>
      <c r="N120" s="2">
        <f t="shared" si="4"/>
        <v>117.89999999999999</v>
      </c>
      <c r="O120">
        <v>30</v>
      </c>
    </row>
    <row r="121" spans="3:15" x14ac:dyDescent="0.25">
      <c r="C121">
        <v>10</v>
      </c>
      <c r="D121">
        <v>216</v>
      </c>
      <c r="E121">
        <v>24</v>
      </c>
      <c r="F121">
        <v>720</v>
      </c>
      <c r="G121">
        <v>1440</v>
      </c>
      <c r="H121">
        <v>0</v>
      </c>
      <c r="I121">
        <v>0</v>
      </c>
      <c r="J121">
        <v>168</v>
      </c>
      <c r="K121">
        <v>7</v>
      </c>
      <c r="L121">
        <v>8.9</v>
      </c>
      <c r="M121" s="2">
        <f t="shared" si="3"/>
        <v>255.57600000000002</v>
      </c>
      <c r="N121" s="2">
        <f t="shared" si="4"/>
        <v>116.1</v>
      </c>
      <c r="O121">
        <v>30</v>
      </c>
    </row>
    <row r="122" spans="3:15" x14ac:dyDescent="0.25">
      <c r="C122">
        <v>10</v>
      </c>
      <c r="D122">
        <v>216</v>
      </c>
      <c r="E122">
        <v>24</v>
      </c>
      <c r="F122">
        <v>720</v>
      </c>
      <c r="G122">
        <v>1440</v>
      </c>
      <c r="H122">
        <v>0</v>
      </c>
      <c r="I122">
        <v>0</v>
      </c>
      <c r="J122">
        <v>168</v>
      </c>
      <c r="K122">
        <v>14</v>
      </c>
      <c r="L122">
        <v>10</v>
      </c>
      <c r="M122" s="2">
        <f t="shared" si="3"/>
        <v>255.57600000000002</v>
      </c>
      <c r="N122" s="2">
        <f t="shared" si="4"/>
        <v>116.1</v>
      </c>
      <c r="O122">
        <v>30</v>
      </c>
    </row>
    <row r="123" spans="3:15" x14ac:dyDescent="0.25">
      <c r="C123">
        <v>10</v>
      </c>
      <c r="D123">
        <v>216</v>
      </c>
      <c r="E123">
        <v>24</v>
      </c>
      <c r="F123">
        <v>720</v>
      </c>
      <c r="G123">
        <v>1440</v>
      </c>
      <c r="H123">
        <v>0</v>
      </c>
      <c r="I123">
        <v>0</v>
      </c>
      <c r="J123">
        <v>168</v>
      </c>
      <c r="K123">
        <v>28</v>
      </c>
      <c r="L123">
        <v>11.2</v>
      </c>
      <c r="M123" s="2">
        <f t="shared" si="3"/>
        <v>255.57600000000002</v>
      </c>
      <c r="N123" s="2">
        <f t="shared" si="4"/>
        <v>116.1</v>
      </c>
      <c r="O123">
        <v>30</v>
      </c>
    </row>
    <row r="124" spans="3:15" x14ac:dyDescent="0.25">
      <c r="C124">
        <v>15</v>
      </c>
      <c r="D124">
        <v>204</v>
      </c>
      <c r="E124">
        <v>36</v>
      </c>
      <c r="F124">
        <v>720</v>
      </c>
      <c r="G124">
        <v>1440</v>
      </c>
      <c r="H124">
        <v>0</v>
      </c>
      <c r="I124">
        <v>0</v>
      </c>
      <c r="J124">
        <v>168</v>
      </c>
      <c r="K124">
        <v>7</v>
      </c>
      <c r="L124">
        <v>7.8</v>
      </c>
      <c r="M124" s="2">
        <f t="shared" si="3"/>
        <v>245.71200000000002</v>
      </c>
      <c r="N124" s="2">
        <f t="shared" si="4"/>
        <v>111.6</v>
      </c>
      <c r="O124">
        <v>25</v>
      </c>
    </row>
    <row r="125" spans="3:15" x14ac:dyDescent="0.25">
      <c r="C125">
        <v>15</v>
      </c>
      <c r="D125">
        <v>204</v>
      </c>
      <c r="E125">
        <v>36</v>
      </c>
      <c r="F125">
        <v>720</v>
      </c>
      <c r="G125">
        <v>1440</v>
      </c>
      <c r="H125">
        <v>0</v>
      </c>
      <c r="I125">
        <v>0</v>
      </c>
      <c r="J125">
        <v>168</v>
      </c>
      <c r="K125">
        <v>14</v>
      </c>
      <c r="L125">
        <v>8.8000000000000007</v>
      </c>
      <c r="M125" s="2">
        <f t="shared" si="3"/>
        <v>245.71200000000002</v>
      </c>
      <c r="N125" s="2">
        <f t="shared" si="4"/>
        <v>111.6</v>
      </c>
      <c r="O125">
        <v>25</v>
      </c>
    </row>
    <row r="126" spans="3:15" x14ac:dyDescent="0.25">
      <c r="C126">
        <v>15</v>
      </c>
      <c r="D126">
        <v>204</v>
      </c>
      <c r="E126">
        <v>36</v>
      </c>
      <c r="F126">
        <v>720</v>
      </c>
      <c r="G126">
        <v>1440</v>
      </c>
      <c r="H126">
        <v>0</v>
      </c>
      <c r="I126">
        <v>0</v>
      </c>
      <c r="J126">
        <v>168</v>
      </c>
      <c r="K126">
        <v>28</v>
      </c>
      <c r="L126">
        <v>9.9</v>
      </c>
      <c r="M126" s="2">
        <f t="shared" si="3"/>
        <v>245.71200000000002</v>
      </c>
      <c r="N126" s="2">
        <f t="shared" si="4"/>
        <v>111.6</v>
      </c>
      <c r="O126">
        <v>25</v>
      </c>
    </row>
    <row r="127" spans="3:15" x14ac:dyDescent="0.25">
      <c r="C127">
        <v>20</v>
      </c>
      <c r="D127">
        <v>192</v>
      </c>
      <c r="E127">
        <v>48</v>
      </c>
      <c r="F127">
        <v>720</v>
      </c>
      <c r="G127">
        <v>1440</v>
      </c>
      <c r="H127">
        <v>0</v>
      </c>
      <c r="I127">
        <v>0</v>
      </c>
      <c r="J127">
        <v>168</v>
      </c>
      <c r="K127">
        <v>7</v>
      </c>
      <c r="L127">
        <v>6.9</v>
      </c>
      <c r="M127" s="2">
        <f t="shared" si="3"/>
        <v>235.84799999999998</v>
      </c>
      <c r="N127" s="2">
        <f t="shared" si="4"/>
        <v>107.1</v>
      </c>
      <c r="O127">
        <v>20</v>
      </c>
    </row>
    <row r="128" spans="3:15" x14ac:dyDescent="0.25">
      <c r="C128">
        <v>20</v>
      </c>
      <c r="D128">
        <v>192</v>
      </c>
      <c r="E128">
        <v>48</v>
      </c>
      <c r="F128">
        <v>720</v>
      </c>
      <c r="G128">
        <v>1440</v>
      </c>
      <c r="H128">
        <v>0</v>
      </c>
      <c r="I128">
        <v>0</v>
      </c>
      <c r="J128">
        <v>168</v>
      </c>
      <c r="K128">
        <v>14</v>
      </c>
      <c r="L128">
        <v>7.9</v>
      </c>
      <c r="M128" s="2">
        <f t="shared" si="3"/>
        <v>235.84799999999998</v>
      </c>
      <c r="N128" s="2">
        <f t="shared" si="4"/>
        <v>107.1</v>
      </c>
      <c r="O128">
        <v>20</v>
      </c>
    </row>
    <row r="129" spans="1:15" x14ac:dyDescent="0.25">
      <c r="C129">
        <v>20</v>
      </c>
      <c r="D129">
        <v>192</v>
      </c>
      <c r="E129">
        <v>48</v>
      </c>
      <c r="F129">
        <v>720</v>
      </c>
      <c r="G129">
        <v>1440</v>
      </c>
      <c r="H129">
        <v>0</v>
      </c>
      <c r="I129">
        <v>0</v>
      </c>
      <c r="J129">
        <v>168</v>
      </c>
      <c r="K129">
        <v>28</v>
      </c>
      <c r="L129">
        <v>8.9</v>
      </c>
      <c r="M129" s="2">
        <f t="shared" si="3"/>
        <v>235.84799999999998</v>
      </c>
      <c r="N129" s="2">
        <f t="shared" si="4"/>
        <v>107.1</v>
      </c>
      <c r="O129">
        <v>20</v>
      </c>
    </row>
    <row r="130" spans="1:15" x14ac:dyDescent="0.25">
      <c r="C130">
        <v>25</v>
      </c>
      <c r="D130">
        <v>180</v>
      </c>
      <c r="E130">
        <v>60</v>
      </c>
      <c r="F130">
        <v>720</v>
      </c>
      <c r="G130">
        <v>1440</v>
      </c>
      <c r="H130">
        <v>0</v>
      </c>
      <c r="I130">
        <v>0</v>
      </c>
      <c r="J130">
        <v>168</v>
      </c>
      <c r="K130">
        <v>7</v>
      </c>
      <c r="L130">
        <v>6.2</v>
      </c>
      <c r="M130" s="2">
        <f t="shared" si="3"/>
        <v>225.98400000000001</v>
      </c>
      <c r="N130" s="2">
        <f t="shared" si="4"/>
        <v>102.6</v>
      </c>
      <c r="O130">
        <v>15</v>
      </c>
    </row>
    <row r="131" spans="1:15" x14ac:dyDescent="0.25">
      <c r="C131">
        <v>25</v>
      </c>
      <c r="D131">
        <v>180</v>
      </c>
      <c r="E131">
        <v>60</v>
      </c>
      <c r="F131">
        <v>720</v>
      </c>
      <c r="G131">
        <v>1440</v>
      </c>
      <c r="H131">
        <v>0</v>
      </c>
      <c r="I131">
        <v>0</v>
      </c>
      <c r="J131">
        <v>168</v>
      </c>
      <c r="K131">
        <v>14</v>
      </c>
      <c r="L131">
        <v>7</v>
      </c>
      <c r="M131" s="2">
        <f t="shared" ref="M131:M194" si="5">SUM((D131*0.83)+(E131*0.008)+(F131*0.0139)+(G131*0.0459)+(H131*2))</f>
        <v>225.98400000000001</v>
      </c>
      <c r="N131" s="2">
        <f t="shared" ref="N131:N194" si="6">SUM((D131*5)+((F131*0.25)+(G131*0.2)+(H131*20)))*0.075</f>
        <v>102.6</v>
      </c>
      <c r="O131">
        <v>15</v>
      </c>
    </row>
    <row r="132" spans="1:15" x14ac:dyDescent="0.25">
      <c r="C132">
        <v>25</v>
      </c>
      <c r="D132">
        <v>180</v>
      </c>
      <c r="E132">
        <v>60</v>
      </c>
      <c r="F132">
        <v>720</v>
      </c>
      <c r="G132">
        <v>1440</v>
      </c>
      <c r="H132">
        <v>0</v>
      </c>
      <c r="I132">
        <v>0</v>
      </c>
      <c r="J132">
        <v>168</v>
      </c>
      <c r="K132">
        <v>28</v>
      </c>
      <c r="L132">
        <v>7.9</v>
      </c>
      <c r="M132" s="2">
        <f t="shared" si="5"/>
        <v>225.98400000000001</v>
      </c>
      <c r="N132" s="2">
        <f t="shared" si="6"/>
        <v>102.6</v>
      </c>
      <c r="O132">
        <v>15</v>
      </c>
    </row>
    <row r="133" spans="1:15" x14ac:dyDescent="0.25">
      <c r="A133" t="s">
        <v>389</v>
      </c>
      <c r="B133" t="s">
        <v>318</v>
      </c>
      <c r="C133">
        <v>0</v>
      </c>
      <c r="D133">
        <v>380</v>
      </c>
      <c r="E133">
        <v>0</v>
      </c>
      <c r="F133">
        <v>734</v>
      </c>
      <c r="G133">
        <v>1045</v>
      </c>
      <c r="H133">
        <v>0</v>
      </c>
      <c r="I133">
        <v>0</v>
      </c>
      <c r="J133">
        <v>205</v>
      </c>
      <c r="K133">
        <v>28</v>
      </c>
      <c r="L133">
        <v>34.6</v>
      </c>
      <c r="M133" s="2">
        <f t="shared" si="5"/>
        <v>373.56810000000002</v>
      </c>
      <c r="N133" s="2">
        <f t="shared" si="6"/>
        <v>171.9375</v>
      </c>
      <c r="O133">
        <v>0</v>
      </c>
    </row>
    <row r="134" spans="1:15" x14ac:dyDescent="0.25">
      <c r="C134">
        <v>0</v>
      </c>
      <c r="D134">
        <v>0</v>
      </c>
      <c r="E134">
        <v>0</v>
      </c>
      <c r="F134">
        <v>899</v>
      </c>
      <c r="G134">
        <v>1045</v>
      </c>
      <c r="H134">
        <v>380</v>
      </c>
      <c r="I134">
        <v>0</v>
      </c>
      <c r="J134">
        <v>205</v>
      </c>
      <c r="K134">
        <v>28</v>
      </c>
      <c r="L134">
        <v>46.9</v>
      </c>
      <c r="M134" s="2">
        <f t="shared" si="5"/>
        <v>820.46159999999998</v>
      </c>
      <c r="N134" s="2">
        <f t="shared" si="6"/>
        <v>602.53125</v>
      </c>
      <c r="O134">
        <v>0</v>
      </c>
    </row>
    <row r="135" spans="1:15" x14ac:dyDescent="0.25">
      <c r="C135">
        <v>0</v>
      </c>
      <c r="D135">
        <v>380</v>
      </c>
      <c r="E135">
        <v>76</v>
      </c>
      <c r="F135">
        <v>887</v>
      </c>
      <c r="G135">
        <v>1045</v>
      </c>
      <c r="H135">
        <v>304</v>
      </c>
      <c r="I135">
        <v>0</v>
      </c>
      <c r="J135">
        <v>205</v>
      </c>
      <c r="K135">
        <v>28</v>
      </c>
      <c r="L135">
        <v>43</v>
      </c>
      <c r="M135" s="2">
        <f t="shared" si="5"/>
        <v>984.30279999999993</v>
      </c>
      <c r="N135" s="2">
        <f t="shared" si="6"/>
        <v>630.80624999999998</v>
      </c>
      <c r="O135">
        <v>0</v>
      </c>
    </row>
    <row r="136" spans="1:15" x14ac:dyDescent="0.25">
      <c r="C136">
        <v>0</v>
      </c>
      <c r="D136">
        <v>0</v>
      </c>
      <c r="E136">
        <v>152</v>
      </c>
      <c r="F136">
        <v>874</v>
      </c>
      <c r="G136">
        <v>1045</v>
      </c>
      <c r="H136">
        <v>228</v>
      </c>
      <c r="I136">
        <v>0</v>
      </c>
      <c r="J136">
        <v>205</v>
      </c>
      <c r="K136">
        <v>28</v>
      </c>
      <c r="L136">
        <v>39</v>
      </c>
      <c r="M136" s="2">
        <f t="shared" si="5"/>
        <v>517.33010000000002</v>
      </c>
      <c r="N136" s="2">
        <f t="shared" si="6"/>
        <v>374.0625</v>
      </c>
      <c r="O136">
        <v>0</v>
      </c>
    </row>
    <row r="137" spans="1:15" x14ac:dyDescent="0.25">
      <c r="C137">
        <v>0</v>
      </c>
      <c r="D137">
        <v>0</v>
      </c>
      <c r="E137">
        <v>228</v>
      </c>
      <c r="F137">
        <v>865</v>
      </c>
      <c r="G137">
        <v>1045</v>
      </c>
      <c r="H137">
        <v>152</v>
      </c>
      <c r="I137">
        <v>0</v>
      </c>
      <c r="J137">
        <v>205</v>
      </c>
      <c r="K137">
        <v>28</v>
      </c>
      <c r="L137">
        <v>34.4</v>
      </c>
      <c r="M137" s="2">
        <f t="shared" si="5"/>
        <v>365.81299999999999</v>
      </c>
      <c r="N137" s="2">
        <f t="shared" si="6"/>
        <v>259.89375000000001</v>
      </c>
      <c r="O137">
        <v>0</v>
      </c>
    </row>
    <row r="138" spans="1:15" x14ac:dyDescent="0.25">
      <c r="C138">
        <v>0</v>
      </c>
      <c r="D138">
        <v>0</v>
      </c>
      <c r="E138">
        <v>304</v>
      </c>
      <c r="F138">
        <v>852</v>
      </c>
      <c r="G138">
        <v>1045</v>
      </c>
      <c r="H138">
        <v>76</v>
      </c>
      <c r="I138">
        <v>0</v>
      </c>
      <c r="J138">
        <v>205</v>
      </c>
      <c r="K138">
        <v>28</v>
      </c>
      <c r="L138">
        <v>27</v>
      </c>
      <c r="M138" s="2">
        <f t="shared" si="5"/>
        <v>214.24029999999999</v>
      </c>
      <c r="N138" s="2">
        <f t="shared" si="6"/>
        <v>145.65</v>
      </c>
      <c r="O138">
        <v>0</v>
      </c>
    </row>
    <row r="139" spans="1:15" x14ac:dyDescent="0.25">
      <c r="C139">
        <v>0</v>
      </c>
      <c r="D139">
        <v>0</v>
      </c>
      <c r="E139">
        <v>380</v>
      </c>
      <c r="F139">
        <v>841</v>
      </c>
      <c r="G139">
        <v>1045</v>
      </c>
      <c r="H139">
        <v>0</v>
      </c>
      <c r="I139">
        <v>0</v>
      </c>
      <c r="J139">
        <v>205</v>
      </c>
      <c r="K139">
        <v>28</v>
      </c>
      <c r="L139">
        <v>23.5</v>
      </c>
      <c r="M139" s="2">
        <f t="shared" si="5"/>
        <v>62.695400000000006</v>
      </c>
      <c r="N139" s="2">
        <f t="shared" si="6"/>
        <v>31.443749999999998</v>
      </c>
      <c r="O139">
        <v>0</v>
      </c>
    </row>
    <row r="140" spans="1:15" x14ac:dyDescent="0.25">
      <c r="C140">
        <v>0</v>
      </c>
      <c r="D140">
        <v>488</v>
      </c>
      <c r="E140">
        <v>0</v>
      </c>
      <c r="F140">
        <v>639</v>
      </c>
      <c r="G140">
        <v>1045</v>
      </c>
      <c r="H140">
        <v>0</v>
      </c>
      <c r="I140">
        <v>0</v>
      </c>
      <c r="J140">
        <v>205</v>
      </c>
      <c r="K140">
        <v>28</v>
      </c>
      <c r="L140">
        <v>34.799999999999997</v>
      </c>
      <c r="M140" s="2">
        <f t="shared" si="5"/>
        <v>461.88759999999996</v>
      </c>
      <c r="N140" s="2">
        <f t="shared" si="6"/>
        <v>210.65625</v>
      </c>
      <c r="O140">
        <v>0</v>
      </c>
    </row>
    <row r="141" spans="1:15" x14ac:dyDescent="0.25">
      <c r="C141">
        <v>0</v>
      </c>
      <c r="D141">
        <v>0</v>
      </c>
      <c r="E141">
        <v>0</v>
      </c>
      <c r="F141">
        <v>805</v>
      </c>
      <c r="G141">
        <v>1045</v>
      </c>
      <c r="H141">
        <v>0</v>
      </c>
      <c r="I141">
        <v>0</v>
      </c>
      <c r="J141">
        <v>205</v>
      </c>
      <c r="K141">
        <v>28</v>
      </c>
      <c r="L141">
        <v>43.6</v>
      </c>
      <c r="M141" s="2">
        <f t="shared" si="5"/>
        <v>59.155000000000001</v>
      </c>
      <c r="N141" s="2">
        <f t="shared" si="6"/>
        <v>30.768749999999997</v>
      </c>
      <c r="O141">
        <v>0</v>
      </c>
    </row>
    <row r="142" spans="1:15" x14ac:dyDescent="0.25">
      <c r="C142">
        <v>0</v>
      </c>
      <c r="D142">
        <v>0</v>
      </c>
      <c r="E142">
        <v>98</v>
      </c>
      <c r="F142">
        <v>788</v>
      </c>
      <c r="G142">
        <v>1045</v>
      </c>
      <c r="H142">
        <v>0</v>
      </c>
      <c r="I142">
        <v>0</v>
      </c>
      <c r="J142">
        <v>205</v>
      </c>
      <c r="K142">
        <v>28</v>
      </c>
      <c r="L142">
        <v>40</v>
      </c>
      <c r="M142" s="2">
        <f t="shared" si="5"/>
        <v>59.702700000000007</v>
      </c>
      <c r="N142" s="2">
        <f t="shared" si="6"/>
        <v>30.45</v>
      </c>
      <c r="O142">
        <v>0</v>
      </c>
    </row>
    <row r="143" spans="1:15" x14ac:dyDescent="0.25">
      <c r="C143">
        <v>0</v>
      </c>
      <c r="D143">
        <v>0</v>
      </c>
      <c r="E143">
        <v>195</v>
      </c>
      <c r="F143">
        <v>772</v>
      </c>
      <c r="G143">
        <v>1045</v>
      </c>
      <c r="H143">
        <v>0</v>
      </c>
      <c r="I143">
        <v>0</v>
      </c>
      <c r="J143">
        <v>205</v>
      </c>
      <c r="K143">
        <v>28</v>
      </c>
      <c r="L143">
        <v>38</v>
      </c>
      <c r="M143" s="2">
        <f t="shared" si="5"/>
        <v>60.256300000000003</v>
      </c>
      <c r="N143" s="2">
        <f t="shared" si="6"/>
        <v>30.15</v>
      </c>
      <c r="O143">
        <v>0</v>
      </c>
    </row>
    <row r="144" spans="1:15" x14ac:dyDescent="0.25">
      <c r="C144">
        <v>0</v>
      </c>
      <c r="D144">
        <v>0</v>
      </c>
      <c r="E144">
        <v>293</v>
      </c>
      <c r="F144">
        <v>758</v>
      </c>
      <c r="G144">
        <v>1045</v>
      </c>
      <c r="H144">
        <v>0</v>
      </c>
      <c r="I144">
        <v>0</v>
      </c>
      <c r="J144">
        <v>205</v>
      </c>
      <c r="K144">
        <v>28</v>
      </c>
      <c r="L144">
        <v>33.5</v>
      </c>
      <c r="M144" s="2">
        <f t="shared" si="5"/>
        <v>60.845700000000008</v>
      </c>
      <c r="N144" s="2">
        <f t="shared" si="6"/>
        <v>29.887499999999999</v>
      </c>
      <c r="O144">
        <v>0</v>
      </c>
    </row>
    <row r="145" spans="1:15" x14ac:dyDescent="0.25">
      <c r="C145">
        <v>0</v>
      </c>
      <c r="D145">
        <v>0</v>
      </c>
      <c r="E145">
        <v>390</v>
      </c>
      <c r="F145">
        <v>741</v>
      </c>
      <c r="G145">
        <v>1045</v>
      </c>
      <c r="H145">
        <v>0</v>
      </c>
      <c r="I145">
        <v>0</v>
      </c>
      <c r="J145">
        <v>205</v>
      </c>
      <c r="K145">
        <v>28</v>
      </c>
      <c r="L145">
        <v>28</v>
      </c>
      <c r="M145" s="2">
        <f t="shared" si="5"/>
        <v>61.385400000000004</v>
      </c>
      <c r="N145" s="2">
        <f t="shared" si="6"/>
        <v>29.568749999999998</v>
      </c>
      <c r="O145">
        <v>0</v>
      </c>
    </row>
    <row r="146" spans="1:15" x14ac:dyDescent="0.25">
      <c r="C146">
        <v>0</v>
      </c>
      <c r="D146">
        <v>0</v>
      </c>
      <c r="E146">
        <v>488</v>
      </c>
      <c r="F146">
        <v>728</v>
      </c>
      <c r="G146">
        <v>1045</v>
      </c>
      <c r="H146">
        <v>0</v>
      </c>
      <c r="I146">
        <v>0</v>
      </c>
      <c r="J146">
        <v>205</v>
      </c>
      <c r="K146">
        <v>28</v>
      </c>
      <c r="L146">
        <v>23</v>
      </c>
      <c r="M146" s="2">
        <f t="shared" si="5"/>
        <v>61.988700000000009</v>
      </c>
      <c r="N146" s="2">
        <f t="shared" si="6"/>
        <v>29.324999999999999</v>
      </c>
      <c r="O146">
        <v>0</v>
      </c>
    </row>
    <row r="147" spans="1:15" x14ac:dyDescent="0.25">
      <c r="A147" t="s">
        <v>391</v>
      </c>
      <c r="B147" t="s">
        <v>390</v>
      </c>
      <c r="C147">
        <v>0</v>
      </c>
      <c r="D147">
        <v>380</v>
      </c>
      <c r="E147">
        <v>0</v>
      </c>
      <c r="F147">
        <v>734</v>
      </c>
      <c r="G147">
        <v>1045</v>
      </c>
      <c r="H147">
        <v>0</v>
      </c>
      <c r="I147">
        <v>0</v>
      </c>
      <c r="J147">
        <v>190</v>
      </c>
      <c r="K147">
        <v>7</v>
      </c>
      <c r="L147">
        <v>34</v>
      </c>
      <c r="M147" s="2">
        <f t="shared" si="5"/>
        <v>373.56810000000002</v>
      </c>
      <c r="N147" s="2">
        <f t="shared" si="6"/>
        <v>171.9375</v>
      </c>
      <c r="O147">
        <v>0</v>
      </c>
    </row>
    <row r="148" spans="1:15" x14ac:dyDescent="0.25">
      <c r="C148">
        <v>0</v>
      </c>
      <c r="D148">
        <v>380</v>
      </c>
      <c r="E148">
        <v>0</v>
      </c>
      <c r="F148">
        <v>734</v>
      </c>
      <c r="G148">
        <v>1045</v>
      </c>
      <c r="H148">
        <v>0</v>
      </c>
      <c r="I148">
        <v>0</v>
      </c>
      <c r="J148">
        <v>190</v>
      </c>
      <c r="K148">
        <v>28</v>
      </c>
      <c r="L148">
        <v>36.75</v>
      </c>
      <c r="M148" s="2">
        <f t="shared" si="5"/>
        <v>373.56810000000002</v>
      </c>
      <c r="N148" s="2">
        <f t="shared" si="6"/>
        <v>171.9375</v>
      </c>
      <c r="O148">
        <v>0</v>
      </c>
    </row>
    <row r="149" spans="1:15" x14ac:dyDescent="0.25">
      <c r="C149">
        <v>20</v>
      </c>
      <c r="D149">
        <v>304</v>
      </c>
      <c r="E149">
        <v>76</v>
      </c>
      <c r="F149">
        <v>734</v>
      </c>
      <c r="G149">
        <v>1045</v>
      </c>
      <c r="H149">
        <v>0</v>
      </c>
      <c r="I149">
        <v>0</v>
      </c>
      <c r="J149">
        <v>190</v>
      </c>
      <c r="K149">
        <v>7</v>
      </c>
      <c r="L149">
        <v>17.25</v>
      </c>
      <c r="M149" s="2">
        <f t="shared" si="5"/>
        <v>311.09610000000004</v>
      </c>
      <c r="N149" s="2">
        <f t="shared" si="6"/>
        <v>143.4375</v>
      </c>
      <c r="O149">
        <v>0</v>
      </c>
    </row>
    <row r="150" spans="1:15" x14ac:dyDescent="0.25">
      <c r="C150">
        <v>20</v>
      </c>
      <c r="D150">
        <v>304</v>
      </c>
      <c r="E150">
        <v>76</v>
      </c>
      <c r="F150">
        <v>734</v>
      </c>
      <c r="G150">
        <v>1045</v>
      </c>
      <c r="H150">
        <v>0</v>
      </c>
      <c r="I150">
        <v>0</v>
      </c>
      <c r="J150">
        <v>190</v>
      </c>
      <c r="K150">
        <v>28</v>
      </c>
      <c r="L150">
        <v>28.75</v>
      </c>
      <c r="M150" s="2">
        <f t="shared" si="5"/>
        <v>311.09610000000004</v>
      </c>
      <c r="N150" s="2">
        <f t="shared" si="6"/>
        <v>143.4375</v>
      </c>
      <c r="O150">
        <v>0</v>
      </c>
    </row>
    <row r="151" spans="1:15" x14ac:dyDescent="0.25">
      <c r="C151">
        <v>20</v>
      </c>
      <c r="D151">
        <v>304</v>
      </c>
      <c r="E151">
        <v>76</v>
      </c>
      <c r="F151">
        <v>734</v>
      </c>
      <c r="G151">
        <v>1045</v>
      </c>
      <c r="H151">
        <v>0</v>
      </c>
      <c r="I151">
        <v>0</v>
      </c>
      <c r="J151">
        <v>190</v>
      </c>
      <c r="K151">
        <v>7</v>
      </c>
      <c r="L151">
        <v>27.5</v>
      </c>
      <c r="M151" s="2">
        <f t="shared" si="5"/>
        <v>311.09610000000004</v>
      </c>
      <c r="N151" s="2">
        <f t="shared" si="6"/>
        <v>143.4375</v>
      </c>
      <c r="O151">
        <v>0</v>
      </c>
    </row>
    <row r="152" spans="1:15" x14ac:dyDescent="0.25">
      <c r="C152">
        <v>20</v>
      </c>
      <c r="D152">
        <v>304</v>
      </c>
      <c r="E152">
        <v>76</v>
      </c>
      <c r="F152">
        <v>734</v>
      </c>
      <c r="G152">
        <v>1045</v>
      </c>
      <c r="H152">
        <v>0</v>
      </c>
      <c r="I152">
        <v>0</v>
      </c>
      <c r="J152">
        <v>190</v>
      </c>
      <c r="K152">
        <v>28</v>
      </c>
      <c r="L152">
        <v>35.75</v>
      </c>
      <c r="M152" s="2">
        <f t="shared" si="5"/>
        <v>311.09610000000004</v>
      </c>
      <c r="N152" s="2">
        <f t="shared" si="6"/>
        <v>143.4375</v>
      </c>
      <c r="O152">
        <v>0</v>
      </c>
    </row>
    <row r="153" spans="1:15" x14ac:dyDescent="0.25">
      <c r="C153">
        <v>20</v>
      </c>
      <c r="D153">
        <v>304</v>
      </c>
      <c r="E153">
        <v>76</v>
      </c>
      <c r="F153">
        <v>734</v>
      </c>
      <c r="G153">
        <v>1045</v>
      </c>
      <c r="H153">
        <v>0</v>
      </c>
      <c r="I153">
        <v>0</v>
      </c>
      <c r="J153">
        <v>190</v>
      </c>
      <c r="K153">
        <v>7</v>
      </c>
      <c r="L153">
        <v>22.75</v>
      </c>
      <c r="M153" s="2">
        <f t="shared" si="5"/>
        <v>311.09610000000004</v>
      </c>
      <c r="N153" s="2">
        <f t="shared" si="6"/>
        <v>143.4375</v>
      </c>
      <c r="O153">
        <v>0</v>
      </c>
    </row>
    <row r="154" spans="1:15" x14ac:dyDescent="0.25">
      <c r="C154">
        <v>20</v>
      </c>
      <c r="D154">
        <v>304</v>
      </c>
      <c r="E154">
        <v>76</v>
      </c>
      <c r="F154">
        <v>734</v>
      </c>
      <c r="G154">
        <v>1045</v>
      </c>
      <c r="H154">
        <v>0</v>
      </c>
      <c r="I154">
        <v>0</v>
      </c>
      <c r="J154">
        <v>190</v>
      </c>
      <c r="K154">
        <v>28</v>
      </c>
      <c r="L154">
        <v>29.75</v>
      </c>
      <c r="M154" s="2">
        <f t="shared" si="5"/>
        <v>311.09610000000004</v>
      </c>
      <c r="N154" s="2">
        <f t="shared" si="6"/>
        <v>143.4375</v>
      </c>
      <c r="O154">
        <v>0</v>
      </c>
    </row>
    <row r="155" spans="1:15" x14ac:dyDescent="0.25">
      <c r="C155">
        <v>20</v>
      </c>
      <c r="D155">
        <v>304</v>
      </c>
      <c r="E155">
        <v>76</v>
      </c>
      <c r="F155">
        <v>734</v>
      </c>
      <c r="G155">
        <v>1045</v>
      </c>
      <c r="H155">
        <v>0</v>
      </c>
      <c r="I155">
        <v>0</v>
      </c>
      <c r="J155">
        <v>190</v>
      </c>
      <c r="K155">
        <v>7</v>
      </c>
      <c r="L155">
        <v>21.2</v>
      </c>
      <c r="M155" s="2">
        <f t="shared" si="5"/>
        <v>311.09610000000004</v>
      </c>
      <c r="N155" s="2">
        <f t="shared" si="6"/>
        <v>143.4375</v>
      </c>
      <c r="O155">
        <v>0</v>
      </c>
    </row>
    <row r="156" spans="1:15" x14ac:dyDescent="0.25">
      <c r="C156">
        <v>20</v>
      </c>
      <c r="D156">
        <v>304</v>
      </c>
      <c r="E156">
        <v>76</v>
      </c>
      <c r="F156">
        <v>734</v>
      </c>
      <c r="G156">
        <v>1045</v>
      </c>
      <c r="H156">
        <v>0</v>
      </c>
      <c r="I156">
        <v>0</v>
      </c>
      <c r="J156">
        <v>190</v>
      </c>
      <c r="K156">
        <v>28</v>
      </c>
      <c r="L156">
        <v>23.25</v>
      </c>
      <c r="M156" s="2">
        <f t="shared" si="5"/>
        <v>311.09610000000004</v>
      </c>
      <c r="N156" s="2">
        <f t="shared" si="6"/>
        <v>143.4375</v>
      </c>
      <c r="O156">
        <v>0</v>
      </c>
    </row>
    <row r="157" spans="1:15" x14ac:dyDescent="0.25">
      <c r="C157">
        <v>20</v>
      </c>
      <c r="D157">
        <v>304</v>
      </c>
      <c r="E157">
        <v>76</v>
      </c>
      <c r="F157">
        <v>734</v>
      </c>
      <c r="G157">
        <v>1045</v>
      </c>
      <c r="H157">
        <v>0</v>
      </c>
      <c r="I157">
        <v>0</v>
      </c>
      <c r="J157">
        <v>190</v>
      </c>
      <c r="K157">
        <v>7</v>
      </c>
      <c r="L157">
        <v>17.5</v>
      </c>
      <c r="M157" s="2">
        <f t="shared" si="5"/>
        <v>311.09610000000004</v>
      </c>
      <c r="N157" s="2">
        <f t="shared" si="6"/>
        <v>143.4375</v>
      </c>
      <c r="O157">
        <v>0</v>
      </c>
    </row>
    <row r="158" spans="1:15" x14ac:dyDescent="0.25">
      <c r="C158">
        <v>20</v>
      </c>
      <c r="D158">
        <v>304</v>
      </c>
      <c r="E158">
        <v>76</v>
      </c>
      <c r="F158">
        <v>734</v>
      </c>
      <c r="G158">
        <v>1045</v>
      </c>
      <c r="H158">
        <v>0</v>
      </c>
      <c r="I158">
        <v>0</v>
      </c>
      <c r="J158">
        <v>190</v>
      </c>
      <c r="K158">
        <v>28</v>
      </c>
      <c r="L158">
        <v>19</v>
      </c>
      <c r="M158" s="2">
        <f t="shared" si="5"/>
        <v>311.09610000000004</v>
      </c>
      <c r="N158" s="2">
        <f t="shared" si="6"/>
        <v>143.4375</v>
      </c>
      <c r="O158">
        <v>0</v>
      </c>
    </row>
    <row r="159" spans="1:15" x14ac:dyDescent="0.25">
      <c r="A159" t="s">
        <v>393</v>
      </c>
      <c r="B159" t="s">
        <v>392</v>
      </c>
      <c r="C159">
        <v>0</v>
      </c>
      <c r="D159">
        <v>445</v>
      </c>
      <c r="E159">
        <v>0</v>
      </c>
      <c r="F159">
        <v>619</v>
      </c>
      <c r="G159">
        <v>1123</v>
      </c>
      <c r="H159">
        <v>0</v>
      </c>
      <c r="I159">
        <v>0</v>
      </c>
      <c r="J159">
        <v>200</v>
      </c>
      <c r="K159">
        <v>28</v>
      </c>
      <c r="L159">
        <v>53.29</v>
      </c>
      <c r="M159" s="2">
        <f t="shared" si="5"/>
        <v>429.49979999999999</v>
      </c>
      <c r="N159" s="2">
        <f t="shared" si="6"/>
        <v>195.32624999999999</v>
      </c>
      <c r="O159">
        <v>0</v>
      </c>
    </row>
    <row r="160" spans="1:15" x14ac:dyDescent="0.25">
      <c r="C160">
        <v>2</v>
      </c>
      <c r="D160">
        <v>436</v>
      </c>
      <c r="E160">
        <v>9</v>
      </c>
      <c r="F160">
        <v>619</v>
      </c>
      <c r="G160">
        <v>1123</v>
      </c>
      <c r="H160">
        <v>0</v>
      </c>
      <c r="I160">
        <v>0</v>
      </c>
      <c r="J160">
        <v>200</v>
      </c>
      <c r="K160">
        <v>28</v>
      </c>
      <c r="L160">
        <v>53.46</v>
      </c>
      <c r="M160" s="2">
        <f t="shared" si="5"/>
        <v>422.10180000000003</v>
      </c>
      <c r="N160" s="2">
        <f t="shared" si="6"/>
        <v>191.95124999999999</v>
      </c>
      <c r="O160">
        <v>0</v>
      </c>
    </row>
    <row r="161" spans="1:15" x14ac:dyDescent="0.25">
      <c r="C161">
        <v>4</v>
      </c>
      <c r="D161">
        <v>427</v>
      </c>
      <c r="E161">
        <v>18</v>
      </c>
      <c r="F161">
        <v>619</v>
      </c>
      <c r="G161">
        <v>1123</v>
      </c>
      <c r="H161">
        <v>0</v>
      </c>
      <c r="I161">
        <v>0</v>
      </c>
      <c r="J161">
        <v>200</v>
      </c>
      <c r="K161">
        <v>28</v>
      </c>
      <c r="L161">
        <v>53.91</v>
      </c>
      <c r="M161" s="2">
        <f t="shared" si="5"/>
        <v>414.7038</v>
      </c>
      <c r="N161" s="2">
        <f t="shared" si="6"/>
        <v>188.57624999999999</v>
      </c>
      <c r="O161">
        <v>0</v>
      </c>
    </row>
    <row r="162" spans="1:15" x14ac:dyDescent="0.25">
      <c r="C162">
        <v>6</v>
      </c>
      <c r="D162">
        <v>418</v>
      </c>
      <c r="E162">
        <v>27</v>
      </c>
      <c r="F162">
        <v>619</v>
      </c>
      <c r="G162">
        <v>1123</v>
      </c>
      <c r="H162">
        <v>0</v>
      </c>
      <c r="I162">
        <v>0</v>
      </c>
      <c r="J162">
        <v>200</v>
      </c>
      <c r="K162">
        <v>28</v>
      </c>
      <c r="L162">
        <v>54.58</v>
      </c>
      <c r="M162" s="2">
        <f t="shared" si="5"/>
        <v>407.30580000000003</v>
      </c>
      <c r="N162" s="2">
        <f t="shared" si="6"/>
        <v>185.20124999999999</v>
      </c>
      <c r="O162">
        <v>0</v>
      </c>
    </row>
    <row r="163" spans="1:15" x14ac:dyDescent="0.25">
      <c r="C163">
        <v>8</v>
      </c>
      <c r="D163">
        <v>409</v>
      </c>
      <c r="E163">
        <v>36</v>
      </c>
      <c r="F163">
        <v>619</v>
      </c>
      <c r="G163">
        <v>1123</v>
      </c>
      <c r="H163">
        <v>0</v>
      </c>
      <c r="I163">
        <v>0</v>
      </c>
      <c r="J163">
        <v>200</v>
      </c>
      <c r="K163">
        <v>28</v>
      </c>
      <c r="L163">
        <v>54.83</v>
      </c>
      <c r="M163" s="2">
        <f t="shared" si="5"/>
        <v>399.90780000000001</v>
      </c>
      <c r="N163" s="2">
        <f t="shared" si="6"/>
        <v>181.82624999999999</v>
      </c>
      <c r="O163">
        <v>0</v>
      </c>
    </row>
    <row r="164" spans="1:15" x14ac:dyDescent="0.25">
      <c r="C164">
        <v>10</v>
      </c>
      <c r="D164">
        <v>405</v>
      </c>
      <c r="E164">
        <v>40</v>
      </c>
      <c r="F164">
        <v>619</v>
      </c>
      <c r="G164">
        <v>1123</v>
      </c>
      <c r="H164">
        <v>0</v>
      </c>
      <c r="I164">
        <v>0</v>
      </c>
      <c r="J164">
        <v>200</v>
      </c>
      <c r="K164">
        <v>28</v>
      </c>
      <c r="L164">
        <v>55.27</v>
      </c>
      <c r="M164" s="2">
        <f t="shared" si="5"/>
        <v>396.6198</v>
      </c>
      <c r="N164" s="2">
        <f t="shared" si="6"/>
        <v>180.32624999999999</v>
      </c>
      <c r="O164">
        <v>0</v>
      </c>
    </row>
    <row r="165" spans="1:15" x14ac:dyDescent="0.25">
      <c r="C165">
        <v>10</v>
      </c>
      <c r="D165">
        <v>401</v>
      </c>
      <c r="E165">
        <v>44</v>
      </c>
      <c r="F165">
        <v>619</v>
      </c>
      <c r="G165">
        <v>1123</v>
      </c>
      <c r="H165">
        <v>0</v>
      </c>
      <c r="I165">
        <v>0</v>
      </c>
      <c r="J165">
        <v>200</v>
      </c>
      <c r="K165">
        <v>28</v>
      </c>
      <c r="L165">
        <v>54.25</v>
      </c>
      <c r="M165" s="2">
        <f t="shared" si="5"/>
        <v>393.33179999999999</v>
      </c>
      <c r="N165" s="2">
        <f t="shared" si="6"/>
        <v>178.82624999999999</v>
      </c>
      <c r="O165">
        <v>0</v>
      </c>
    </row>
    <row r="166" spans="1:15" x14ac:dyDescent="0.25">
      <c r="C166">
        <v>0</v>
      </c>
      <c r="D166">
        <v>445</v>
      </c>
      <c r="E166">
        <v>0</v>
      </c>
      <c r="F166">
        <v>619</v>
      </c>
      <c r="G166">
        <v>1123</v>
      </c>
      <c r="H166">
        <v>0</v>
      </c>
      <c r="I166">
        <v>0</v>
      </c>
      <c r="J166">
        <v>200</v>
      </c>
      <c r="K166">
        <v>0.13750000000000001</v>
      </c>
      <c r="L166">
        <v>54.16</v>
      </c>
      <c r="M166" s="2">
        <f t="shared" si="5"/>
        <v>429.49979999999999</v>
      </c>
      <c r="N166" s="2">
        <f t="shared" si="6"/>
        <v>195.32624999999999</v>
      </c>
      <c r="O166">
        <v>0</v>
      </c>
    </row>
    <row r="167" spans="1:15" x14ac:dyDescent="0.25">
      <c r="C167">
        <v>2</v>
      </c>
      <c r="D167">
        <v>436</v>
      </c>
      <c r="E167">
        <v>9</v>
      </c>
      <c r="F167">
        <v>619</v>
      </c>
      <c r="G167">
        <v>1123</v>
      </c>
      <c r="H167">
        <v>0</v>
      </c>
      <c r="I167">
        <v>0</v>
      </c>
      <c r="J167">
        <v>200</v>
      </c>
      <c r="K167">
        <v>0.13750000000000001</v>
      </c>
      <c r="L167">
        <v>54.32</v>
      </c>
      <c r="M167" s="2">
        <f t="shared" si="5"/>
        <v>422.10180000000003</v>
      </c>
      <c r="N167" s="2">
        <f t="shared" si="6"/>
        <v>191.95124999999999</v>
      </c>
      <c r="O167">
        <v>0</v>
      </c>
    </row>
    <row r="168" spans="1:15" x14ac:dyDescent="0.25">
      <c r="C168">
        <v>4</v>
      </c>
      <c r="D168">
        <v>427</v>
      </c>
      <c r="E168">
        <v>18</v>
      </c>
      <c r="F168">
        <v>619</v>
      </c>
      <c r="G168">
        <v>1123</v>
      </c>
      <c r="H168">
        <v>0</v>
      </c>
      <c r="I168">
        <v>0</v>
      </c>
      <c r="J168">
        <v>200</v>
      </c>
      <c r="K168">
        <v>0.13750000000000001</v>
      </c>
      <c r="L168">
        <v>54.76</v>
      </c>
      <c r="M168" s="2">
        <f t="shared" si="5"/>
        <v>414.7038</v>
      </c>
      <c r="N168" s="2">
        <f t="shared" si="6"/>
        <v>188.57624999999999</v>
      </c>
      <c r="O168">
        <v>0</v>
      </c>
    </row>
    <row r="169" spans="1:15" x14ac:dyDescent="0.25">
      <c r="C169">
        <v>6</v>
      </c>
      <c r="D169">
        <v>418</v>
      </c>
      <c r="E169">
        <v>27</v>
      </c>
      <c r="F169">
        <v>619</v>
      </c>
      <c r="G169">
        <v>1123</v>
      </c>
      <c r="H169">
        <v>0</v>
      </c>
      <c r="I169">
        <v>0</v>
      </c>
      <c r="J169">
        <v>200</v>
      </c>
      <c r="K169">
        <v>0.13750000000000001</v>
      </c>
      <c r="L169">
        <v>55.33</v>
      </c>
      <c r="M169" s="2">
        <f t="shared" si="5"/>
        <v>407.30580000000003</v>
      </c>
      <c r="N169" s="2">
        <f t="shared" si="6"/>
        <v>185.20124999999999</v>
      </c>
      <c r="O169">
        <v>0</v>
      </c>
    </row>
    <row r="170" spans="1:15" x14ac:dyDescent="0.25">
      <c r="C170">
        <v>8</v>
      </c>
      <c r="D170">
        <v>409</v>
      </c>
      <c r="E170">
        <v>36</v>
      </c>
      <c r="F170">
        <v>619</v>
      </c>
      <c r="G170">
        <v>1123</v>
      </c>
      <c r="H170">
        <v>0</v>
      </c>
      <c r="I170">
        <v>0</v>
      </c>
      <c r="J170">
        <v>200</v>
      </c>
      <c r="K170">
        <v>0.13750000000000001</v>
      </c>
      <c r="L170">
        <v>55.91</v>
      </c>
      <c r="M170" s="2">
        <f t="shared" si="5"/>
        <v>399.90780000000001</v>
      </c>
      <c r="N170" s="2">
        <f t="shared" si="6"/>
        <v>181.82624999999999</v>
      </c>
      <c r="O170">
        <v>0</v>
      </c>
    </row>
    <row r="171" spans="1:15" x14ac:dyDescent="0.25">
      <c r="C171">
        <v>10</v>
      </c>
      <c r="D171">
        <v>405</v>
      </c>
      <c r="E171">
        <v>40</v>
      </c>
      <c r="F171">
        <v>619</v>
      </c>
      <c r="G171">
        <v>1123</v>
      </c>
      <c r="H171">
        <v>0</v>
      </c>
      <c r="I171">
        <v>0</v>
      </c>
      <c r="J171">
        <v>200</v>
      </c>
      <c r="K171">
        <v>0.13750000000000001</v>
      </c>
      <c r="L171">
        <v>56.74</v>
      </c>
      <c r="M171" s="2">
        <f t="shared" si="5"/>
        <v>396.6198</v>
      </c>
      <c r="N171" s="2">
        <f t="shared" si="6"/>
        <v>180.32624999999999</v>
      </c>
      <c r="O171">
        <v>0</v>
      </c>
    </row>
    <row r="172" spans="1:15" x14ac:dyDescent="0.25">
      <c r="C172">
        <v>10</v>
      </c>
      <c r="D172">
        <v>401</v>
      </c>
      <c r="E172">
        <v>44</v>
      </c>
      <c r="F172">
        <v>619</v>
      </c>
      <c r="G172">
        <v>1123</v>
      </c>
      <c r="H172">
        <v>0</v>
      </c>
      <c r="I172">
        <v>0</v>
      </c>
      <c r="J172">
        <v>200</v>
      </c>
      <c r="K172">
        <v>0.13750000000000001</v>
      </c>
      <c r="L172">
        <v>55.41</v>
      </c>
      <c r="M172" s="2">
        <f t="shared" si="5"/>
        <v>393.33179999999999</v>
      </c>
      <c r="N172" s="2">
        <f t="shared" si="6"/>
        <v>178.82624999999999</v>
      </c>
      <c r="O172">
        <v>0</v>
      </c>
    </row>
    <row r="173" spans="1:15" x14ac:dyDescent="0.25">
      <c r="A173" t="s">
        <v>394</v>
      </c>
      <c r="B173" t="s">
        <v>395</v>
      </c>
      <c r="C173">
        <v>0</v>
      </c>
      <c r="D173">
        <v>328</v>
      </c>
      <c r="E173">
        <v>0</v>
      </c>
      <c r="F173">
        <v>765</v>
      </c>
      <c r="G173">
        <v>1148</v>
      </c>
      <c r="H173">
        <v>0</v>
      </c>
      <c r="I173">
        <v>0</v>
      </c>
      <c r="J173">
        <v>190</v>
      </c>
      <c r="K173">
        <v>7</v>
      </c>
      <c r="L173">
        <v>20.7</v>
      </c>
      <c r="M173" s="2">
        <f t="shared" si="5"/>
        <v>335.56670000000003</v>
      </c>
      <c r="N173" s="2">
        <f t="shared" si="6"/>
        <v>154.56375</v>
      </c>
      <c r="O173">
        <v>59</v>
      </c>
    </row>
    <row r="174" spans="1:15" x14ac:dyDescent="0.25">
      <c r="C174">
        <v>0</v>
      </c>
      <c r="D174">
        <v>328</v>
      </c>
      <c r="E174">
        <v>0</v>
      </c>
      <c r="F174">
        <v>765</v>
      </c>
      <c r="G174">
        <v>1148</v>
      </c>
      <c r="H174">
        <v>0</v>
      </c>
      <c r="I174">
        <v>0</v>
      </c>
      <c r="J174">
        <v>190</v>
      </c>
      <c r="K174">
        <v>28</v>
      </c>
      <c r="L174">
        <v>26</v>
      </c>
      <c r="M174" s="2">
        <f t="shared" si="5"/>
        <v>335.56670000000003</v>
      </c>
      <c r="N174" s="2">
        <f t="shared" si="6"/>
        <v>154.56375</v>
      </c>
      <c r="O174">
        <v>59</v>
      </c>
    </row>
    <row r="175" spans="1:15" x14ac:dyDescent="0.25">
      <c r="C175">
        <v>0</v>
      </c>
      <c r="D175">
        <v>328</v>
      </c>
      <c r="E175">
        <v>0</v>
      </c>
      <c r="F175">
        <v>765</v>
      </c>
      <c r="G175">
        <v>1148</v>
      </c>
      <c r="H175">
        <v>0</v>
      </c>
      <c r="I175">
        <v>0</v>
      </c>
      <c r="J175">
        <v>190</v>
      </c>
      <c r="K175">
        <v>56</v>
      </c>
      <c r="L175">
        <v>26.4</v>
      </c>
      <c r="M175" s="2">
        <f t="shared" si="5"/>
        <v>335.56670000000003</v>
      </c>
      <c r="N175" s="2">
        <f t="shared" si="6"/>
        <v>154.56375</v>
      </c>
      <c r="O175">
        <v>59</v>
      </c>
    </row>
    <row r="176" spans="1:15" x14ac:dyDescent="0.25">
      <c r="C176">
        <v>0</v>
      </c>
      <c r="D176">
        <v>328</v>
      </c>
      <c r="E176">
        <v>0</v>
      </c>
      <c r="F176">
        <v>765</v>
      </c>
      <c r="G176">
        <v>1148</v>
      </c>
      <c r="H176">
        <v>0</v>
      </c>
      <c r="I176">
        <v>0</v>
      </c>
      <c r="J176">
        <v>190</v>
      </c>
      <c r="K176">
        <v>90</v>
      </c>
      <c r="L176">
        <v>27.7</v>
      </c>
      <c r="M176" s="2">
        <f t="shared" si="5"/>
        <v>335.56670000000003</v>
      </c>
      <c r="N176" s="2">
        <f t="shared" si="6"/>
        <v>154.56375</v>
      </c>
      <c r="O176">
        <v>59</v>
      </c>
    </row>
    <row r="177" spans="3:15" x14ac:dyDescent="0.25">
      <c r="C177">
        <v>5</v>
      </c>
      <c r="D177">
        <v>312</v>
      </c>
      <c r="E177">
        <v>16</v>
      </c>
      <c r="F177">
        <v>765</v>
      </c>
      <c r="G177">
        <v>1148</v>
      </c>
      <c r="H177">
        <v>0</v>
      </c>
      <c r="I177">
        <v>0</v>
      </c>
      <c r="J177">
        <v>190</v>
      </c>
      <c r="K177">
        <v>7</v>
      </c>
      <c r="L177">
        <v>17.600000000000001</v>
      </c>
      <c r="M177" s="2">
        <f t="shared" si="5"/>
        <v>322.41469999999998</v>
      </c>
      <c r="N177" s="2">
        <f t="shared" si="6"/>
        <v>148.56375</v>
      </c>
      <c r="O177">
        <v>60</v>
      </c>
    </row>
    <row r="178" spans="3:15" x14ac:dyDescent="0.25">
      <c r="C178">
        <v>5</v>
      </c>
      <c r="D178">
        <v>312</v>
      </c>
      <c r="E178">
        <v>16</v>
      </c>
      <c r="F178">
        <v>765</v>
      </c>
      <c r="G178">
        <v>1148</v>
      </c>
      <c r="H178">
        <v>0</v>
      </c>
      <c r="I178">
        <v>0</v>
      </c>
      <c r="J178">
        <v>190</v>
      </c>
      <c r="K178">
        <v>28</v>
      </c>
      <c r="L178">
        <v>21.1</v>
      </c>
      <c r="M178" s="2">
        <f t="shared" si="5"/>
        <v>322.41469999999998</v>
      </c>
      <c r="N178" s="2">
        <f t="shared" si="6"/>
        <v>148.56375</v>
      </c>
      <c r="O178">
        <v>60</v>
      </c>
    </row>
    <row r="179" spans="3:15" x14ac:dyDescent="0.25">
      <c r="C179">
        <v>5</v>
      </c>
      <c r="D179">
        <v>312</v>
      </c>
      <c r="E179">
        <v>16</v>
      </c>
      <c r="F179">
        <v>765</v>
      </c>
      <c r="G179">
        <v>1148</v>
      </c>
      <c r="H179">
        <v>0</v>
      </c>
      <c r="I179">
        <v>0</v>
      </c>
      <c r="J179">
        <v>190</v>
      </c>
      <c r="K179">
        <v>56</v>
      </c>
      <c r="L179">
        <v>25</v>
      </c>
      <c r="M179" s="2">
        <f t="shared" si="5"/>
        <v>322.41469999999998</v>
      </c>
      <c r="N179" s="2">
        <f t="shared" si="6"/>
        <v>148.56375</v>
      </c>
      <c r="O179">
        <v>60</v>
      </c>
    </row>
    <row r="180" spans="3:15" x14ac:dyDescent="0.25">
      <c r="C180">
        <v>5</v>
      </c>
      <c r="D180">
        <v>312</v>
      </c>
      <c r="E180">
        <v>16</v>
      </c>
      <c r="F180">
        <v>765</v>
      </c>
      <c r="G180">
        <v>1148</v>
      </c>
      <c r="H180">
        <v>0</v>
      </c>
      <c r="I180">
        <v>0</v>
      </c>
      <c r="J180">
        <v>190</v>
      </c>
      <c r="K180">
        <v>90</v>
      </c>
      <c r="L180">
        <v>27</v>
      </c>
      <c r="M180" s="2">
        <f t="shared" si="5"/>
        <v>322.41469999999998</v>
      </c>
      <c r="N180" s="2">
        <f t="shared" si="6"/>
        <v>148.56375</v>
      </c>
      <c r="O180">
        <v>60</v>
      </c>
    </row>
    <row r="181" spans="3:15" x14ac:dyDescent="0.25">
      <c r="C181">
        <v>10</v>
      </c>
      <c r="D181">
        <v>295</v>
      </c>
      <c r="E181">
        <v>33</v>
      </c>
      <c r="F181">
        <v>765</v>
      </c>
      <c r="G181">
        <v>1148</v>
      </c>
      <c r="H181">
        <v>0</v>
      </c>
      <c r="I181">
        <v>0</v>
      </c>
      <c r="J181">
        <v>190</v>
      </c>
      <c r="K181">
        <v>7</v>
      </c>
      <c r="L181">
        <v>17.7</v>
      </c>
      <c r="M181" s="2">
        <f t="shared" si="5"/>
        <v>308.44069999999999</v>
      </c>
      <c r="N181" s="2">
        <f t="shared" si="6"/>
        <v>142.18875</v>
      </c>
      <c r="O181">
        <v>62</v>
      </c>
    </row>
    <row r="182" spans="3:15" x14ac:dyDescent="0.25">
      <c r="C182">
        <v>10</v>
      </c>
      <c r="D182">
        <v>295</v>
      </c>
      <c r="E182">
        <v>33</v>
      </c>
      <c r="F182">
        <v>765</v>
      </c>
      <c r="G182">
        <v>1148</v>
      </c>
      <c r="H182">
        <v>0</v>
      </c>
      <c r="I182">
        <v>0</v>
      </c>
      <c r="J182">
        <v>190</v>
      </c>
      <c r="K182">
        <v>28</v>
      </c>
      <c r="L182">
        <v>23</v>
      </c>
      <c r="M182" s="2">
        <f t="shared" si="5"/>
        <v>308.44069999999999</v>
      </c>
      <c r="N182" s="2">
        <f t="shared" si="6"/>
        <v>142.18875</v>
      </c>
      <c r="O182">
        <v>62</v>
      </c>
    </row>
    <row r="183" spans="3:15" x14ac:dyDescent="0.25">
      <c r="C183">
        <v>10</v>
      </c>
      <c r="D183">
        <v>295</v>
      </c>
      <c r="E183">
        <v>33</v>
      </c>
      <c r="F183">
        <v>765</v>
      </c>
      <c r="G183">
        <v>1148</v>
      </c>
      <c r="H183">
        <v>0</v>
      </c>
      <c r="I183">
        <v>0</v>
      </c>
      <c r="J183">
        <v>190</v>
      </c>
      <c r="K183">
        <v>56</v>
      </c>
      <c r="L183">
        <v>26.9</v>
      </c>
      <c r="M183" s="2">
        <f t="shared" si="5"/>
        <v>308.44069999999999</v>
      </c>
      <c r="N183" s="2">
        <f t="shared" si="6"/>
        <v>142.18875</v>
      </c>
      <c r="O183">
        <v>62</v>
      </c>
    </row>
    <row r="184" spans="3:15" x14ac:dyDescent="0.25">
      <c r="C184">
        <v>10</v>
      </c>
      <c r="D184">
        <v>295</v>
      </c>
      <c r="E184">
        <v>33</v>
      </c>
      <c r="F184">
        <v>765</v>
      </c>
      <c r="G184">
        <v>1148</v>
      </c>
      <c r="H184">
        <v>0</v>
      </c>
      <c r="I184">
        <v>0</v>
      </c>
      <c r="J184">
        <v>190</v>
      </c>
      <c r="K184">
        <v>90</v>
      </c>
      <c r="L184">
        <v>28</v>
      </c>
      <c r="M184" s="2">
        <f t="shared" si="5"/>
        <v>308.44069999999999</v>
      </c>
      <c r="N184" s="2">
        <f t="shared" si="6"/>
        <v>142.18875</v>
      </c>
      <c r="O184">
        <v>62</v>
      </c>
    </row>
    <row r="185" spans="3:15" x14ac:dyDescent="0.25">
      <c r="C185">
        <v>15</v>
      </c>
      <c r="D185">
        <v>279</v>
      </c>
      <c r="E185">
        <v>49</v>
      </c>
      <c r="F185">
        <v>765</v>
      </c>
      <c r="G185">
        <v>1148</v>
      </c>
      <c r="H185">
        <v>0</v>
      </c>
      <c r="I185">
        <v>0</v>
      </c>
      <c r="J185">
        <v>190</v>
      </c>
      <c r="K185">
        <v>7</v>
      </c>
      <c r="L185">
        <v>10.6</v>
      </c>
      <c r="M185" s="2">
        <f t="shared" si="5"/>
        <v>295.28870000000001</v>
      </c>
      <c r="N185" s="2">
        <f t="shared" si="6"/>
        <v>136.18875</v>
      </c>
      <c r="O185">
        <v>65</v>
      </c>
    </row>
    <row r="186" spans="3:15" x14ac:dyDescent="0.25">
      <c r="C186">
        <v>15</v>
      </c>
      <c r="D186">
        <v>279</v>
      </c>
      <c r="E186">
        <v>49</v>
      </c>
      <c r="F186">
        <v>765</v>
      </c>
      <c r="G186">
        <v>1148</v>
      </c>
      <c r="H186">
        <v>0</v>
      </c>
      <c r="I186">
        <v>0</v>
      </c>
      <c r="J186">
        <v>190</v>
      </c>
      <c r="K186">
        <v>28</v>
      </c>
      <c r="L186">
        <v>15.1</v>
      </c>
      <c r="M186" s="2">
        <f t="shared" si="5"/>
        <v>295.28870000000001</v>
      </c>
      <c r="N186" s="2">
        <f t="shared" si="6"/>
        <v>136.18875</v>
      </c>
      <c r="O186">
        <v>65</v>
      </c>
    </row>
    <row r="187" spans="3:15" x14ac:dyDescent="0.25">
      <c r="C187">
        <v>15</v>
      </c>
      <c r="D187">
        <v>279</v>
      </c>
      <c r="E187">
        <v>49</v>
      </c>
      <c r="F187">
        <v>765</v>
      </c>
      <c r="G187">
        <v>1148</v>
      </c>
      <c r="H187">
        <v>0</v>
      </c>
      <c r="I187">
        <v>0</v>
      </c>
      <c r="J187">
        <v>190</v>
      </c>
      <c r="K187">
        <v>56</v>
      </c>
      <c r="L187">
        <v>26.3</v>
      </c>
      <c r="M187" s="2">
        <f t="shared" si="5"/>
        <v>295.28870000000001</v>
      </c>
      <c r="N187" s="2">
        <f t="shared" si="6"/>
        <v>136.18875</v>
      </c>
      <c r="O187">
        <v>65</v>
      </c>
    </row>
    <row r="188" spans="3:15" x14ac:dyDescent="0.25">
      <c r="C188">
        <v>15</v>
      </c>
      <c r="D188">
        <v>279</v>
      </c>
      <c r="E188">
        <v>49</v>
      </c>
      <c r="F188">
        <v>765</v>
      </c>
      <c r="G188">
        <v>1148</v>
      </c>
      <c r="H188">
        <v>0</v>
      </c>
      <c r="I188">
        <v>0</v>
      </c>
      <c r="J188">
        <v>190</v>
      </c>
      <c r="K188">
        <v>90</v>
      </c>
      <c r="L188">
        <v>27.7</v>
      </c>
      <c r="M188" s="2">
        <f t="shared" si="5"/>
        <v>295.28870000000001</v>
      </c>
      <c r="N188" s="2">
        <f t="shared" si="6"/>
        <v>136.18875</v>
      </c>
      <c r="O188">
        <v>65</v>
      </c>
    </row>
    <row r="189" spans="3:15" x14ac:dyDescent="0.25">
      <c r="C189">
        <v>20</v>
      </c>
      <c r="D189">
        <v>262</v>
      </c>
      <c r="E189">
        <v>66</v>
      </c>
      <c r="F189">
        <v>765</v>
      </c>
      <c r="G189">
        <v>1148</v>
      </c>
      <c r="H189">
        <v>0</v>
      </c>
      <c r="I189">
        <v>0</v>
      </c>
      <c r="J189">
        <v>190</v>
      </c>
      <c r="K189">
        <v>7</v>
      </c>
      <c r="L189">
        <v>11</v>
      </c>
      <c r="M189" s="2">
        <f t="shared" si="5"/>
        <v>281.31469999999996</v>
      </c>
      <c r="N189" s="2">
        <f t="shared" si="6"/>
        <v>129.81375</v>
      </c>
      <c r="O189">
        <v>69</v>
      </c>
    </row>
    <row r="190" spans="3:15" x14ac:dyDescent="0.25">
      <c r="C190">
        <v>20</v>
      </c>
      <c r="D190">
        <v>262</v>
      </c>
      <c r="E190">
        <v>66</v>
      </c>
      <c r="F190">
        <v>765</v>
      </c>
      <c r="G190">
        <v>1148</v>
      </c>
      <c r="H190">
        <v>0</v>
      </c>
      <c r="I190">
        <v>0</v>
      </c>
      <c r="J190">
        <v>190</v>
      </c>
      <c r="K190">
        <v>28</v>
      </c>
      <c r="L190">
        <v>15.6</v>
      </c>
      <c r="M190" s="2">
        <f t="shared" si="5"/>
        <v>281.31469999999996</v>
      </c>
      <c r="N190" s="2">
        <f t="shared" si="6"/>
        <v>129.81375</v>
      </c>
      <c r="O190">
        <v>69</v>
      </c>
    </row>
    <row r="191" spans="3:15" x14ac:dyDescent="0.25">
      <c r="C191">
        <v>20</v>
      </c>
      <c r="D191">
        <v>262</v>
      </c>
      <c r="E191">
        <v>66</v>
      </c>
      <c r="F191">
        <v>765</v>
      </c>
      <c r="G191">
        <v>1148</v>
      </c>
      <c r="H191">
        <v>0</v>
      </c>
      <c r="I191">
        <v>0</v>
      </c>
      <c r="J191">
        <v>190</v>
      </c>
      <c r="K191">
        <v>56</v>
      </c>
      <c r="L191">
        <v>26.8</v>
      </c>
      <c r="M191" s="2">
        <f t="shared" si="5"/>
        <v>281.31469999999996</v>
      </c>
      <c r="N191" s="2">
        <f t="shared" si="6"/>
        <v>129.81375</v>
      </c>
      <c r="O191">
        <v>69</v>
      </c>
    </row>
    <row r="192" spans="3:15" x14ac:dyDescent="0.25">
      <c r="C192">
        <v>20</v>
      </c>
      <c r="D192">
        <v>262</v>
      </c>
      <c r="E192">
        <v>66</v>
      </c>
      <c r="F192">
        <v>765</v>
      </c>
      <c r="G192">
        <v>1148</v>
      </c>
      <c r="H192">
        <v>0</v>
      </c>
      <c r="I192">
        <v>0</v>
      </c>
      <c r="J192">
        <v>190</v>
      </c>
      <c r="K192">
        <v>90</v>
      </c>
      <c r="L192">
        <v>28.3</v>
      </c>
      <c r="M192" s="2">
        <f t="shared" si="5"/>
        <v>281.31469999999996</v>
      </c>
      <c r="N192" s="2">
        <f t="shared" si="6"/>
        <v>129.81375</v>
      </c>
      <c r="O192">
        <v>69</v>
      </c>
    </row>
    <row r="193" spans="3:15" x14ac:dyDescent="0.25">
      <c r="C193">
        <v>25</v>
      </c>
      <c r="D193">
        <v>246</v>
      </c>
      <c r="E193">
        <v>82</v>
      </c>
      <c r="F193">
        <v>765</v>
      </c>
      <c r="G193">
        <v>1148</v>
      </c>
      <c r="H193">
        <v>0</v>
      </c>
      <c r="I193">
        <v>0</v>
      </c>
      <c r="J193">
        <v>190</v>
      </c>
      <c r="K193">
        <v>7</v>
      </c>
      <c r="L193">
        <v>11.5</v>
      </c>
      <c r="M193" s="2">
        <f t="shared" si="5"/>
        <v>268.16269999999997</v>
      </c>
      <c r="N193" s="2">
        <f t="shared" si="6"/>
        <v>123.81374999999998</v>
      </c>
      <c r="O193">
        <v>73</v>
      </c>
    </row>
    <row r="194" spans="3:15" x14ac:dyDescent="0.25">
      <c r="C194">
        <v>25</v>
      </c>
      <c r="D194">
        <v>246</v>
      </c>
      <c r="E194">
        <v>82</v>
      </c>
      <c r="F194">
        <v>765</v>
      </c>
      <c r="G194">
        <v>1148</v>
      </c>
      <c r="H194">
        <v>0</v>
      </c>
      <c r="I194">
        <v>0</v>
      </c>
      <c r="J194">
        <v>190</v>
      </c>
      <c r="K194">
        <v>28</v>
      </c>
      <c r="L194">
        <v>16</v>
      </c>
      <c r="M194" s="2">
        <f t="shared" si="5"/>
        <v>268.16269999999997</v>
      </c>
      <c r="N194" s="2">
        <f t="shared" si="6"/>
        <v>123.81374999999998</v>
      </c>
      <c r="O194">
        <v>73</v>
      </c>
    </row>
    <row r="195" spans="3:15" x14ac:dyDescent="0.25">
      <c r="C195">
        <v>25</v>
      </c>
      <c r="D195">
        <v>246</v>
      </c>
      <c r="E195">
        <v>82</v>
      </c>
      <c r="F195">
        <v>765</v>
      </c>
      <c r="G195">
        <v>1148</v>
      </c>
      <c r="H195">
        <v>0</v>
      </c>
      <c r="I195">
        <v>0</v>
      </c>
      <c r="J195">
        <v>190</v>
      </c>
      <c r="K195">
        <v>56</v>
      </c>
      <c r="L195">
        <v>27</v>
      </c>
      <c r="M195" s="2">
        <f t="shared" ref="M195:M200" si="7">SUM((D195*0.83)+(E195*0.008)+(F195*0.0139)+(G195*0.0459)+(H195*2))</f>
        <v>268.16269999999997</v>
      </c>
      <c r="N195" s="2">
        <f t="shared" ref="N195:N200" si="8">SUM((D195*5)+((F195*0.25)+(G195*0.2)+(H195*20)))*0.075</f>
        <v>123.81374999999998</v>
      </c>
      <c r="O195">
        <v>73</v>
      </c>
    </row>
    <row r="196" spans="3:15" x14ac:dyDescent="0.25">
      <c r="C196">
        <v>25</v>
      </c>
      <c r="D196">
        <v>246</v>
      </c>
      <c r="E196">
        <v>82</v>
      </c>
      <c r="F196">
        <v>765</v>
      </c>
      <c r="G196">
        <v>1148</v>
      </c>
      <c r="H196">
        <v>0</v>
      </c>
      <c r="I196">
        <v>0</v>
      </c>
      <c r="J196">
        <v>190</v>
      </c>
      <c r="K196">
        <v>90</v>
      </c>
      <c r="L196">
        <v>28.2</v>
      </c>
      <c r="M196" s="2">
        <f t="shared" si="7"/>
        <v>268.16269999999997</v>
      </c>
      <c r="N196" s="2">
        <f t="shared" si="8"/>
        <v>123.81374999999998</v>
      </c>
      <c r="O196">
        <v>73</v>
      </c>
    </row>
    <row r="197" spans="3:15" x14ac:dyDescent="0.25">
      <c r="C197">
        <v>30</v>
      </c>
      <c r="D197">
        <v>230</v>
      </c>
      <c r="E197">
        <v>98</v>
      </c>
      <c r="F197">
        <v>765</v>
      </c>
      <c r="G197">
        <v>1148</v>
      </c>
      <c r="H197">
        <v>0</v>
      </c>
      <c r="I197">
        <v>0</v>
      </c>
      <c r="J197">
        <v>190</v>
      </c>
      <c r="K197">
        <v>7</v>
      </c>
      <c r="L197">
        <v>10.5</v>
      </c>
      <c r="M197" s="2">
        <f t="shared" si="7"/>
        <v>255.01069999999999</v>
      </c>
      <c r="N197" s="2">
        <f t="shared" si="8"/>
        <v>117.81374999999998</v>
      </c>
      <c r="O197">
        <v>74</v>
      </c>
    </row>
    <row r="198" spans="3:15" x14ac:dyDescent="0.25">
      <c r="C198">
        <v>30</v>
      </c>
      <c r="D198">
        <v>230</v>
      </c>
      <c r="E198">
        <v>98</v>
      </c>
      <c r="F198">
        <v>765</v>
      </c>
      <c r="G198">
        <v>1148</v>
      </c>
      <c r="H198">
        <v>0</v>
      </c>
      <c r="I198">
        <v>0</v>
      </c>
      <c r="J198">
        <v>190</v>
      </c>
      <c r="K198">
        <v>28</v>
      </c>
      <c r="L198">
        <v>14</v>
      </c>
      <c r="M198" s="2">
        <f t="shared" si="7"/>
        <v>255.01069999999999</v>
      </c>
      <c r="N198" s="2">
        <f t="shared" si="8"/>
        <v>117.81374999999998</v>
      </c>
      <c r="O198">
        <v>74</v>
      </c>
    </row>
    <row r="199" spans="3:15" x14ac:dyDescent="0.25">
      <c r="C199">
        <v>30</v>
      </c>
      <c r="D199">
        <v>230</v>
      </c>
      <c r="E199">
        <v>98</v>
      </c>
      <c r="F199">
        <v>765</v>
      </c>
      <c r="G199">
        <v>1148</v>
      </c>
      <c r="H199">
        <v>0</v>
      </c>
      <c r="I199">
        <v>0</v>
      </c>
      <c r="J199">
        <v>190</v>
      </c>
      <c r="K199">
        <v>56</v>
      </c>
      <c r="L199">
        <v>27.2</v>
      </c>
      <c r="M199" s="2">
        <f t="shared" si="7"/>
        <v>255.01069999999999</v>
      </c>
      <c r="N199" s="2">
        <f t="shared" si="8"/>
        <v>117.81374999999998</v>
      </c>
      <c r="O199">
        <v>74</v>
      </c>
    </row>
    <row r="200" spans="3:15" x14ac:dyDescent="0.25">
      <c r="C200">
        <v>30</v>
      </c>
      <c r="D200">
        <v>230</v>
      </c>
      <c r="E200">
        <v>98</v>
      </c>
      <c r="F200">
        <v>765</v>
      </c>
      <c r="G200">
        <v>1148</v>
      </c>
      <c r="H200">
        <v>0</v>
      </c>
      <c r="I200">
        <v>0</v>
      </c>
      <c r="J200">
        <v>190</v>
      </c>
      <c r="K200">
        <v>90</v>
      </c>
      <c r="L200">
        <v>29</v>
      </c>
      <c r="M200" s="2">
        <f t="shared" si="7"/>
        <v>255.01069999999999</v>
      </c>
      <c r="N200" s="2">
        <f t="shared" si="8"/>
        <v>117.81374999999998</v>
      </c>
      <c r="O200">
        <v>74</v>
      </c>
    </row>
  </sheetData>
  <hyperlinks>
    <hyperlink ref="B52" r:id="rId1" tooltip="Construction and Building Materials Volume 23 Issue 1 2009 (Doi ..." display="https://www.scribd.com/document/412278019/Construction-and-Building-Materials-Volume-23-Issue-1-2009-Doi-10-1016-j-conbuildmat-2007-12-004-D-a-Adesanya-A-a-Raheem-A-Study-of-the-Workab?utm_source=chatgpt.com" xr:uid="{1EA4D6F1-4DA9-442B-BF80-4AD54B5C2E0D}"/>
  </hyperlink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BB2D0-0159-4073-9166-B3652BBF5D05}">
  <dimension ref="A1:F35"/>
  <sheetViews>
    <sheetView workbookViewId="0">
      <selection activeCell="A26" sqref="A26"/>
    </sheetView>
  </sheetViews>
  <sheetFormatPr defaultRowHeight="15" x14ac:dyDescent="0.25"/>
  <cols>
    <col min="1" max="1" width="37.42578125" customWidth="1"/>
  </cols>
  <sheetData>
    <row r="1" spans="1:2" x14ac:dyDescent="0.25">
      <c r="A1" s="9" t="s">
        <v>154</v>
      </c>
      <c r="B1" s="1"/>
    </row>
    <row r="3" spans="1:2" x14ac:dyDescent="0.25">
      <c r="A3" t="s">
        <v>155</v>
      </c>
    </row>
    <row r="5" spans="1:2" x14ac:dyDescent="0.25">
      <c r="A5" t="s">
        <v>156</v>
      </c>
    </row>
    <row r="7" spans="1:2" x14ac:dyDescent="0.25">
      <c r="A7" t="s">
        <v>157</v>
      </c>
    </row>
    <row r="9" spans="1:2" x14ac:dyDescent="0.25">
      <c r="A9" t="s">
        <v>158</v>
      </c>
    </row>
    <row r="11" spans="1:2" x14ac:dyDescent="0.25">
      <c r="A11" t="s">
        <v>159</v>
      </c>
    </row>
    <row r="14" spans="1:2" x14ac:dyDescent="0.25">
      <c r="A14" t="s">
        <v>160</v>
      </c>
    </row>
    <row r="15" spans="1:2" x14ac:dyDescent="0.25">
      <c r="A15" t="s">
        <v>161</v>
      </c>
    </row>
    <row r="16" spans="1:2" x14ac:dyDescent="0.25">
      <c r="A16" t="s">
        <v>162</v>
      </c>
    </row>
    <row r="17" spans="1:6" x14ac:dyDescent="0.25">
      <c r="A17" t="s">
        <v>163</v>
      </c>
    </row>
    <row r="18" spans="1:6" x14ac:dyDescent="0.25">
      <c r="A18" t="s">
        <v>164</v>
      </c>
    </row>
    <row r="20" spans="1:6" x14ac:dyDescent="0.25">
      <c r="A20" t="s">
        <v>165</v>
      </c>
      <c r="B20" t="s">
        <v>166</v>
      </c>
    </row>
    <row r="24" spans="1:6" x14ac:dyDescent="0.25">
      <c r="A24" t="s">
        <v>167</v>
      </c>
      <c r="B24" t="s">
        <v>166</v>
      </c>
    </row>
    <row r="26" spans="1:6" x14ac:dyDescent="0.25">
      <c r="A26" t="s">
        <v>168</v>
      </c>
      <c r="B26" t="s">
        <v>166</v>
      </c>
    </row>
    <row r="28" spans="1:6" x14ac:dyDescent="0.25">
      <c r="A28" t="s">
        <v>169</v>
      </c>
    </row>
    <row r="29" spans="1:6" x14ac:dyDescent="0.25">
      <c r="A29" t="s">
        <v>170</v>
      </c>
      <c r="B29">
        <v>0.1032</v>
      </c>
      <c r="F29" t="s">
        <v>171</v>
      </c>
    </row>
    <row r="30" spans="1:6" x14ac:dyDescent="0.25">
      <c r="A30" t="s">
        <v>172</v>
      </c>
      <c r="B30">
        <v>2.3E-3</v>
      </c>
      <c r="F30" s="6" t="s">
        <v>173</v>
      </c>
    </row>
    <row r="31" spans="1:6" x14ac:dyDescent="0.25">
      <c r="A31" t="s">
        <v>174</v>
      </c>
      <c r="B31">
        <v>0.11</v>
      </c>
      <c r="F31" t="s">
        <v>175</v>
      </c>
    </row>
    <row r="32" spans="1:6" x14ac:dyDescent="0.25">
      <c r="A32" t="s">
        <v>176</v>
      </c>
      <c r="B32">
        <v>0.05</v>
      </c>
      <c r="F32" t="s">
        <v>177</v>
      </c>
    </row>
    <row r="33" spans="1:6" x14ac:dyDescent="0.25">
      <c r="A33" t="s">
        <v>178</v>
      </c>
      <c r="B33">
        <v>0.1</v>
      </c>
      <c r="F33" t="s">
        <v>404</v>
      </c>
    </row>
    <row r="34" spans="1:6" x14ac:dyDescent="0.25">
      <c r="A34" t="s">
        <v>179</v>
      </c>
      <c r="B34">
        <v>0.1</v>
      </c>
      <c r="F34" t="s">
        <v>404</v>
      </c>
    </row>
    <row r="35" spans="1:6" x14ac:dyDescent="0.25">
      <c r="A35" t="s">
        <v>317</v>
      </c>
      <c r="B35">
        <v>8.0000000000000002E-3</v>
      </c>
      <c r="F35" s="6" t="s">
        <v>318</v>
      </c>
    </row>
  </sheetData>
  <hyperlinks>
    <hyperlink ref="F30" r:id="rId1" xr:uid="{97FC90B4-31D0-4BAE-9772-BC3B7E904038}"/>
    <hyperlink ref="F35" r:id="rId2" xr:uid="{84D2796B-81F5-42DA-B147-7A3852ACE297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C62A7-67C2-4DE9-9659-FF39DC511E1D}">
  <dimension ref="A1:A142"/>
  <sheetViews>
    <sheetView topLeftCell="A118" workbookViewId="0">
      <selection activeCell="L22" sqref="L22"/>
    </sheetView>
  </sheetViews>
  <sheetFormatPr defaultRowHeight="15" x14ac:dyDescent="0.25"/>
  <sheetData>
    <row r="1" spans="1:1" x14ac:dyDescent="0.25">
      <c r="A1" t="s">
        <v>296</v>
      </c>
    </row>
    <row r="2" spans="1:1" x14ac:dyDescent="0.25">
      <c r="A2" t="s">
        <v>181</v>
      </c>
    </row>
    <row r="3" spans="1:1" x14ac:dyDescent="0.25">
      <c r="A3" t="s">
        <v>182</v>
      </c>
    </row>
    <row r="4" spans="1:1" x14ac:dyDescent="0.25">
      <c r="A4" t="s">
        <v>183</v>
      </c>
    </row>
    <row r="5" spans="1:1" x14ac:dyDescent="0.25">
      <c r="A5" t="s">
        <v>184</v>
      </c>
    </row>
    <row r="6" spans="1:1" x14ac:dyDescent="0.25">
      <c r="A6" t="s">
        <v>185</v>
      </c>
    </row>
    <row r="7" spans="1:1" x14ac:dyDescent="0.25">
      <c r="A7" t="s">
        <v>186</v>
      </c>
    </row>
    <row r="8" spans="1:1" x14ac:dyDescent="0.25">
      <c r="A8" t="s">
        <v>187</v>
      </c>
    </row>
    <row r="9" spans="1:1" x14ac:dyDescent="0.25">
      <c r="A9" t="s">
        <v>188</v>
      </c>
    </row>
    <row r="10" spans="1:1" x14ac:dyDescent="0.25">
      <c r="A10" t="s">
        <v>189</v>
      </c>
    </row>
    <row r="11" spans="1:1" x14ac:dyDescent="0.25">
      <c r="A11" t="s">
        <v>190</v>
      </c>
    </row>
    <row r="12" spans="1:1" x14ac:dyDescent="0.25">
      <c r="A12" t="s">
        <v>191</v>
      </c>
    </row>
    <row r="13" spans="1:1" x14ac:dyDescent="0.25">
      <c r="A13" t="s">
        <v>192</v>
      </c>
    </row>
    <row r="14" spans="1:1" x14ac:dyDescent="0.25">
      <c r="A14" t="s">
        <v>193</v>
      </c>
    </row>
    <row r="15" spans="1:1" x14ac:dyDescent="0.25">
      <c r="A15" t="s">
        <v>194</v>
      </c>
    </row>
    <row r="16" spans="1:1" x14ac:dyDescent="0.25">
      <c r="A16" t="s">
        <v>195</v>
      </c>
    </row>
    <row r="17" spans="1:1" x14ac:dyDescent="0.25">
      <c r="A17" t="s">
        <v>196</v>
      </c>
    </row>
    <row r="18" spans="1:1" x14ac:dyDescent="0.25">
      <c r="A18" t="s">
        <v>197</v>
      </c>
    </row>
    <row r="19" spans="1:1" x14ac:dyDescent="0.25">
      <c r="A19" t="s">
        <v>198</v>
      </c>
    </row>
    <row r="21" spans="1:1" x14ac:dyDescent="0.25">
      <c r="A21" t="s">
        <v>297</v>
      </c>
    </row>
    <row r="22" spans="1:1" x14ac:dyDescent="0.25">
      <c r="A22" t="s">
        <v>199</v>
      </c>
    </row>
    <row r="23" spans="1:1" x14ac:dyDescent="0.25">
      <c r="A23" t="s">
        <v>200</v>
      </c>
    </row>
    <row r="24" spans="1:1" x14ac:dyDescent="0.25">
      <c r="A24" t="s">
        <v>201</v>
      </c>
    </row>
    <row r="25" spans="1:1" x14ac:dyDescent="0.25">
      <c r="A25" t="s">
        <v>202</v>
      </c>
    </row>
    <row r="26" spans="1:1" x14ac:dyDescent="0.25">
      <c r="A26" t="s">
        <v>203</v>
      </c>
    </row>
    <row r="27" spans="1:1" x14ac:dyDescent="0.25">
      <c r="A27" t="s">
        <v>204</v>
      </c>
    </row>
    <row r="28" spans="1:1" x14ac:dyDescent="0.25">
      <c r="A28" t="s">
        <v>205</v>
      </c>
    </row>
    <row r="29" spans="1:1" x14ac:dyDescent="0.25">
      <c r="A29" t="s">
        <v>206</v>
      </c>
    </row>
    <row r="30" spans="1:1" x14ac:dyDescent="0.25">
      <c r="A30" t="s">
        <v>207</v>
      </c>
    </row>
    <row r="31" spans="1:1" x14ac:dyDescent="0.25">
      <c r="A31" t="s">
        <v>208</v>
      </c>
    </row>
    <row r="32" spans="1:1" x14ac:dyDescent="0.25">
      <c r="A32" t="s">
        <v>209</v>
      </c>
    </row>
    <row r="33" spans="1:1" x14ac:dyDescent="0.25">
      <c r="A33" t="s">
        <v>210</v>
      </c>
    </row>
    <row r="34" spans="1:1" x14ac:dyDescent="0.25">
      <c r="A34" t="s">
        <v>211</v>
      </c>
    </row>
    <row r="35" spans="1:1" x14ac:dyDescent="0.25">
      <c r="A35" t="s">
        <v>212</v>
      </c>
    </row>
    <row r="36" spans="1:1" x14ac:dyDescent="0.25">
      <c r="A36" t="s">
        <v>213</v>
      </c>
    </row>
    <row r="37" spans="1:1" x14ac:dyDescent="0.25">
      <c r="A37" t="s">
        <v>214</v>
      </c>
    </row>
    <row r="38" spans="1:1" x14ac:dyDescent="0.25">
      <c r="A38" t="s">
        <v>215</v>
      </c>
    </row>
    <row r="39" spans="1:1" x14ac:dyDescent="0.25">
      <c r="A39" t="s">
        <v>216</v>
      </c>
    </row>
    <row r="40" spans="1:1" x14ac:dyDescent="0.25">
      <c r="A40" t="s">
        <v>217</v>
      </c>
    </row>
    <row r="42" spans="1:1" x14ac:dyDescent="0.25">
      <c r="A42" t="s">
        <v>298</v>
      </c>
    </row>
    <row r="43" spans="1:1" x14ac:dyDescent="0.25">
      <c r="A43" t="s">
        <v>218</v>
      </c>
    </row>
    <row r="44" spans="1:1" x14ac:dyDescent="0.25">
      <c r="A44" t="s">
        <v>219</v>
      </c>
    </row>
    <row r="45" spans="1:1" x14ac:dyDescent="0.25">
      <c r="A45" t="s">
        <v>220</v>
      </c>
    </row>
    <row r="46" spans="1:1" x14ac:dyDescent="0.25">
      <c r="A46" t="s">
        <v>221</v>
      </c>
    </row>
    <row r="47" spans="1:1" x14ac:dyDescent="0.25">
      <c r="A47" t="s">
        <v>222</v>
      </c>
    </row>
    <row r="48" spans="1:1" x14ac:dyDescent="0.25">
      <c r="A48" t="s">
        <v>223</v>
      </c>
    </row>
    <row r="49" spans="1:1" x14ac:dyDescent="0.25">
      <c r="A49" t="s">
        <v>224</v>
      </c>
    </row>
    <row r="50" spans="1:1" x14ac:dyDescent="0.25">
      <c r="A50" t="s">
        <v>225</v>
      </c>
    </row>
    <row r="51" spans="1:1" x14ac:dyDescent="0.25">
      <c r="A51" t="s">
        <v>226</v>
      </c>
    </row>
    <row r="52" spans="1:1" x14ac:dyDescent="0.25">
      <c r="A52" t="s">
        <v>207</v>
      </c>
    </row>
    <row r="53" spans="1:1" x14ac:dyDescent="0.25">
      <c r="A53" t="s">
        <v>227</v>
      </c>
    </row>
    <row r="54" spans="1:1" x14ac:dyDescent="0.25">
      <c r="A54" t="s">
        <v>228</v>
      </c>
    </row>
    <row r="55" spans="1:1" x14ac:dyDescent="0.25">
      <c r="A55" t="s">
        <v>229</v>
      </c>
    </row>
    <row r="56" spans="1:1" x14ac:dyDescent="0.25">
      <c r="A56" t="s">
        <v>230</v>
      </c>
    </row>
    <row r="57" spans="1:1" x14ac:dyDescent="0.25">
      <c r="A57" t="s">
        <v>231</v>
      </c>
    </row>
    <row r="58" spans="1:1" x14ac:dyDescent="0.25">
      <c r="A58" t="s">
        <v>232</v>
      </c>
    </row>
    <row r="59" spans="1:1" x14ac:dyDescent="0.25">
      <c r="A59" t="s">
        <v>233</v>
      </c>
    </row>
    <row r="60" spans="1:1" x14ac:dyDescent="0.25">
      <c r="A60" t="s">
        <v>234</v>
      </c>
    </row>
    <row r="61" spans="1:1" x14ac:dyDescent="0.25">
      <c r="A61" t="s">
        <v>235</v>
      </c>
    </row>
    <row r="62" spans="1:1" x14ac:dyDescent="0.25">
      <c r="A62" t="s">
        <v>236</v>
      </c>
    </row>
    <row r="63" spans="1:1" x14ac:dyDescent="0.25">
      <c r="A63" t="s">
        <v>237</v>
      </c>
    </row>
    <row r="64" spans="1:1" x14ac:dyDescent="0.25">
      <c r="A64" t="s">
        <v>238</v>
      </c>
    </row>
    <row r="65" spans="1:1" x14ac:dyDescent="0.25">
      <c r="A65" t="s">
        <v>239</v>
      </c>
    </row>
    <row r="66" spans="1:1" x14ac:dyDescent="0.25">
      <c r="A66" t="s">
        <v>240</v>
      </c>
    </row>
    <row r="67" spans="1:1" x14ac:dyDescent="0.25">
      <c r="A67" t="s">
        <v>241</v>
      </c>
    </row>
    <row r="68" spans="1:1" x14ac:dyDescent="0.25">
      <c r="A68" t="s">
        <v>242</v>
      </c>
    </row>
    <row r="69" spans="1:1" x14ac:dyDescent="0.25">
      <c r="A69" t="s">
        <v>243</v>
      </c>
    </row>
    <row r="70" spans="1:1" x14ac:dyDescent="0.25">
      <c r="A70" t="s">
        <v>244</v>
      </c>
    </row>
    <row r="71" spans="1:1" x14ac:dyDescent="0.25">
      <c r="A71" t="s">
        <v>245</v>
      </c>
    </row>
    <row r="72" spans="1:1" x14ac:dyDescent="0.25">
      <c r="A72" t="s">
        <v>246</v>
      </c>
    </row>
    <row r="73" spans="1:1" x14ac:dyDescent="0.25">
      <c r="A73" t="s">
        <v>247</v>
      </c>
    </row>
    <row r="74" spans="1:1" x14ac:dyDescent="0.25">
      <c r="A74" t="s">
        <v>248</v>
      </c>
    </row>
    <row r="75" spans="1:1" x14ac:dyDescent="0.25">
      <c r="A75" t="s">
        <v>249</v>
      </c>
    </row>
    <row r="76" spans="1:1" x14ac:dyDescent="0.25">
      <c r="A76" t="s">
        <v>250</v>
      </c>
    </row>
    <row r="77" spans="1:1" x14ac:dyDescent="0.25">
      <c r="A77" t="s">
        <v>251</v>
      </c>
    </row>
    <row r="78" spans="1:1" x14ac:dyDescent="0.25">
      <c r="A78" t="s">
        <v>252</v>
      </c>
    </row>
    <row r="79" spans="1:1" x14ac:dyDescent="0.25">
      <c r="A79" t="s">
        <v>253</v>
      </c>
    </row>
    <row r="80" spans="1:1" x14ac:dyDescent="0.25">
      <c r="A80" t="s">
        <v>254</v>
      </c>
    </row>
    <row r="82" spans="1:1" x14ac:dyDescent="0.25">
      <c r="A82" t="s">
        <v>299</v>
      </c>
    </row>
    <row r="83" spans="1:1" x14ac:dyDescent="0.25">
      <c r="A83" t="s">
        <v>255</v>
      </c>
    </row>
    <row r="84" spans="1:1" x14ac:dyDescent="0.25">
      <c r="A84" t="s">
        <v>256</v>
      </c>
    </row>
    <row r="85" spans="1:1" x14ac:dyDescent="0.25">
      <c r="A85" t="s">
        <v>257</v>
      </c>
    </row>
    <row r="86" spans="1:1" x14ac:dyDescent="0.25">
      <c r="A86" t="s">
        <v>258</v>
      </c>
    </row>
    <row r="87" spans="1:1" x14ac:dyDescent="0.25">
      <c r="A87" t="s">
        <v>259</v>
      </c>
    </row>
    <row r="88" spans="1:1" x14ac:dyDescent="0.25">
      <c r="A88" t="s">
        <v>260</v>
      </c>
    </row>
    <row r="89" spans="1:1" x14ac:dyDescent="0.25">
      <c r="A89" t="s">
        <v>261</v>
      </c>
    </row>
    <row r="90" spans="1:1" x14ac:dyDescent="0.25">
      <c r="A90" t="s">
        <v>262</v>
      </c>
    </row>
    <row r="91" spans="1:1" x14ac:dyDescent="0.25">
      <c r="A91" t="s">
        <v>263</v>
      </c>
    </row>
    <row r="92" spans="1:1" x14ac:dyDescent="0.25">
      <c r="A92" t="s">
        <v>264</v>
      </c>
    </row>
    <row r="93" spans="1:1" x14ac:dyDescent="0.25">
      <c r="A93" t="s">
        <v>265</v>
      </c>
    </row>
    <row r="94" spans="1:1" x14ac:dyDescent="0.25">
      <c r="A94" t="s">
        <v>266</v>
      </c>
    </row>
    <row r="95" spans="1:1" x14ac:dyDescent="0.25">
      <c r="A95" t="s">
        <v>267</v>
      </c>
    </row>
    <row r="96" spans="1:1" x14ac:dyDescent="0.25">
      <c r="A96" t="s">
        <v>268</v>
      </c>
    </row>
    <row r="97" spans="1:1" x14ac:dyDescent="0.25">
      <c r="A97" t="s">
        <v>269</v>
      </c>
    </row>
    <row r="98" spans="1:1" x14ac:dyDescent="0.25">
      <c r="A98" t="s">
        <v>270</v>
      </c>
    </row>
    <row r="99" spans="1:1" x14ac:dyDescent="0.25">
      <c r="A99" t="s">
        <v>271</v>
      </c>
    </row>
    <row r="100" spans="1:1" x14ac:dyDescent="0.25">
      <c r="A100" t="s">
        <v>272</v>
      </c>
    </row>
    <row r="101" spans="1:1" x14ac:dyDescent="0.25">
      <c r="A101" t="s">
        <v>273</v>
      </c>
    </row>
    <row r="103" spans="1:1" x14ac:dyDescent="0.25">
      <c r="A103" t="s">
        <v>300</v>
      </c>
    </row>
    <row r="104" spans="1:1" x14ac:dyDescent="0.25">
      <c r="A104" t="s">
        <v>274</v>
      </c>
    </row>
    <row r="105" spans="1:1" x14ac:dyDescent="0.25">
      <c r="A105" t="s">
        <v>275</v>
      </c>
    </row>
    <row r="106" spans="1:1" x14ac:dyDescent="0.25">
      <c r="A106" t="s">
        <v>276</v>
      </c>
    </row>
    <row r="107" spans="1:1" x14ac:dyDescent="0.25">
      <c r="A107" t="s">
        <v>277</v>
      </c>
    </row>
    <row r="108" spans="1:1" x14ac:dyDescent="0.25">
      <c r="A108" t="s">
        <v>278</v>
      </c>
    </row>
    <row r="109" spans="1:1" x14ac:dyDescent="0.25">
      <c r="A109" t="s">
        <v>279</v>
      </c>
    </row>
    <row r="110" spans="1:1" x14ac:dyDescent="0.25">
      <c r="A110" t="s">
        <v>280</v>
      </c>
    </row>
    <row r="111" spans="1:1" x14ac:dyDescent="0.25">
      <c r="A111" t="s">
        <v>281</v>
      </c>
    </row>
    <row r="112" spans="1:1" x14ac:dyDescent="0.25">
      <c r="A112" t="s">
        <v>282</v>
      </c>
    </row>
    <row r="113" spans="1:1" x14ac:dyDescent="0.25">
      <c r="A113" t="s">
        <v>283</v>
      </c>
    </row>
    <row r="114" spans="1:1" x14ac:dyDescent="0.25">
      <c r="A114" t="s">
        <v>284</v>
      </c>
    </row>
    <row r="115" spans="1:1" x14ac:dyDescent="0.25">
      <c r="A115" t="s">
        <v>285</v>
      </c>
    </row>
    <row r="116" spans="1:1" x14ac:dyDescent="0.25">
      <c r="A116" t="s">
        <v>286</v>
      </c>
    </row>
    <row r="117" spans="1:1" x14ac:dyDescent="0.25">
      <c r="A117" t="s">
        <v>287</v>
      </c>
    </row>
    <row r="118" spans="1:1" x14ac:dyDescent="0.25">
      <c r="A118" t="s">
        <v>288</v>
      </c>
    </row>
    <row r="119" spans="1:1" x14ac:dyDescent="0.25">
      <c r="A119" t="s">
        <v>289</v>
      </c>
    </row>
    <row r="120" spans="1:1" x14ac:dyDescent="0.25">
      <c r="A120" t="s">
        <v>290</v>
      </c>
    </row>
    <row r="121" spans="1:1" x14ac:dyDescent="0.25">
      <c r="A121" t="s">
        <v>291</v>
      </c>
    </row>
    <row r="122" spans="1:1" x14ac:dyDescent="0.25">
      <c r="A122" t="s">
        <v>292</v>
      </c>
    </row>
    <row r="123" spans="1:1" x14ac:dyDescent="0.25">
      <c r="A123" t="s">
        <v>293</v>
      </c>
    </row>
    <row r="124" spans="1:1" x14ac:dyDescent="0.25">
      <c r="A124" t="s">
        <v>294</v>
      </c>
    </row>
    <row r="125" spans="1:1" x14ac:dyDescent="0.25">
      <c r="A125" t="s">
        <v>295</v>
      </c>
    </row>
    <row r="127" spans="1:1" x14ac:dyDescent="0.25">
      <c r="A127" t="s">
        <v>315</v>
      </c>
    </row>
    <row r="128" spans="1:1" x14ac:dyDescent="0.25">
      <c r="A128" t="s">
        <v>301</v>
      </c>
    </row>
    <row r="129" spans="1:1" x14ac:dyDescent="0.25">
      <c r="A129" t="s">
        <v>302</v>
      </c>
    </row>
    <row r="130" spans="1:1" x14ac:dyDescent="0.25">
      <c r="A130" t="s">
        <v>303</v>
      </c>
    </row>
    <row r="131" spans="1:1" x14ac:dyDescent="0.25">
      <c r="A131" t="s">
        <v>304</v>
      </c>
    </row>
    <row r="132" spans="1:1" x14ac:dyDescent="0.25">
      <c r="A132" t="s">
        <v>305</v>
      </c>
    </row>
    <row r="133" spans="1:1" x14ac:dyDescent="0.25">
      <c r="A133" t="s">
        <v>306</v>
      </c>
    </row>
    <row r="134" spans="1:1" x14ac:dyDescent="0.25">
      <c r="A134" t="s">
        <v>307</v>
      </c>
    </row>
    <row r="135" spans="1:1" x14ac:dyDescent="0.25">
      <c r="A135" t="s">
        <v>308</v>
      </c>
    </row>
    <row r="136" spans="1:1" x14ac:dyDescent="0.25">
      <c r="A136" t="s">
        <v>309</v>
      </c>
    </row>
    <row r="137" spans="1:1" x14ac:dyDescent="0.25">
      <c r="A137" t="s">
        <v>310</v>
      </c>
    </row>
    <row r="138" spans="1:1" x14ac:dyDescent="0.25">
      <c r="A138" t="s">
        <v>311</v>
      </c>
    </row>
    <row r="139" spans="1:1" x14ac:dyDescent="0.25">
      <c r="A139" t="s">
        <v>312</v>
      </c>
    </row>
    <row r="140" spans="1:1" x14ac:dyDescent="0.25">
      <c r="A140" t="s">
        <v>313</v>
      </c>
    </row>
    <row r="141" spans="1:1" x14ac:dyDescent="0.25">
      <c r="A141" t="s">
        <v>273</v>
      </c>
    </row>
    <row r="142" spans="1:1" x14ac:dyDescent="0.25">
      <c r="A142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POFA 1</vt:lpstr>
      <vt:lpstr>RHA 1</vt:lpstr>
      <vt:lpstr>SCBA 1</vt:lpstr>
      <vt:lpstr> GSA 1</vt:lpstr>
      <vt:lpstr>WSA 1</vt:lpstr>
      <vt:lpstr>BLA 1</vt:lpstr>
      <vt:lpstr>CCA 1</vt:lpstr>
      <vt:lpstr>FORMULAE</vt:lpstr>
      <vt:lpstr>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2025-10-01T07:39:31Z</dcterms:created>
  <dcterms:modified xsi:type="dcterms:W3CDTF">2025-10-30T04:08:19Z</dcterms:modified>
</cp:coreProperties>
</file>